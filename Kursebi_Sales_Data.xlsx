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982ACFC3-94A2-4A3F-B79F-0225A6B64767}" xr6:coauthVersionLast="47" xr6:coauthVersionMax="47" xr10:uidLastSave="{00000000-0000-0000-0000-000000000000}"/>
  <bookViews>
    <workbookView xWindow="-108" yWindow="-108" windowWidth="23256" windowHeight="12456" xr2:uid="{00000000-000D-0000-FFFF-FFFF00000000}"/>
  </bookViews>
  <sheets>
    <sheet name="Data Dictionary" sheetId="8" r:id="rId1"/>
    <sheet name="Pivots" sheetId="13" state="hidden" r:id="rId2"/>
    <sheet name="Sales Data" sheetId="1" r:id="rId3"/>
    <sheet name="Dashboard" sheetId="11" r:id="rId4"/>
    <sheet name="Analysis" sheetId="9" r:id="rId5"/>
    <sheet name="KPI Summary" sheetId="7" r:id="rId6"/>
    <sheet name="Payment Method" sheetId="6" r:id="rId7"/>
    <sheet name="Holiday" sheetId="5" r:id="rId8"/>
    <sheet name="Courses" sheetId="3" r:id="rId9"/>
  </sheets>
  <definedNames>
    <definedName name="_xlnm._FilterDatabase" localSheetId="2" hidden="1">'Sales Data'!$A$1:$AC$1001</definedName>
    <definedName name="adspend">'Sales Data'!$Y$3:$Y$1001</definedName>
    <definedName name="bankcomission">'Sales Data'!$R$2:$R$1001</definedName>
    <definedName name="bankcommisionamount">'Sales Data'!$S$2:$S$1001</definedName>
    <definedName name="category">'Sales Data'!$J$2:$J$1001</definedName>
    <definedName name="City">'Sales Data'!$H$2:$H$1001</definedName>
    <definedName name="Course">'Sales Data'!$I$2:$I$1001</definedName>
    <definedName name="Customerid">'Sales Data'!$E$2:$E$1001</definedName>
    <definedName name="customertype">'Sales Data'!$F$2:$F$1001</definedName>
    <definedName name="discountamount">'Sales Data'!$N$2:$N$1001</definedName>
    <definedName name="expected">'Sales Data'!$L$932</definedName>
    <definedName name="expectedrevenue">'Sales Data'!$Q$2:$Q$1001</definedName>
    <definedName name="finalpaidamount">'Sales Data'!$O$2:$O$1001</definedName>
    <definedName name="gender">'Sales Data'!$G$2:$G$1001</definedName>
    <definedName name="incometax">'Sales Data'!$T$2:$T$1001</definedName>
    <definedName name="incometaxamount">'Sales Data'!$U$2:$U$1001</definedName>
    <definedName name="marketingchannel">'Sales Data'!$X$3:$X$1001</definedName>
    <definedName name="netrevenue">'Sales Data'!$W$3:$W$1001</definedName>
    <definedName name="orderdate">'Sales Data'!$B$2:$B$1001</definedName>
    <definedName name="originalprice">'Sales Data'!$K$2:$K$1001</definedName>
    <definedName name="paymentdate">'Sales Data'!$C$2:$C$1001</definedName>
    <definedName name="PAYMENTm">'Sales Data'!$D$2:$D$1001</definedName>
    <definedName name="paymentmethod">'Sales Data'!$M$2:$M$1001</definedName>
    <definedName name="paymentstatus">'Sales Data'!$L$2:$L$1001</definedName>
    <definedName name="refundamount">'Sales Data'!$V$2:$V$1001</definedName>
    <definedName name="Slicer_Category">#N/A</definedName>
    <definedName name="Slicer_City">#N/A</definedName>
    <definedName name="Slicer_Course">#N/A</definedName>
    <definedName name="Slicer_Marketing_Channel">#N/A</definedName>
    <definedName name="Slicer_Payment_Status">#N/A</definedName>
    <definedName name="totalsales">'Sales Data'!$P$2:$P$1001</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 i="9" l="1"/>
  <c r="P11" i="9"/>
  <c r="P12" i="9"/>
  <c r="P13" i="9"/>
  <c r="P14" i="9"/>
  <c r="P15" i="9"/>
  <c r="P16" i="9"/>
  <c r="P9" i="9"/>
  <c r="D983" i="1"/>
  <c r="D984" i="1"/>
  <c r="D985" i="1"/>
  <c r="D986" i="1"/>
  <c r="D987" i="1"/>
  <c r="D988" i="1"/>
  <c r="D989" i="1"/>
  <c r="D990" i="1"/>
  <c r="D991" i="1"/>
  <c r="D992" i="1"/>
  <c r="D993" i="1"/>
  <c r="D994" i="1"/>
  <c r="D995" i="1"/>
  <c r="D996" i="1"/>
  <c r="D997" i="1"/>
  <c r="D998" i="1"/>
  <c r="D999" i="1"/>
  <c r="D1000" i="1"/>
  <c r="D1001" i="1"/>
  <c r="Y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X2" i="1"/>
  <c r="X3" i="1"/>
  <c r="X4" i="1"/>
  <c r="X5" i="1"/>
  <c r="X6" i="1"/>
  <c r="X7" i="1"/>
  <c r="X8"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M3" i="1" a="1"/>
  <c r="M3" i="1" s="1"/>
  <c r="R3" i="1" s="1"/>
  <c r="M4" i="1" a="1"/>
  <c r="M4" i="1" s="1"/>
  <c r="R4" i="1" s="1"/>
  <c r="M5" i="1" a="1"/>
  <c r="M5" i="1" s="1"/>
  <c r="R5" i="1" s="1"/>
  <c r="M6" i="1" a="1"/>
  <c r="M6" i="1" s="1"/>
  <c r="R6" i="1" s="1"/>
  <c r="M7" i="1" a="1"/>
  <c r="M7" i="1" s="1"/>
  <c r="R7" i="1" s="1"/>
  <c r="M8" i="1" a="1"/>
  <c r="M8" i="1" s="1"/>
  <c r="R8" i="1" s="1"/>
  <c r="M9" i="1" a="1"/>
  <c r="M9" i="1" s="1"/>
  <c r="R9" i="1" s="1"/>
  <c r="M10" i="1" a="1"/>
  <c r="M10" i="1" s="1"/>
  <c r="R10" i="1" s="1"/>
  <c r="M11" i="1" a="1"/>
  <c r="M11" i="1" s="1"/>
  <c r="R11" i="1" s="1"/>
  <c r="M12" i="1" a="1"/>
  <c r="M12" i="1" s="1"/>
  <c r="R12" i="1" s="1"/>
  <c r="M13" i="1" a="1"/>
  <c r="M13" i="1" s="1"/>
  <c r="R13" i="1" s="1"/>
  <c r="M14" i="1" a="1"/>
  <c r="M14" i="1" s="1"/>
  <c r="R14" i="1" s="1"/>
  <c r="M15" i="1" a="1"/>
  <c r="M15" i="1" s="1"/>
  <c r="R15" i="1" s="1"/>
  <c r="M16" i="1" a="1"/>
  <c r="M16" i="1" s="1"/>
  <c r="R16" i="1" s="1"/>
  <c r="M17" i="1" a="1"/>
  <c r="M17" i="1" s="1"/>
  <c r="R17" i="1" s="1"/>
  <c r="M18" i="1" a="1"/>
  <c r="M18" i="1" s="1"/>
  <c r="R18" i="1" s="1"/>
  <c r="M19" i="1" a="1"/>
  <c r="M19" i="1" s="1"/>
  <c r="R19" i="1" s="1"/>
  <c r="M20" i="1" a="1"/>
  <c r="M20" i="1" s="1"/>
  <c r="R20" i="1" s="1"/>
  <c r="M21" i="1" a="1"/>
  <c r="M21" i="1" s="1"/>
  <c r="R21" i="1" s="1"/>
  <c r="M22" i="1" a="1"/>
  <c r="M22" i="1" s="1"/>
  <c r="R22" i="1" s="1"/>
  <c r="M23" i="1" a="1"/>
  <c r="M23" i="1" s="1"/>
  <c r="R23" i="1" s="1"/>
  <c r="M24" i="1" a="1"/>
  <c r="M24" i="1" s="1"/>
  <c r="R24" i="1" s="1"/>
  <c r="M25" i="1" a="1"/>
  <c r="M25" i="1" s="1"/>
  <c r="R25" i="1" s="1"/>
  <c r="M26" i="1" a="1"/>
  <c r="M26" i="1" s="1"/>
  <c r="R26" i="1" s="1"/>
  <c r="M27" i="1" a="1"/>
  <c r="M27" i="1" s="1"/>
  <c r="R27" i="1" s="1"/>
  <c r="M28" i="1" a="1"/>
  <c r="M28" i="1" s="1"/>
  <c r="R28" i="1" s="1"/>
  <c r="M29" i="1" a="1"/>
  <c r="M29" i="1" s="1"/>
  <c r="R29" i="1" s="1"/>
  <c r="M30" i="1" a="1"/>
  <c r="M30" i="1" s="1"/>
  <c r="R30" i="1" s="1"/>
  <c r="M31" i="1" a="1"/>
  <c r="M31" i="1" s="1"/>
  <c r="R31" i="1" s="1"/>
  <c r="M32" i="1" a="1"/>
  <c r="M32" i="1" s="1"/>
  <c r="R32" i="1" s="1"/>
  <c r="M33" i="1" a="1"/>
  <c r="M33" i="1" s="1"/>
  <c r="R33" i="1" s="1"/>
  <c r="M34" i="1" a="1"/>
  <c r="M34" i="1" s="1"/>
  <c r="R34" i="1" s="1"/>
  <c r="M35" i="1" a="1"/>
  <c r="M35" i="1" s="1"/>
  <c r="R35" i="1" s="1"/>
  <c r="M36" i="1" a="1"/>
  <c r="M36" i="1" s="1"/>
  <c r="R36" i="1" s="1"/>
  <c r="M37" i="1" a="1"/>
  <c r="M37" i="1" s="1"/>
  <c r="R37" i="1" s="1"/>
  <c r="M38" i="1" a="1"/>
  <c r="M38" i="1" s="1"/>
  <c r="R38" i="1" s="1"/>
  <c r="M39" i="1" a="1"/>
  <c r="M39" i="1" s="1"/>
  <c r="R39" i="1" s="1"/>
  <c r="M40" i="1" a="1"/>
  <c r="M40" i="1" s="1"/>
  <c r="R40" i="1" s="1"/>
  <c r="M41" i="1" a="1"/>
  <c r="M41" i="1" s="1"/>
  <c r="R41" i="1" s="1"/>
  <c r="M42" i="1" a="1"/>
  <c r="M42" i="1" s="1"/>
  <c r="R42" i="1" s="1"/>
  <c r="M43" i="1" a="1"/>
  <c r="M43" i="1" s="1"/>
  <c r="R43" i="1" s="1"/>
  <c r="M44" i="1" a="1"/>
  <c r="M44" i="1" s="1"/>
  <c r="R44" i="1" s="1"/>
  <c r="M45" i="1" a="1"/>
  <c r="M45" i="1" s="1"/>
  <c r="R45" i="1" s="1"/>
  <c r="M46" i="1" a="1"/>
  <c r="M46" i="1" s="1"/>
  <c r="R46" i="1" s="1"/>
  <c r="M47" i="1" a="1"/>
  <c r="M47" i="1" s="1"/>
  <c r="R47" i="1" s="1"/>
  <c r="M48" i="1" a="1"/>
  <c r="M48" i="1" s="1"/>
  <c r="R48" i="1" s="1"/>
  <c r="M49" i="1" a="1"/>
  <c r="M49" i="1" s="1"/>
  <c r="R49" i="1" s="1"/>
  <c r="M50" i="1" a="1"/>
  <c r="M50" i="1" s="1"/>
  <c r="R50" i="1" s="1"/>
  <c r="M51" i="1" a="1"/>
  <c r="M51" i="1" s="1"/>
  <c r="R51" i="1" s="1"/>
  <c r="M52" i="1" a="1"/>
  <c r="M52" i="1" s="1"/>
  <c r="R52" i="1" s="1"/>
  <c r="M53" i="1" a="1"/>
  <c r="M53" i="1" s="1"/>
  <c r="R53" i="1" s="1"/>
  <c r="M54" i="1" a="1"/>
  <c r="M54" i="1" s="1"/>
  <c r="R54" i="1" s="1"/>
  <c r="M55" i="1" a="1"/>
  <c r="M55" i="1" s="1"/>
  <c r="R55" i="1" s="1"/>
  <c r="M56" i="1" a="1"/>
  <c r="M56" i="1" s="1"/>
  <c r="R56" i="1" s="1"/>
  <c r="M57" i="1" a="1"/>
  <c r="M57" i="1" s="1"/>
  <c r="R57" i="1" s="1"/>
  <c r="M58" i="1" a="1"/>
  <c r="M58" i="1" s="1"/>
  <c r="R58" i="1" s="1"/>
  <c r="M59" i="1" a="1"/>
  <c r="M59" i="1" s="1"/>
  <c r="R59" i="1" s="1"/>
  <c r="M60" i="1" a="1"/>
  <c r="M60" i="1" s="1"/>
  <c r="R60" i="1" s="1"/>
  <c r="M61" i="1" a="1"/>
  <c r="M61" i="1" s="1"/>
  <c r="R61" i="1" s="1"/>
  <c r="M62" i="1" a="1"/>
  <c r="M62" i="1" s="1"/>
  <c r="R62" i="1" s="1"/>
  <c r="M63" i="1" a="1"/>
  <c r="M63" i="1" s="1"/>
  <c r="R63" i="1" s="1"/>
  <c r="M64" i="1" a="1"/>
  <c r="M64" i="1" s="1"/>
  <c r="R64" i="1" s="1"/>
  <c r="M65" i="1" a="1"/>
  <c r="M65" i="1" s="1"/>
  <c r="R65" i="1" s="1"/>
  <c r="M66" i="1" a="1"/>
  <c r="M66" i="1" s="1"/>
  <c r="R66" i="1" s="1"/>
  <c r="M67" i="1" a="1"/>
  <c r="M67" i="1" s="1"/>
  <c r="R67" i="1" s="1"/>
  <c r="M68" i="1" a="1"/>
  <c r="M68" i="1" s="1"/>
  <c r="R68" i="1" s="1"/>
  <c r="M69" i="1" a="1"/>
  <c r="M69" i="1" s="1"/>
  <c r="R69" i="1" s="1"/>
  <c r="M70" i="1" a="1"/>
  <c r="M70" i="1" s="1"/>
  <c r="R70" i="1" s="1"/>
  <c r="M71" i="1" a="1"/>
  <c r="M71" i="1" s="1"/>
  <c r="R71" i="1" s="1"/>
  <c r="M72" i="1" a="1"/>
  <c r="M72" i="1" s="1"/>
  <c r="R72" i="1" s="1"/>
  <c r="M73" i="1" a="1"/>
  <c r="M73" i="1" s="1"/>
  <c r="R73" i="1" s="1"/>
  <c r="M74" i="1" a="1"/>
  <c r="M74" i="1" s="1"/>
  <c r="R74" i="1" s="1"/>
  <c r="M75" i="1" a="1"/>
  <c r="M75" i="1" s="1"/>
  <c r="R75" i="1" s="1"/>
  <c r="M76" i="1" a="1"/>
  <c r="M76" i="1" s="1"/>
  <c r="R76" i="1" s="1"/>
  <c r="M77" i="1" a="1"/>
  <c r="M77" i="1" s="1"/>
  <c r="R77" i="1" s="1"/>
  <c r="M78" i="1" a="1"/>
  <c r="M78" i="1" s="1"/>
  <c r="R78" i="1" s="1"/>
  <c r="M79" i="1" a="1"/>
  <c r="M79" i="1" s="1"/>
  <c r="R79" i="1" s="1"/>
  <c r="M80" i="1" a="1"/>
  <c r="M80" i="1" s="1"/>
  <c r="R80" i="1" s="1"/>
  <c r="M81" i="1" a="1"/>
  <c r="M81" i="1" s="1"/>
  <c r="R81" i="1" s="1"/>
  <c r="M82" i="1" a="1"/>
  <c r="M82" i="1" s="1"/>
  <c r="R82" i="1" s="1"/>
  <c r="M83" i="1" a="1"/>
  <c r="M83" i="1" s="1"/>
  <c r="R83" i="1" s="1"/>
  <c r="M84" i="1" a="1"/>
  <c r="M84" i="1" s="1"/>
  <c r="R84" i="1" s="1"/>
  <c r="M85" i="1" a="1"/>
  <c r="M85" i="1" s="1"/>
  <c r="R85" i="1" s="1"/>
  <c r="M86" i="1" a="1"/>
  <c r="M86" i="1" s="1"/>
  <c r="R86" i="1" s="1"/>
  <c r="M87" i="1" a="1"/>
  <c r="M87" i="1" s="1"/>
  <c r="R87" i="1" s="1"/>
  <c r="M88" i="1" a="1"/>
  <c r="M88" i="1" s="1"/>
  <c r="R88" i="1" s="1"/>
  <c r="M89" i="1" a="1"/>
  <c r="M89" i="1" s="1"/>
  <c r="R89" i="1" s="1"/>
  <c r="M90" i="1" a="1"/>
  <c r="M90" i="1" s="1"/>
  <c r="R90" i="1" s="1"/>
  <c r="M91" i="1" a="1"/>
  <c r="M91" i="1" s="1"/>
  <c r="R91" i="1" s="1"/>
  <c r="M92" i="1" a="1"/>
  <c r="M92" i="1" s="1"/>
  <c r="R92" i="1" s="1"/>
  <c r="M93" i="1" a="1"/>
  <c r="M93" i="1" s="1"/>
  <c r="R93" i="1" s="1"/>
  <c r="M94" i="1" a="1"/>
  <c r="M94" i="1" s="1"/>
  <c r="R94" i="1" s="1"/>
  <c r="M95" i="1" a="1"/>
  <c r="M95" i="1" s="1"/>
  <c r="R95" i="1" s="1"/>
  <c r="M96" i="1" a="1"/>
  <c r="M96" i="1" s="1"/>
  <c r="R96" i="1" s="1"/>
  <c r="M97" i="1" a="1"/>
  <c r="M97" i="1" s="1"/>
  <c r="R97" i="1" s="1"/>
  <c r="M98" i="1" a="1"/>
  <c r="M98" i="1" s="1"/>
  <c r="R98" i="1" s="1"/>
  <c r="M99" i="1" a="1"/>
  <c r="M99" i="1" s="1"/>
  <c r="R99" i="1" s="1"/>
  <c r="M100" i="1" a="1"/>
  <c r="M100" i="1" s="1"/>
  <c r="R100" i="1" s="1"/>
  <c r="M101" i="1" a="1"/>
  <c r="M101" i="1" s="1"/>
  <c r="R101" i="1" s="1"/>
  <c r="M102" i="1" a="1"/>
  <c r="M102" i="1" s="1"/>
  <c r="R102" i="1" s="1"/>
  <c r="M103" i="1" a="1"/>
  <c r="M103" i="1" s="1"/>
  <c r="R103" i="1" s="1"/>
  <c r="M104" i="1" a="1"/>
  <c r="M104" i="1" s="1"/>
  <c r="R104" i="1" s="1"/>
  <c r="M105" i="1" a="1"/>
  <c r="M105" i="1" s="1"/>
  <c r="R105" i="1" s="1"/>
  <c r="M106" i="1" a="1"/>
  <c r="M106" i="1" s="1"/>
  <c r="R106" i="1" s="1"/>
  <c r="M107" i="1" a="1"/>
  <c r="M107" i="1" s="1"/>
  <c r="R107" i="1" s="1"/>
  <c r="M108" i="1" a="1"/>
  <c r="M108" i="1" s="1"/>
  <c r="R108" i="1" s="1"/>
  <c r="M109" i="1" a="1"/>
  <c r="M109" i="1" s="1"/>
  <c r="R109" i="1" s="1"/>
  <c r="M110" i="1" a="1"/>
  <c r="M110" i="1" s="1"/>
  <c r="R110" i="1" s="1"/>
  <c r="M111" i="1" a="1"/>
  <c r="M111" i="1" s="1"/>
  <c r="R111" i="1" s="1"/>
  <c r="M112" i="1" a="1"/>
  <c r="M112" i="1" s="1"/>
  <c r="R112" i="1" s="1"/>
  <c r="M113" i="1" a="1"/>
  <c r="M113" i="1" s="1"/>
  <c r="R113" i="1" s="1"/>
  <c r="M114" i="1" a="1"/>
  <c r="M114" i="1" s="1"/>
  <c r="R114" i="1" s="1"/>
  <c r="M115" i="1" a="1"/>
  <c r="M115" i="1" s="1"/>
  <c r="R115" i="1" s="1"/>
  <c r="M116" i="1" a="1"/>
  <c r="M116" i="1" s="1"/>
  <c r="R116" i="1" s="1"/>
  <c r="M117" i="1" a="1"/>
  <c r="M117" i="1" s="1"/>
  <c r="R117" i="1" s="1"/>
  <c r="M118" i="1" a="1"/>
  <c r="M118" i="1" s="1"/>
  <c r="R118" i="1" s="1"/>
  <c r="M119" i="1" a="1"/>
  <c r="M119" i="1" s="1"/>
  <c r="R119" i="1" s="1"/>
  <c r="M120" i="1" a="1"/>
  <c r="M120" i="1" s="1"/>
  <c r="R120" i="1" s="1"/>
  <c r="M121" i="1" a="1"/>
  <c r="M121" i="1" s="1"/>
  <c r="R121" i="1" s="1"/>
  <c r="M122" i="1" a="1"/>
  <c r="M122" i="1" s="1"/>
  <c r="R122" i="1" s="1"/>
  <c r="M123" i="1" a="1"/>
  <c r="M123" i="1" s="1"/>
  <c r="R123" i="1" s="1"/>
  <c r="M124" i="1" a="1"/>
  <c r="M124" i="1" s="1"/>
  <c r="R124" i="1" s="1"/>
  <c r="M125" i="1" a="1"/>
  <c r="M125" i="1" s="1"/>
  <c r="R125" i="1" s="1"/>
  <c r="M126" i="1" a="1"/>
  <c r="M126" i="1" s="1"/>
  <c r="R126" i="1" s="1"/>
  <c r="M127" i="1" a="1"/>
  <c r="M127" i="1" s="1"/>
  <c r="R127" i="1" s="1"/>
  <c r="M128" i="1" a="1"/>
  <c r="M128" i="1" s="1"/>
  <c r="R128" i="1" s="1"/>
  <c r="M129" i="1" a="1"/>
  <c r="M129" i="1" s="1"/>
  <c r="R129" i="1" s="1"/>
  <c r="M130" i="1" a="1"/>
  <c r="M130" i="1" s="1"/>
  <c r="R130" i="1" s="1"/>
  <c r="M131" i="1" a="1"/>
  <c r="M131" i="1" s="1"/>
  <c r="R131" i="1" s="1"/>
  <c r="M132" i="1" a="1"/>
  <c r="M132" i="1" s="1"/>
  <c r="R132" i="1" s="1"/>
  <c r="M133" i="1" a="1"/>
  <c r="M133" i="1" s="1"/>
  <c r="R133" i="1" s="1"/>
  <c r="M134" i="1" a="1"/>
  <c r="M134" i="1" s="1"/>
  <c r="R134" i="1" s="1"/>
  <c r="M135" i="1" a="1"/>
  <c r="M135" i="1" s="1"/>
  <c r="R135" i="1" s="1"/>
  <c r="M136" i="1" a="1"/>
  <c r="M136" i="1" s="1"/>
  <c r="R136" i="1" s="1"/>
  <c r="M137" i="1" a="1"/>
  <c r="M137" i="1" s="1"/>
  <c r="R137" i="1" s="1"/>
  <c r="M138" i="1" a="1"/>
  <c r="M138" i="1" s="1"/>
  <c r="R138" i="1" s="1"/>
  <c r="M139" i="1" a="1"/>
  <c r="M139" i="1" s="1"/>
  <c r="R139" i="1" s="1"/>
  <c r="M140" i="1" a="1"/>
  <c r="M140" i="1" s="1"/>
  <c r="R140" i="1" s="1"/>
  <c r="M141" i="1" a="1"/>
  <c r="M141" i="1" s="1"/>
  <c r="R141" i="1" s="1"/>
  <c r="M142" i="1" a="1"/>
  <c r="M142" i="1" s="1"/>
  <c r="R142" i="1" s="1"/>
  <c r="M143" i="1" a="1"/>
  <c r="M143" i="1" s="1"/>
  <c r="R143" i="1" s="1"/>
  <c r="M144" i="1" a="1"/>
  <c r="M144" i="1" s="1"/>
  <c r="R144" i="1" s="1"/>
  <c r="M145" i="1" a="1"/>
  <c r="M145" i="1" s="1"/>
  <c r="R145" i="1" s="1"/>
  <c r="M146" i="1" a="1"/>
  <c r="M146" i="1" s="1"/>
  <c r="R146" i="1" s="1"/>
  <c r="M147" i="1" a="1"/>
  <c r="M147" i="1" s="1"/>
  <c r="R147" i="1" s="1"/>
  <c r="M148" i="1" a="1"/>
  <c r="M148" i="1" s="1"/>
  <c r="R148" i="1" s="1"/>
  <c r="M149" i="1" a="1"/>
  <c r="M149" i="1" s="1"/>
  <c r="R149" i="1" s="1"/>
  <c r="M150" i="1" a="1"/>
  <c r="M150" i="1" s="1"/>
  <c r="R150" i="1" s="1"/>
  <c r="M151" i="1" a="1"/>
  <c r="M151" i="1" s="1"/>
  <c r="R151" i="1" s="1"/>
  <c r="M152" i="1" a="1"/>
  <c r="M152" i="1" s="1"/>
  <c r="R152" i="1" s="1"/>
  <c r="M153" i="1" a="1"/>
  <c r="M153" i="1" s="1"/>
  <c r="R153" i="1" s="1"/>
  <c r="M154" i="1" a="1"/>
  <c r="M154" i="1" s="1"/>
  <c r="R154" i="1" s="1"/>
  <c r="M155" i="1" a="1"/>
  <c r="M155" i="1" s="1"/>
  <c r="R155" i="1" s="1"/>
  <c r="M156" i="1" a="1"/>
  <c r="M156" i="1" s="1"/>
  <c r="R156" i="1" s="1"/>
  <c r="M157" i="1" a="1"/>
  <c r="M157" i="1" s="1"/>
  <c r="R157" i="1" s="1"/>
  <c r="M158" i="1" a="1"/>
  <c r="M158" i="1" s="1"/>
  <c r="R158" i="1" s="1"/>
  <c r="M159" i="1" a="1"/>
  <c r="M159" i="1" s="1"/>
  <c r="R159" i="1" s="1"/>
  <c r="M160" i="1" a="1"/>
  <c r="M160" i="1" s="1"/>
  <c r="R160" i="1" s="1"/>
  <c r="M161" i="1" a="1"/>
  <c r="M161" i="1" s="1"/>
  <c r="R161" i="1" s="1"/>
  <c r="M162" i="1" a="1"/>
  <c r="M162" i="1" s="1"/>
  <c r="R162" i="1" s="1"/>
  <c r="M163" i="1" a="1"/>
  <c r="M163" i="1" s="1"/>
  <c r="R163" i="1" s="1"/>
  <c r="M164" i="1" a="1"/>
  <c r="M164" i="1" s="1"/>
  <c r="R164" i="1" s="1"/>
  <c r="M165" i="1" a="1"/>
  <c r="M165" i="1" s="1"/>
  <c r="R165" i="1" s="1"/>
  <c r="M166" i="1" a="1"/>
  <c r="M166" i="1" s="1"/>
  <c r="R166" i="1" s="1"/>
  <c r="M167" i="1" a="1"/>
  <c r="M167" i="1" s="1"/>
  <c r="R167" i="1" s="1"/>
  <c r="M168" i="1" a="1"/>
  <c r="M168" i="1" s="1"/>
  <c r="R168" i="1" s="1"/>
  <c r="M169" i="1" a="1"/>
  <c r="M169" i="1" s="1"/>
  <c r="R169" i="1" s="1"/>
  <c r="M170" i="1" a="1"/>
  <c r="M170" i="1" s="1"/>
  <c r="R170" i="1" s="1"/>
  <c r="M171" i="1" a="1"/>
  <c r="M171" i="1" s="1"/>
  <c r="R171" i="1" s="1"/>
  <c r="M172" i="1" a="1"/>
  <c r="M172" i="1" s="1"/>
  <c r="R172" i="1" s="1"/>
  <c r="M173" i="1" a="1"/>
  <c r="M173" i="1" s="1"/>
  <c r="R173" i="1" s="1"/>
  <c r="M174" i="1" a="1"/>
  <c r="M174" i="1" s="1"/>
  <c r="R174" i="1" s="1"/>
  <c r="M175" i="1" a="1"/>
  <c r="M175" i="1" s="1"/>
  <c r="R175" i="1" s="1"/>
  <c r="M176" i="1" a="1"/>
  <c r="M176" i="1" s="1"/>
  <c r="R176" i="1" s="1"/>
  <c r="M177" i="1" a="1"/>
  <c r="M177" i="1" s="1"/>
  <c r="R177" i="1" s="1"/>
  <c r="M178" i="1" a="1"/>
  <c r="M178" i="1" s="1"/>
  <c r="R178" i="1" s="1"/>
  <c r="M179" i="1" a="1"/>
  <c r="M179" i="1" s="1"/>
  <c r="R179" i="1" s="1"/>
  <c r="M180" i="1" a="1"/>
  <c r="M180" i="1" s="1"/>
  <c r="R180" i="1" s="1"/>
  <c r="M181" i="1" a="1"/>
  <c r="M181" i="1" s="1"/>
  <c r="R181" i="1" s="1"/>
  <c r="M182" i="1" a="1"/>
  <c r="M182" i="1" s="1"/>
  <c r="R182" i="1" s="1"/>
  <c r="M183" i="1" a="1"/>
  <c r="M183" i="1" s="1"/>
  <c r="R183" i="1" s="1"/>
  <c r="M184" i="1" a="1"/>
  <c r="M184" i="1" s="1"/>
  <c r="R184" i="1" s="1"/>
  <c r="M185" i="1" a="1"/>
  <c r="M185" i="1" s="1"/>
  <c r="R185" i="1" s="1"/>
  <c r="M186" i="1" a="1"/>
  <c r="M186" i="1" s="1"/>
  <c r="R186" i="1" s="1"/>
  <c r="M187" i="1" a="1"/>
  <c r="M187" i="1" s="1"/>
  <c r="R187" i="1" s="1"/>
  <c r="M188" i="1" a="1"/>
  <c r="M188" i="1" s="1"/>
  <c r="R188" i="1" s="1"/>
  <c r="M189" i="1" a="1"/>
  <c r="M189" i="1" s="1"/>
  <c r="R189" i="1" s="1"/>
  <c r="M190" i="1" a="1"/>
  <c r="M190" i="1" s="1"/>
  <c r="R190" i="1" s="1"/>
  <c r="M191" i="1" a="1"/>
  <c r="M191" i="1" s="1"/>
  <c r="R191" i="1" s="1"/>
  <c r="M192" i="1" a="1"/>
  <c r="M192" i="1" s="1"/>
  <c r="R192" i="1" s="1"/>
  <c r="M193" i="1" a="1"/>
  <c r="M193" i="1" s="1"/>
  <c r="R193" i="1" s="1"/>
  <c r="M194" i="1" a="1"/>
  <c r="M194" i="1" s="1"/>
  <c r="R194" i="1" s="1"/>
  <c r="M195" i="1" a="1"/>
  <c r="M195" i="1" s="1"/>
  <c r="R195" i="1" s="1"/>
  <c r="M196" i="1" a="1"/>
  <c r="M196" i="1" s="1"/>
  <c r="R196" i="1" s="1"/>
  <c r="M197" i="1" a="1"/>
  <c r="M197" i="1" s="1"/>
  <c r="R197" i="1" s="1"/>
  <c r="M198" i="1" a="1"/>
  <c r="M198" i="1" s="1"/>
  <c r="R198" i="1" s="1"/>
  <c r="M199" i="1" a="1"/>
  <c r="M199" i="1" s="1"/>
  <c r="R199" i="1" s="1"/>
  <c r="M200" i="1" a="1"/>
  <c r="M200" i="1" s="1"/>
  <c r="R200" i="1" s="1"/>
  <c r="M201" i="1" a="1"/>
  <c r="M201" i="1" s="1"/>
  <c r="R201" i="1" s="1"/>
  <c r="M202" i="1" a="1"/>
  <c r="M202" i="1" s="1"/>
  <c r="R202" i="1" s="1"/>
  <c r="M203" i="1" a="1"/>
  <c r="M203" i="1" s="1"/>
  <c r="R203" i="1" s="1"/>
  <c r="M204" i="1" a="1"/>
  <c r="M204" i="1" s="1"/>
  <c r="R204" i="1" s="1"/>
  <c r="M205" i="1" a="1"/>
  <c r="M205" i="1" s="1"/>
  <c r="R205" i="1" s="1"/>
  <c r="M206" i="1" a="1"/>
  <c r="M206" i="1" s="1"/>
  <c r="R206" i="1" s="1"/>
  <c r="M207" i="1" a="1"/>
  <c r="M207" i="1" s="1"/>
  <c r="R207" i="1" s="1"/>
  <c r="M208" i="1" a="1"/>
  <c r="M208" i="1" s="1"/>
  <c r="R208" i="1" s="1"/>
  <c r="M209" i="1" a="1"/>
  <c r="M209" i="1" s="1"/>
  <c r="R209" i="1" s="1"/>
  <c r="M210" i="1" a="1"/>
  <c r="M210" i="1" s="1"/>
  <c r="R210" i="1" s="1"/>
  <c r="M211" i="1" a="1"/>
  <c r="M211" i="1" s="1"/>
  <c r="R211" i="1" s="1"/>
  <c r="M212" i="1" a="1"/>
  <c r="M212" i="1" s="1"/>
  <c r="R212" i="1" s="1"/>
  <c r="M213" i="1" a="1"/>
  <c r="M213" i="1" s="1"/>
  <c r="R213" i="1" s="1"/>
  <c r="M214" i="1" a="1"/>
  <c r="M214" i="1" s="1"/>
  <c r="R214" i="1" s="1"/>
  <c r="M215" i="1" a="1"/>
  <c r="M215" i="1" s="1"/>
  <c r="R215" i="1" s="1"/>
  <c r="M216" i="1" a="1"/>
  <c r="M216" i="1" s="1"/>
  <c r="R216" i="1" s="1"/>
  <c r="M217" i="1" a="1"/>
  <c r="M217" i="1" s="1"/>
  <c r="R217" i="1" s="1"/>
  <c r="M218" i="1" a="1"/>
  <c r="M218" i="1" s="1"/>
  <c r="R218" i="1" s="1"/>
  <c r="M219" i="1" a="1"/>
  <c r="M219" i="1" s="1"/>
  <c r="R219" i="1" s="1"/>
  <c r="M220" i="1" a="1"/>
  <c r="M220" i="1" s="1"/>
  <c r="R220" i="1" s="1"/>
  <c r="M221" i="1" a="1"/>
  <c r="M221" i="1" s="1"/>
  <c r="R221" i="1" s="1"/>
  <c r="M222" i="1" a="1"/>
  <c r="M222" i="1" s="1"/>
  <c r="R222" i="1" s="1"/>
  <c r="M223" i="1" a="1"/>
  <c r="M223" i="1" s="1"/>
  <c r="R223" i="1" s="1"/>
  <c r="M224" i="1" a="1"/>
  <c r="M224" i="1" s="1"/>
  <c r="R224" i="1" s="1"/>
  <c r="M225" i="1" a="1"/>
  <c r="M225" i="1" s="1"/>
  <c r="R225" i="1" s="1"/>
  <c r="M226" i="1" a="1"/>
  <c r="M226" i="1" s="1"/>
  <c r="R226" i="1" s="1"/>
  <c r="M227" i="1" a="1"/>
  <c r="M227" i="1" s="1"/>
  <c r="R227" i="1" s="1"/>
  <c r="M228" i="1" a="1"/>
  <c r="M228" i="1" s="1"/>
  <c r="R228" i="1" s="1"/>
  <c r="M229" i="1" a="1"/>
  <c r="M229" i="1" s="1"/>
  <c r="R229" i="1" s="1"/>
  <c r="M230" i="1" a="1"/>
  <c r="M230" i="1" s="1"/>
  <c r="R230" i="1" s="1"/>
  <c r="M231" i="1" a="1"/>
  <c r="M231" i="1" s="1"/>
  <c r="R231" i="1" s="1"/>
  <c r="M232" i="1" a="1"/>
  <c r="M232" i="1" s="1"/>
  <c r="R232" i="1" s="1"/>
  <c r="M233" i="1" a="1"/>
  <c r="M233" i="1" s="1"/>
  <c r="R233" i="1" s="1"/>
  <c r="M234" i="1" a="1"/>
  <c r="M234" i="1" s="1"/>
  <c r="R234" i="1" s="1"/>
  <c r="M235" i="1" a="1"/>
  <c r="M235" i="1" s="1"/>
  <c r="R235" i="1" s="1"/>
  <c r="M236" i="1" a="1"/>
  <c r="M236" i="1" s="1"/>
  <c r="R236" i="1" s="1"/>
  <c r="M237" i="1" a="1"/>
  <c r="M237" i="1" s="1"/>
  <c r="R237" i="1" s="1"/>
  <c r="M238" i="1" a="1"/>
  <c r="M238" i="1" s="1"/>
  <c r="R238" i="1" s="1"/>
  <c r="M239" i="1" a="1"/>
  <c r="M239" i="1" s="1"/>
  <c r="R239" i="1" s="1"/>
  <c r="M240" i="1" a="1"/>
  <c r="M240" i="1" s="1"/>
  <c r="R240" i="1" s="1"/>
  <c r="M241" i="1" a="1"/>
  <c r="M241" i="1" s="1"/>
  <c r="R241" i="1" s="1"/>
  <c r="M242" i="1" a="1"/>
  <c r="M242" i="1" s="1"/>
  <c r="R242" i="1" s="1"/>
  <c r="M243" i="1" a="1"/>
  <c r="M243" i="1" s="1"/>
  <c r="R243" i="1" s="1"/>
  <c r="M244" i="1" a="1"/>
  <c r="M244" i="1" s="1"/>
  <c r="R244" i="1" s="1"/>
  <c r="M245" i="1" a="1"/>
  <c r="M245" i="1" s="1"/>
  <c r="R245" i="1" s="1"/>
  <c r="M246" i="1" a="1"/>
  <c r="M246" i="1" s="1"/>
  <c r="R246" i="1" s="1"/>
  <c r="M247" i="1" a="1"/>
  <c r="M247" i="1" s="1"/>
  <c r="R247" i="1" s="1"/>
  <c r="M248" i="1" a="1"/>
  <c r="M248" i="1" s="1"/>
  <c r="R248" i="1" s="1"/>
  <c r="M249" i="1" a="1"/>
  <c r="M249" i="1" s="1"/>
  <c r="R249" i="1" s="1"/>
  <c r="M250" i="1" a="1"/>
  <c r="M250" i="1" s="1"/>
  <c r="R250" i="1" s="1"/>
  <c r="M251" i="1" a="1"/>
  <c r="M251" i="1" s="1"/>
  <c r="R251" i="1" s="1"/>
  <c r="M252" i="1" a="1"/>
  <c r="M252" i="1" s="1"/>
  <c r="R252" i="1" s="1"/>
  <c r="M253" i="1" a="1"/>
  <c r="M253" i="1" s="1"/>
  <c r="R253" i="1" s="1"/>
  <c r="M254" i="1" a="1"/>
  <c r="M254" i="1" s="1"/>
  <c r="R254" i="1" s="1"/>
  <c r="M255" i="1" a="1"/>
  <c r="M255" i="1" s="1"/>
  <c r="R255" i="1" s="1"/>
  <c r="M256" i="1" a="1"/>
  <c r="M256" i="1" s="1"/>
  <c r="R256" i="1" s="1"/>
  <c r="M257" i="1" a="1"/>
  <c r="M257" i="1" s="1"/>
  <c r="R257" i="1" s="1"/>
  <c r="M258" i="1" a="1"/>
  <c r="M258" i="1" s="1"/>
  <c r="R258" i="1" s="1"/>
  <c r="M259" i="1" a="1"/>
  <c r="M259" i="1" s="1"/>
  <c r="R259" i="1" s="1"/>
  <c r="M260" i="1" a="1"/>
  <c r="M260" i="1" s="1"/>
  <c r="R260" i="1" s="1"/>
  <c r="M261" i="1" a="1"/>
  <c r="M261" i="1" s="1"/>
  <c r="R261" i="1" s="1"/>
  <c r="M262" i="1" a="1"/>
  <c r="M262" i="1" s="1"/>
  <c r="R262" i="1" s="1"/>
  <c r="M263" i="1" a="1"/>
  <c r="M263" i="1" s="1"/>
  <c r="R263" i="1" s="1"/>
  <c r="M264" i="1" a="1"/>
  <c r="M264" i="1" s="1"/>
  <c r="R264" i="1" s="1"/>
  <c r="M265" i="1" a="1"/>
  <c r="M265" i="1" s="1"/>
  <c r="R265" i="1" s="1"/>
  <c r="M266" i="1" a="1"/>
  <c r="M266" i="1" s="1"/>
  <c r="R266" i="1" s="1"/>
  <c r="M267" i="1" a="1"/>
  <c r="M267" i="1" s="1"/>
  <c r="R267" i="1" s="1"/>
  <c r="M268" i="1" a="1"/>
  <c r="M268" i="1" s="1"/>
  <c r="R268" i="1" s="1"/>
  <c r="M269" i="1" a="1"/>
  <c r="M269" i="1" s="1"/>
  <c r="R269" i="1" s="1"/>
  <c r="M270" i="1" a="1"/>
  <c r="M270" i="1" s="1"/>
  <c r="R270" i="1" s="1"/>
  <c r="M271" i="1" a="1"/>
  <c r="M271" i="1" s="1"/>
  <c r="R271" i="1" s="1"/>
  <c r="M272" i="1" a="1"/>
  <c r="M272" i="1" s="1"/>
  <c r="R272" i="1" s="1"/>
  <c r="M273" i="1" a="1"/>
  <c r="M273" i="1" s="1"/>
  <c r="R273" i="1" s="1"/>
  <c r="M274" i="1" a="1"/>
  <c r="M274" i="1" s="1"/>
  <c r="R274" i="1" s="1"/>
  <c r="M275" i="1" a="1"/>
  <c r="M275" i="1" s="1"/>
  <c r="R275" i="1" s="1"/>
  <c r="M276" i="1" a="1"/>
  <c r="M276" i="1" s="1"/>
  <c r="R276" i="1" s="1"/>
  <c r="M277" i="1" a="1"/>
  <c r="M277" i="1" s="1"/>
  <c r="R277" i="1" s="1"/>
  <c r="M278" i="1" a="1"/>
  <c r="M278" i="1" s="1"/>
  <c r="R278" i="1" s="1"/>
  <c r="M279" i="1" a="1"/>
  <c r="M279" i="1" s="1"/>
  <c r="R279" i="1" s="1"/>
  <c r="M280" i="1" a="1"/>
  <c r="M280" i="1" s="1"/>
  <c r="R280" i="1" s="1"/>
  <c r="M281" i="1" a="1"/>
  <c r="M281" i="1" s="1"/>
  <c r="R281" i="1" s="1"/>
  <c r="M282" i="1" a="1"/>
  <c r="M282" i="1" s="1"/>
  <c r="R282" i="1" s="1"/>
  <c r="M283" i="1" a="1"/>
  <c r="M283" i="1" s="1"/>
  <c r="R283" i="1" s="1"/>
  <c r="M284" i="1" a="1"/>
  <c r="M284" i="1" s="1"/>
  <c r="R284" i="1" s="1"/>
  <c r="M285" i="1" a="1"/>
  <c r="M285" i="1" s="1"/>
  <c r="R285" i="1" s="1"/>
  <c r="M286" i="1" a="1"/>
  <c r="M286" i="1" s="1"/>
  <c r="R286" i="1" s="1"/>
  <c r="M287" i="1" a="1"/>
  <c r="M287" i="1" s="1"/>
  <c r="R287" i="1" s="1"/>
  <c r="M288" i="1" a="1"/>
  <c r="M288" i="1" s="1"/>
  <c r="R288" i="1" s="1"/>
  <c r="M289" i="1" a="1"/>
  <c r="M289" i="1" s="1"/>
  <c r="R289" i="1" s="1"/>
  <c r="M290" i="1" a="1"/>
  <c r="M290" i="1" s="1"/>
  <c r="R290" i="1" s="1"/>
  <c r="M291" i="1" a="1"/>
  <c r="M291" i="1" s="1"/>
  <c r="R291" i="1" s="1"/>
  <c r="M292" i="1" a="1"/>
  <c r="M292" i="1" s="1"/>
  <c r="R292" i="1" s="1"/>
  <c r="M293" i="1" a="1"/>
  <c r="M293" i="1" s="1"/>
  <c r="R293" i="1" s="1"/>
  <c r="M294" i="1" a="1"/>
  <c r="M294" i="1" s="1"/>
  <c r="R294" i="1" s="1"/>
  <c r="M295" i="1" a="1"/>
  <c r="M295" i="1" s="1"/>
  <c r="R295" i="1" s="1"/>
  <c r="M296" i="1" a="1"/>
  <c r="M296" i="1" s="1"/>
  <c r="R296" i="1" s="1"/>
  <c r="M297" i="1" a="1"/>
  <c r="M297" i="1" s="1"/>
  <c r="R297" i="1" s="1"/>
  <c r="M298" i="1" a="1"/>
  <c r="M298" i="1" s="1"/>
  <c r="R298" i="1" s="1"/>
  <c r="M299" i="1" a="1"/>
  <c r="M299" i="1" s="1"/>
  <c r="R299" i="1" s="1"/>
  <c r="M300" i="1" a="1"/>
  <c r="M300" i="1" s="1"/>
  <c r="R300" i="1" s="1"/>
  <c r="M301" i="1" a="1"/>
  <c r="M301" i="1" s="1"/>
  <c r="R301" i="1" s="1"/>
  <c r="M302" i="1" a="1"/>
  <c r="M302" i="1" s="1"/>
  <c r="R302" i="1" s="1"/>
  <c r="M303" i="1" a="1"/>
  <c r="M303" i="1" s="1"/>
  <c r="R303" i="1" s="1"/>
  <c r="M304" i="1" a="1"/>
  <c r="M304" i="1" s="1"/>
  <c r="R304" i="1" s="1"/>
  <c r="M305" i="1" a="1"/>
  <c r="M305" i="1" s="1"/>
  <c r="R305" i="1" s="1"/>
  <c r="M306" i="1" a="1"/>
  <c r="M306" i="1" s="1"/>
  <c r="R306" i="1" s="1"/>
  <c r="M307" i="1" a="1"/>
  <c r="M307" i="1" s="1"/>
  <c r="R307" i="1" s="1"/>
  <c r="M308" i="1" a="1"/>
  <c r="M308" i="1" s="1"/>
  <c r="R308" i="1" s="1"/>
  <c r="M309" i="1" a="1"/>
  <c r="M309" i="1" s="1"/>
  <c r="R309" i="1" s="1"/>
  <c r="M310" i="1" a="1"/>
  <c r="M310" i="1" s="1"/>
  <c r="R310" i="1" s="1"/>
  <c r="M311" i="1" a="1"/>
  <c r="M311" i="1" s="1"/>
  <c r="R311" i="1" s="1"/>
  <c r="M312" i="1" a="1"/>
  <c r="M312" i="1" s="1"/>
  <c r="R312" i="1" s="1"/>
  <c r="M313" i="1" a="1"/>
  <c r="M313" i="1" s="1"/>
  <c r="R313" i="1" s="1"/>
  <c r="M314" i="1" a="1"/>
  <c r="M314" i="1" s="1"/>
  <c r="R314" i="1" s="1"/>
  <c r="M315" i="1" a="1"/>
  <c r="M315" i="1" s="1"/>
  <c r="R315" i="1" s="1"/>
  <c r="M316" i="1" a="1"/>
  <c r="M316" i="1" s="1"/>
  <c r="R316" i="1" s="1"/>
  <c r="M317" i="1" a="1"/>
  <c r="M317" i="1" s="1"/>
  <c r="R317" i="1" s="1"/>
  <c r="M318" i="1" a="1"/>
  <c r="M318" i="1" s="1"/>
  <c r="R318" i="1" s="1"/>
  <c r="M319" i="1" a="1"/>
  <c r="M319" i="1" s="1"/>
  <c r="R319" i="1" s="1"/>
  <c r="M320" i="1" a="1"/>
  <c r="M320" i="1" s="1"/>
  <c r="R320" i="1" s="1"/>
  <c r="M321" i="1" a="1"/>
  <c r="M321" i="1" s="1"/>
  <c r="R321" i="1" s="1"/>
  <c r="M322" i="1" a="1"/>
  <c r="M322" i="1" s="1"/>
  <c r="R322" i="1" s="1"/>
  <c r="M323" i="1" a="1"/>
  <c r="M323" i="1" s="1"/>
  <c r="R323" i="1" s="1"/>
  <c r="M324" i="1" a="1"/>
  <c r="M324" i="1" s="1"/>
  <c r="R324" i="1" s="1"/>
  <c r="M325" i="1" a="1"/>
  <c r="M325" i="1" s="1"/>
  <c r="R325" i="1" s="1"/>
  <c r="M326" i="1" a="1"/>
  <c r="M326" i="1" s="1"/>
  <c r="R326" i="1" s="1"/>
  <c r="M327" i="1" a="1"/>
  <c r="M327" i="1" s="1"/>
  <c r="R327" i="1" s="1"/>
  <c r="M328" i="1" a="1"/>
  <c r="M328" i="1" s="1"/>
  <c r="R328" i="1" s="1"/>
  <c r="M329" i="1" a="1"/>
  <c r="M329" i="1" s="1"/>
  <c r="R329" i="1" s="1"/>
  <c r="M330" i="1" a="1"/>
  <c r="M330" i="1" s="1"/>
  <c r="R330" i="1" s="1"/>
  <c r="M331" i="1" a="1"/>
  <c r="M331" i="1" s="1"/>
  <c r="R331" i="1" s="1"/>
  <c r="M332" i="1" a="1"/>
  <c r="M332" i="1" s="1"/>
  <c r="R332" i="1" s="1"/>
  <c r="M333" i="1" a="1"/>
  <c r="M333" i="1" s="1"/>
  <c r="R333" i="1" s="1"/>
  <c r="M334" i="1" a="1"/>
  <c r="M334" i="1" s="1"/>
  <c r="R334" i="1" s="1"/>
  <c r="M335" i="1" a="1"/>
  <c r="M335" i="1" s="1"/>
  <c r="R335" i="1" s="1"/>
  <c r="M336" i="1" a="1"/>
  <c r="M336" i="1" s="1"/>
  <c r="R336" i="1" s="1"/>
  <c r="M337" i="1" a="1"/>
  <c r="M337" i="1" s="1"/>
  <c r="R337" i="1" s="1"/>
  <c r="M338" i="1" a="1"/>
  <c r="M338" i="1" s="1"/>
  <c r="R338" i="1" s="1"/>
  <c r="M339" i="1" a="1"/>
  <c r="M339" i="1" s="1"/>
  <c r="R339" i="1" s="1"/>
  <c r="M340" i="1" a="1"/>
  <c r="M340" i="1" s="1"/>
  <c r="R340" i="1" s="1"/>
  <c r="M341" i="1" a="1"/>
  <c r="M341" i="1" s="1"/>
  <c r="R341" i="1" s="1"/>
  <c r="M342" i="1" a="1"/>
  <c r="M342" i="1" s="1"/>
  <c r="R342" i="1" s="1"/>
  <c r="M343" i="1" a="1"/>
  <c r="M343" i="1" s="1"/>
  <c r="R343" i="1" s="1"/>
  <c r="M344" i="1" a="1"/>
  <c r="M344" i="1" s="1"/>
  <c r="R344" i="1" s="1"/>
  <c r="M345" i="1" a="1"/>
  <c r="M345" i="1" s="1"/>
  <c r="R345" i="1" s="1"/>
  <c r="M346" i="1" a="1"/>
  <c r="M346" i="1" s="1"/>
  <c r="R346" i="1" s="1"/>
  <c r="M347" i="1" a="1"/>
  <c r="M347" i="1" s="1"/>
  <c r="R347" i="1" s="1"/>
  <c r="M348" i="1" a="1"/>
  <c r="M348" i="1" s="1"/>
  <c r="R348" i="1" s="1"/>
  <c r="M349" i="1" a="1"/>
  <c r="M349" i="1" s="1"/>
  <c r="R349" i="1" s="1"/>
  <c r="M350" i="1" a="1"/>
  <c r="M350" i="1" s="1"/>
  <c r="R350" i="1" s="1"/>
  <c r="M351" i="1" a="1"/>
  <c r="M351" i="1" s="1"/>
  <c r="R351" i="1" s="1"/>
  <c r="M352" i="1" a="1"/>
  <c r="M352" i="1" s="1"/>
  <c r="R352" i="1" s="1"/>
  <c r="M353" i="1" a="1"/>
  <c r="M353" i="1" s="1"/>
  <c r="R353" i="1" s="1"/>
  <c r="M354" i="1" a="1"/>
  <c r="M354" i="1" s="1"/>
  <c r="R354" i="1" s="1"/>
  <c r="M355" i="1" a="1"/>
  <c r="M355" i="1" s="1"/>
  <c r="R355" i="1" s="1"/>
  <c r="M356" i="1" a="1"/>
  <c r="M356" i="1" s="1"/>
  <c r="R356" i="1" s="1"/>
  <c r="M357" i="1" a="1"/>
  <c r="M357" i="1" s="1"/>
  <c r="R357" i="1" s="1"/>
  <c r="M358" i="1" a="1"/>
  <c r="M358" i="1" s="1"/>
  <c r="R358" i="1" s="1"/>
  <c r="M359" i="1" a="1"/>
  <c r="M359" i="1" s="1"/>
  <c r="R359" i="1" s="1"/>
  <c r="M360" i="1" a="1"/>
  <c r="M360" i="1" s="1"/>
  <c r="R360" i="1" s="1"/>
  <c r="M361" i="1" a="1"/>
  <c r="M361" i="1" s="1"/>
  <c r="R361" i="1" s="1"/>
  <c r="M362" i="1" a="1"/>
  <c r="M362" i="1" s="1"/>
  <c r="R362" i="1" s="1"/>
  <c r="M363" i="1" a="1"/>
  <c r="M363" i="1" s="1"/>
  <c r="R363" i="1" s="1"/>
  <c r="M364" i="1" a="1"/>
  <c r="M364" i="1" s="1"/>
  <c r="R364" i="1" s="1"/>
  <c r="M365" i="1" a="1"/>
  <c r="M365" i="1" s="1"/>
  <c r="R365" i="1" s="1"/>
  <c r="M366" i="1" a="1"/>
  <c r="M366" i="1" s="1"/>
  <c r="R366" i="1" s="1"/>
  <c r="M367" i="1" a="1"/>
  <c r="M367" i="1" s="1"/>
  <c r="R367" i="1" s="1"/>
  <c r="M368" i="1" a="1"/>
  <c r="M368" i="1" s="1"/>
  <c r="R368" i="1" s="1"/>
  <c r="M369" i="1" a="1"/>
  <c r="M369" i="1" s="1"/>
  <c r="R369" i="1" s="1"/>
  <c r="M370" i="1" a="1"/>
  <c r="M370" i="1" s="1"/>
  <c r="R370" i="1" s="1"/>
  <c r="M371" i="1" a="1"/>
  <c r="M371" i="1" s="1"/>
  <c r="R371" i="1" s="1"/>
  <c r="M372" i="1" a="1"/>
  <c r="M372" i="1" s="1"/>
  <c r="R372" i="1" s="1"/>
  <c r="M373" i="1" a="1"/>
  <c r="M373" i="1" s="1"/>
  <c r="R373" i="1" s="1"/>
  <c r="M374" i="1" a="1"/>
  <c r="M374" i="1" s="1"/>
  <c r="R374" i="1" s="1"/>
  <c r="M375" i="1" a="1"/>
  <c r="M375" i="1" s="1"/>
  <c r="R375" i="1" s="1"/>
  <c r="M376" i="1" a="1"/>
  <c r="M376" i="1" s="1"/>
  <c r="R376" i="1" s="1"/>
  <c r="M377" i="1" a="1"/>
  <c r="M377" i="1" s="1"/>
  <c r="R377" i="1" s="1"/>
  <c r="M378" i="1" a="1"/>
  <c r="M378" i="1" s="1"/>
  <c r="R378" i="1" s="1"/>
  <c r="M379" i="1" a="1"/>
  <c r="M379" i="1" s="1"/>
  <c r="R379" i="1" s="1"/>
  <c r="M380" i="1" a="1"/>
  <c r="M380" i="1" s="1"/>
  <c r="R380" i="1" s="1"/>
  <c r="M381" i="1" a="1"/>
  <c r="M381" i="1" s="1"/>
  <c r="R381" i="1" s="1"/>
  <c r="M382" i="1" a="1"/>
  <c r="M382" i="1" s="1"/>
  <c r="R382" i="1" s="1"/>
  <c r="M383" i="1" a="1"/>
  <c r="M383" i="1" s="1"/>
  <c r="R383" i="1" s="1"/>
  <c r="M384" i="1" a="1"/>
  <c r="M384" i="1" s="1"/>
  <c r="R384" i="1" s="1"/>
  <c r="M385" i="1" a="1"/>
  <c r="M385" i="1" s="1"/>
  <c r="R385" i="1" s="1"/>
  <c r="M386" i="1" a="1"/>
  <c r="M386" i="1" s="1"/>
  <c r="R386" i="1" s="1"/>
  <c r="M387" i="1" a="1"/>
  <c r="M387" i="1" s="1"/>
  <c r="R387" i="1" s="1"/>
  <c r="M388" i="1" a="1"/>
  <c r="M388" i="1" s="1"/>
  <c r="R388" i="1" s="1"/>
  <c r="M389" i="1" a="1"/>
  <c r="M389" i="1" s="1"/>
  <c r="R389" i="1" s="1"/>
  <c r="M390" i="1" a="1"/>
  <c r="M390" i="1" s="1"/>
  <c r="R390" i="1" s="1"/>
  <c r="M391" i="1" a="1"/>
  <c r="M391" i="1" s="1"/>
  <c r="R391" i="1" s="1"/>
  <c r="M392" i="1" a="1"/>
  <c r="M392" i="1" s="1"/>
  <c r="R392" i="1" s="1"/>
  <c r="M393" i="1" a="1"/>
  <c r="M393" i="1" s="1"/>
  <c r="R393" i="1" s="1"/>
  <c r="M394" i="1" a="1"/>
  <c r="M394" i="1" s="1"/>
  <c r="R394" i="1" s="1"/>
  <c r="M395" i="1" a="1"/>
  <c r="M395" i="1" s="1"/>
  <c r="R395" i="1" s="1"/>
  <c r="M396" i="1" a="1"/>
  <c r="M396" i="1" s="1"/>
  <c r="R396" i="1" s="1"/>
  <c r="M397" i="1" a="1"/>
  <c r="M397" i="1" s="1"/>
  <c r="R397" i="1" s="1"/>
  <c r="M398" i="1" a="1"/>
  <c r="M398" i="1" s="1"/>
  <c r="R398" i="1" s="1"/>
  <c r="M399" i="1" a="1"/>
  <c r="M399" i="1" s="1"/>
  <c r="R399" i="1" s="1"/>
  <c r="M400" i="1" a="1"/>
  <c r="M400" i="1" s="1"/>
  <c r="R400" i="1" s="1"/>
  <c r="M401" i="1" a="1"/>
  <c r="M401" i="1" s="1"/>
  <c r="R401" i="1" s="1"/>
  <c r="M402" i="1" a="1"/>
  <c r="M402" i="1" s="1"/>
  <c r="R402" i="1" s="1"/>
  <c r="M403" i="1" a="1"/>
  <c r="M403" i="1" s="1"/>
  <c r="R403" i="1" s="1"/>
  <c r="M404" i="1" a="1"/>
  <c r="M404" i="1" s="1"/>
  <c r="R404" i="1" s="1"/>
  <c r="M405" i="1" a="1"/>
  <c r="M405" i="1" s="1"/>
  <c r="R405" i="1" s="1"/>
  <c r="M406" i="1" a="1"/>
  <c r="M406" i="1" s="1"/>
  <c r="R406" i="1" s="1"/>
  <c r="M407" i="1" a="1"/>
  <c r="M407" i="1" s="1"/>
  <c r="R407" i="1" s="1"/>
  <c r="M408" i="1" a="1"/>
  <c r="M408" i="1" s="1"/>
  <c r="R408" i="1" s="1"/>
  <c r="M409" i="1" a="1"/>
  <c r="M409" i="1" s="1"/>
  <c r="R409" i="1" s="1"/>
  <c r="M410" i="1" a="1"/>
  <c r="M410" i="1" s="1"/>
  <c r="R410" i="1" s="1"/>
  <c r="M411" i="1" a="1"/>
  <c r="M411" i="1" s="1"/>
  <c r="R411" i="1" s="1"/>
  <c r="M412" i="1" a="1"/>
  <c r="M412" i="1" s="1"/>
  <c r="R412" i="1" s="1"/>
  <c r="M413" i="1" a="1"/>
  <c r="M413" i="1" s="1"/>
  <c r="R413" i="1" s="1"/>
  <c r="M414" i="1" a="1"/>
  <c r="M414" i="1" s="1"/>
  <c r="R414" i="1" s="1"/>
  <c r="M415" i="1" a="1"/>
  <c r="M415" i="1" s="1"/>
  <c r="R415" i="1" s="1"/>
  <c r="M416" i="1" a="1"/>
  <c r="M416" i="1" s="1"/>
  <c r="R416" i="1" s="1"/>
  <c r="M417" i="1" a="1"/>
  <c r="M417" i="1" s="1"/>
  <c r="R417" i="1" s="1"/>
  <c r="M418" i="1" a="1"/>
  <c r="M418" i="1" s="1"/>
  <c r="R418" i="1" s="1"/>
  <c r="M419" i="1" a="1"/>
  <c r="M419" i="1" s="1"/>
  <c r="R419" i="1" s="1"/>
  <c r="M420" i="1" a="1"/>
  <c r="M420" i="1" s="1"/>
  <c r="R420" i="1" s="1"/>
  <c r="M421" i="1" a="1"/>
  <c r="M421" i="1" s="1"/>
  <c r="R421" i="1" s="1"/>
  <c r="M422" i="1" a="1"/>
  <c r="M422" i="1" s="1"/>
  <c r="R422" i="1" s="1"/>
  <c r="M423" i="1" a="1"/>
  <c r="M423" i="1" s="1"/>
  <c r="R423" i="1" s="1"/>
  <c r="M424" i="1" a="1"/>
  <c r="M424" i="1" s="1"/>
  <c r="R424" i="1" s="1"/>
  <c r="M425" i="1" a="1"/>
  <c r="M425" i="1" s="1"/>
  <c r="R425" i="1" s="1"/>
  <c r="M426" i="1" a="1"/>
  <c r="M426" i="1" s="1"/>
  <c r="R426" i="1" s="1"/>
  <c r="M427" i="1" a="1"/>
  <c r="M427" i="1" s="1"/>
  <c r="R427" i="1" s="1"/>
  <c r="M428" i="1" a="1"/>
  <c r="M428" i="1" s="1"/>
  <c r="R428" i="1" s="1"/>
  <c r="M429" i="1" a="1"/>
  <c r="M429" i="1" s="1"/>
  <c r="R429" i="1" s="1"/>
  <c r="M430" i="1" a="1"/>
  <c r="M430" i="1" s="1"/>
  <c r="R430" i="1" s="1"/>
  <c r="M431" i="1" a="1"/>
  <c r="M431" i="1" s="1"/>
  <c r="R431" i="1" s="1"/>
  <c r="M432" i="1" a="1"/>
  <c r="M432" i="1" s="1"/>
  <c r="R432" i="1" s="1"/>
  <c r="M433" i="1" a="1"/>
  <c r="M433" i="1" s="1"/>
  <c r="R433" i="1" s="1"/>
  <c r="M434" i="1" a="1"/>
  <c r="M434" i="1" s="1"/>
  <c r="R434" i="1" s="1"/>
  <c r="M435" i="1" a="1"/>
  <c r="M435" i="1" s="1"/>
  <c r="R435" i="1" s="1"/>
  <c r="M436" i="1" a="1"/>
  <c r="M436" i="1" s="1"/>
  <c r="R436" i="1" s="1"/>
  <c r="M437" i="1" a="1"/>
  <c r="M437" i="1" s="1"/>
  <c r="R437" i="1" s="1"/>
  <c r="M438" i="1" a="1"/>
  <c r="M438" i="1" s="1"/>
  <c r="R438" i="1" s="1"/>
  <c r="M439" i="1" a="1"/>
  <c r="M439" i="1" s="1"/>
  <c r="R439" i="1" s="1"/>
  <c r="M440" i="1" a="1"/>
  <c r="M440" i="1" s="1"/>
  <c r="R440" i="1" s="1"/>
  <c r="M441" i="1" a="1"/>
  <c r="M441" i="1" s="1"/>
  <c r="R441" i="1" s="1"/>
  <c r="M442" i="1" a="1"/>
  <c r="M442" i="1" s="1"/>
  <c r="R442" i="1" s="1"/>
  <c r="M443" i="1" a="1"/>
  <c r="M443" i="1" s="1"/>
  <c r="R443" i="1" s="1"/>
  <c r="M444" i="1" a="1"/>
  <c r="M444" i="1" s="1"/>
  <c r="R444" i="1" s="1"/>
  <c r="M445" i="1" a="1"/>
  <c r="M445" i="1" s="1"/>
  <c r="R445" i="1" s="1"/>
  <c r="M446" i="1" a="1"/>
  <c r="M446" i="1" s="1"/>
  <c r="R446" i="1" s="1"/>
  <c r="M447" i="1" a="1"/>
  <c r="M447" i="1" s="1"/>
  <c r="R447" i="1" s="1"/>
  <c r="M448" i="1" a="1"/>
  <c r="M448" i="1" s="1"/>
  <c r="R448" i="1" s="1"/>
  <c r="M449" i="1" a="1"/>
  <c r="M449" i="1" s="1"/>
  <c r="R449" i="1" s="1"/>
  <c r="M450" i="1" a="1"/>
  <c r="M450" i="1" s="1"/>
  <c r="R450" i="1" s="1"/>
  <c r="M451" i="1" a="1"/>
  <c r="M451" i="1" s="1"/>
  <c r="R451" i="1" s="1"/>
  <c r="M452" i="1" a="1"/>
  <c r="M452" i="1" s="1"/>
  <c r="R452" i="1" s="1"/>
  <c r="M453" i="1" a="1"/>
  <c r="M453" i="1" s="1"/>
  <c r="R453" i="1" s="1"/>
  <c r="M454" i="1" a="1"/>
  <c r="M454" i="1" s="1"/>
  <c r="R454" i="1" s="1"/>
  <c r="M455" i="1" a="1"/>
  <c r="M455" i="1" s="1"/>
  <c r="R455" i="1" s="1"/>
  <c r="M456" i="1" a="1"/>
  <c r="M456" i="1" s="1"/>
  <c r="R456" i="1" s="1"/>
  <c r="M457" i="1" a="1"/>
  <c r="M457" i="1" s="1"/>
  <c r="R457" i="1" s="1"/>
  <c r="M458" i="1" a="1"/>
  <c r="M458" i="1" s="1"/>
  <c r="R458" i="1" s="1"/>
  <c r="M459" i="1" a="1"/>
  <c r="M459" i="1" s="1"/>
  <c r="R459" i="1" s="1"/>
  <c r="M460" i="1" a="1"/>
  <c r="M460" i="1" s="1"/>
  <c r="R460" i="1" s="1"/>
  <c r="M461" i="1" a="1"/>
  <c r="M461" i="1" s="1"/>
  <c r="R461" i="1" s="1"/>
  <c r="M462" i="1" a="1"/>
  <c r="M462" i="1" s="1"/>
  <c r="R462" i="1" s="1"/>
  <c r="M463" i="1" a="1"/>
  <c r="M463" i="1" s="1"/>
  <c r="R463" i="1" s="1"/>
  <c r="M464" i="1" a="1"/>
  <c r="M464" i="1" s="1"/>
  <c r="R464" i="1" s="1"/>
  <c r="M465" i="1" a="1"/>
  <c r="M465" i="1" s="1"/>
  <c r="R465" i="1" s="1"/>
  <c r="M466" i="1" a="1"/>
  <c r="M466" i="1" s="1"/>
  <c r="R466" i="1" s="1"/>
  <c r="M467" i="1" a="1"/>
  <c r="M467" i="1" s="1"/>
  <c r="R467" i="1" s="1"/>
  <c r="M468" i="1" a="1"/>
  <c r="M468" i="1" s="1"/>
  <c r="R468" i="1" s="1"/>
  <c r="M469" i="1" a="1"/>
  <c r="M469" i="1" s="1"/>
  <c r="R469" i="1" s="1"/>
  <c r="M470" i="1" a="1"/>
  <c r="M470" i="1" s="1"/>
  <c r="R470" i="1" s="1"/>
  <c r="M471" i="1" a="1"/>
  <c r="M471" i="1" s="1"/>
  <c r="R471" i="1" s="1"/>
  <c r="M472" i="1" a="1"/>
  <c r="M472" i="1" s="1"/>
  <c r="R472" i="1" s="1"/>
  <c r="M473" i="1" a="1"/>
  <c r="M473" i="1" s="1"/>
  <c r="R473" i="1" s="1"/>
  <c r="M474" i="1" a="1"/>
  <c r="M474" i="1" s="1"/>
  <c r="R474" i="1" s="1"/>
  <c r="M475" i="1" a="1"/>
  <c r="M475" i="1" s="1"/>
  <c r="R475" i="1" s="1"/>
  <c r="M476" i="1" a="1"/>
  <c r="M476" i="1" s="1"/>
  <c r="R476" i="1" s="1"/>
  <c r="M477" i="1" a="1"/>
  <c r="M477" i="1" s="1"/>
  <c r="R477" i="1" s="1"/>
  <c r="M478" i="1" a="1"/>
  <c r="M478" i="1" s="1"/>
  <c r="R478" i="1" s="1"/>
  <c r="M479" i="1" a="1"/>
  <c r="M479" i="1" s="1"/>
  <c r="R479" i="1" s="1"/>
  <c r="M480" i="1" a="1"/>
  <c r="M480" i="1" s="1"/>
  <c r="R480" i="1" s="1"/>
  <c r="M481" i="1" a="1"/>
  <c r="M481" i="1" s="1"/>
  <c r="R481" i="1" s="1"/>
  <c r="M482" i="1" a="1"/>
  <c r="M482" i="1" s="1"/>
  <c r="R482" i="1" s="1"/>
  <c r="M483" i="1" a="1"/>
  <c r="M483" i="1" s="1"/>
  <c r="R483" i="1" s="1"/>
  <c r="M484" i="1" a="1"/>
  <c r="M484" i="1" s="1"/>
  <c r="R484" i="1" s="1"/>
  <c r="M485" i="1" a="1"/>
  <c r="M485" i="1" s="1"/>
  <c r="R485" i="1" s="1"/>
  <c r="M486" i="1" a="1"/>
  <c r="M486" i="1" s="1"/>
  <c r="R486" i="1" s="1"/>
  <c r="M487" i="1" a="1"/>
  <c r="M487" i="1" s="1"/>
  <c r="R487" i="1" s="1"/>
  <c r="M488" i="1" a="1"/>
  <c r="M488" i="1" s="1"/>
  <c r="R488" i="1" s="1"/>
  <c r="M489" i="1" a="1"/>
  <c r="M489" i="1" s="1"/>
  <c r="R489" i="1" s="1"/>
  <c r="M490" i="1" a="1"/>
  <c r="M490" i="1" s="1"/>
  <c r="R490" i="1" s="1"/>
  <c r="M491" i="1" a="1"/>
  <c r="M491" i="1" s="1"/>
  <c r="R491" i="1" s="1"/>
  <c r="M492" i="1" a="1"/>
  <c r="M492" i="1" s="1"/>
  <c r="R492" i="1" s="1"/>
  <c r="M493" i="1" a="1"/>
  <c r="M493" i="1" s="1"/>
  <c r="R493" i="1" s="1"/>
  <c r="M494" i="1" a="1"/>
  <c r="M494" i="1" s="1"/>
  <c r="R494" i="1" s="1"/>
  <c r="M495" i="1" a="1"/>
  <c r="M495" i="1" s="1"/>
  <c r="R495" i="1" s="1"/>
  <c r="M496" i="1" a="1"/>
  <c r="M496" i="1" s="1"/>
  <c r="R496" i="1" s="1"/>
  <c r="M497" i="1" a="1"/>
  <c r="M497" i="1" s="1"/>
  <c r="R497" i="1" s="1"/>
  <c r="M498" i="1" a="1"/>
  <c r="M498" i="1" s="1"/>
  <c r="R498" i="1" s="1"/>
  <c r="M499" i="1" a="1"/>
  <c r="M499" i="1" s="1"/>
  <c r="R499" i="1" s="1"/>
  <c r="M500" i="1" a="1"/>
  <c r="M500" i="1" s="1"/>
  <c r="R500" i="1" s="1"/>
  <c r="M501" i="1" a="1"/>
  <c r="M501" i="1" s="1"/>
  <c r="R501" i="1" s="1"/>
  <c r="M502" i="1" a="1"/>
  <c r="M502" i="1" s="1"/>
  <c r="R502" i="1" s="1"/>
  <c r="M503" i="1" a="1"/>
  <c r="M503" i="1" s="1"/>
  <c r="R503" i="1" s="1"/>
  <c r="M504" i="1" a="1"/>
  <c r="M504" i="1" s="1"/>
  <c r="R504" i="1" s="1"/>
  <c r="M505" i="1" a="1"/>
  <c r="M505" i="1" s="1"/>
  <c r="R505" i="1" s="1"/>
  <c r="M506" i="1" a="1"/>
  <c r="M506" i="1" s="1"/>
  <c r="R506" i="1" s="1"/>
  <c r="M507" i="1" a="1"/>
  <c r="M507" i="1" s="1"/>
  <c r="R507" i="1" s="1"/>
  <c r="M508" i="1" a="1"/>
  <c r="M508" i="1" s="1"/>
  <c r="R508" i="1" s="1"/>
  <c r="M509" i="1" a="1"/>
  <c r="M509" i="1" s="1"/>
  <c r="R509" i="1" s="1"/>
  <c r="M510" i="1" a="1"/>
  <c r="M510" i="1" s="1"/>
  <c r="R510" i="1" s="1"/>
  <c r="M511" i="1" a="1"/>
  <c r="M511" i="1" s="1"/>
  <c r="R511" i="1" s="1"/>
  <c r="M512" i="1" a="1"/>
  <c r="M512" i="1" s="1"/>
  <c r="R512" i="1" s="1"/>
  <c r="M513" i="1" a="1"/>
  <c r="M513" i="1" s="1"/>
  <c r="R513" i="1" s="1"/>
  <c r="M514" i="1" a="1"/>
  <c r="M514" i="1" s="1"/>
  <c r="R514" i="1" s="1"/>
  <c r="M515" i="1" a="1"/>
  <c r="M515" i="1" s="1"/>
  <c r="R515" i="1" s="1"/>
  <c r="M516" i="1" a="1"/>
  <c r="M516" i="1" s="1"/>
  <c r="R516" i="1" s="1"/>
  <c r="M517" i="1" a="1"/>
  <c r="M517" i="1" s="1"/>
  <c r="R517" i="1" s="1"/>
  <c r="M518" i="1" a="1"/>
  <c r="M518" i="1" s="1"/>
  <c r="R518" i="1" s="1"/>
  <c r="M519" i="1" a="1"/>
  <c r="M519" i="1" s="1"/>
  <c r="R519" i="1" s="1"/>
  <c r="M520" i="1" a="1"/>
  <c r="M520" i="1" s="1"/>
  <c r="R520" i="1" s="1"/>
  <c r="M521" i="1" a="1"/>
  <c r="M521" i="1" s="1"/>
  <c r="R521" i="1" s="1"/>
  <c r="M522" i="1" a="1"/>
  <c r="M522" i="1" s="1"/>
  <c r="R522" i="1" s="1"/>
  <c r="M523" i="1" a="1"/>
  <c r="M523" i="1" s="1"/>
  <c r="R523" i="1" s="1"/>
  <c r="M524" i="1" a="1"/>
  <c r="M524" i="1" s="1"/>
  <c r="R524" i="1" s="1"/>
  <c r="M525" i="1" a="1"/>
  <c r="M525" i="1" s="1"/>
  <c r="R525" i="1" s="1"/>
  <c r="M526" i="1" a="1"/>
  <c r="M526" i="1" s="1"/>
  <c r="R526" i="1" s="1"/>
  <c r="M527" i="1" a="1"/>
  <c r="M527" i="1" s="1"/>
  <c r="R527" i="1" s="1"/>
  <c r="M528" i="1" a="1"/>
  <c r="M528" i="1" s="1"/>
  <c r="R528" i="1" s="1"/>
  <c r="M529" i="1" a="1"/>
  <c r="M529" i="1" s="1"/>
  <c r="R529" i="1" s="1"/>
  <c r="M530" i="1" a="1"/>
  <c r="M530" i="1" s="1"/>
  <c r="R530" i="1" s="1"/>
  <c r="M531" i="1" a="1"/>
  <c r="M531" i="1" s="1"/>
  <c r="R531" i="1" s="1"/>
  <c r="M532" i="1" a="1"/>
  <c r="M532" i="1" s="1"/>
  <c r="R532" i="1" s="1"/>
  <c r="M533" i="1" a="1"/>
  <c r="M533" i="1" s="1"/>
  <c r="R533" i="1" s="1"/>
  <c r="M534" i="1" a="1"/>
  <c r="M534" i="1" s="1"/>
  <c r="R534" i="1" s="1"/>
  <c r="M535" i="1" a="1"/>
  <c r="M535" i="1" s="1"/>
  <c r="R535" i="1" s="1"/>
  <c r="M536" i="1" a="1"/>
  <c r="M536" i="1" s="1"/>
  <c r="R536" i="1" s="1"/>
  <c r="M537" i="1" a="1"/>
  <c r="M537" i="1" s="1"/>
  <c r="R537" i="1" s="1"/>
  <c r="M538" i="1" a="1"/>
  <c r="M538" i="1" s="1"/>
  <c r="R538" i="1" s="1"/>
  <c r="M539" i="1" a="1"/>
  <c r="M539" i="1" s="1"/>
  <c r="R539" i="1" s="1"/>
  <c r="M540" i="1" a="1"/>
  <c r="M540" i="1" s="1"/>
  <c r="R540" i="1" s="1"/>
  <c r="M541" i="1" a="1"/>
  <c r="M541" i="1" s="1"/>
  <c r="R541" i="1" s="1"/>
  <c r="M542" i="1" a="1"/>
  <c r="M542" i="1" s="1"/>
  <c r="R542" i="1" s="1"/>
  <c r="M543" i="1" a="1"/>
  <c r="M543" i="1" s="1"/>
  <c r="R543" i="1" s="1"/>
  <c r="M544" i="1" a="1"/>
  <c r="M544" i="1" s="1"/>
  <c r="R544" i="1" s="1"/>
  <c r="M545" i="1" a="1"/>
  <c r="M545" i="1" s="1"/>
  <c r="R545" i="1" s="1"/>
  <c r="M546" i="1" a="1"/>
  <c r="M546" i="1" s="1"/>
  <c r="R546" i="1" s="1"/>
  <c r="M547" i="1" a="1"/>
  <c r="M547" i="1" s="1"/>
  <c r="R547" i="1" s="1"/>
  <c r="M548" i="1" a="1"/>
  <c r="M548" i="1" s="1"/>
  <c r="R548" i="1" s="1"/>
  <c r="M549" i="1" a="1"/>
  <c r="M549" i="1" s="1"/>
  <c r="R549" i="1" s="1"/>
  <c r="M550" i="1" a="1"/>
  <c r="M550" i="1" s="1"/>
  <c r="R550" i="1" s="1"/>
  <c r="M551" i="1" a="1"/>
  <c r="M551" i="1" s="1"/>
  <c r="R551" i="1" s="1"/>
  <c r="M552" i="1" a="1"/>
  <c r="M552" i="1" s="1"/>
  <c r="R552" i="1" s="1"/>
  <c r="M553" i="1" a="1"/>
  <c r="M553" i="1" s="1"/>
  <c r="R553" i="1" s="1"/>
  <c r="M554" i="1" a="1"/>
  <c r="M554" i="1" s="1"/>
  <c r="R554" i="1" s="1"/>
  <c r="M555" i="1" a="1"/>
  <c r="M555" i="1" s="1"/>
  <c r="R555" i="1" s="1"/>
  <c r="M556" i="1" a="1"/>
  <c r="M556" i="1" s="1"/>
  <c r="R556" i="1" s="1"/>
  <c r="M557" i="1" a="1"/>
  <c r="M557" i="1" s="1"/>
  <c r="R557" i="1" s="1"/>
  <c r="M558" i="1" a="1"/>
  <c r="M558" i="1" s="1"/>
  <c r="R558" i="1" s="1"/>
  <c r="M559" i="1" a="1"/>
  <c r="M559" i="1" s="1"/>
  <c r="R559" i="1" s="1"/>
  <c r="M560" i="1" a="1"/>
  <c r="M560" i="1" s="1"/>
  <c r="R560" i="1" s="1"/>
  <c r="M561" i="1" a="1"/>
  <c r="M561" i="1" s="1"/>
  <c r="R561" i="1" s="1"/>
  <c r="M562" i="1" a="1"/>
  <c r="M562" i="1" s="1"/>
  <c r="R562" i="1" s="1"/>
  <c r="M563" i="1" a="1"/>
  <c r="M563" i="1" s="1"/>
  <c r="R563" i="1" s="1"/>
  <c r="M564" i="1" a="1"/>
  <c r="M564" i="1" s="1"/>
  <c r="R564" i="1" s="1"/>
  <c r="M565" i="1" a="1"/>
  <c r="M565" i="1" s="1"/>
  <c r="R565" i="1" s="1"/>
  <c r="M566" i="1" a="1"/>
  <c r="M566" i="1" s="1"/>
  <c r="R566" i="1" s="1"/>
  <c r="M567" i="1" a="1"/>
  <c r="M567" i="1" s="1"/>
  <c r="R567" i="1" s="1"/>
  <c r="M568" i="1" a="1"/>
  <c r="M568" i="1" s="1"/>
  <c r="R568" i="1" s="1"/>
  <c r="M569" i="1" a="1"/>
  <c r="M569" i="1" s="1"/>
  <c r="R569" i="1" s="1"/>
  <c r="M570" i="1" a="1"/>
  <c r="M570" i="1" s="1"/>
  <c r="R570" i="1" s="1"/>
  <c r="M571" i="1" a="1"/>
  <c r="M571" i="1" s="1"/>
  <c r="R571" i="1" s="1"/>
  <c r="M572" i="1" a="1"/>
  <c r="M572" i="1" s="1"/>
  <c r="R572" i="1" s="1"/>
  <c r="M573" i="1" a="1"/>
  <c r="M573" i="1" s="1"/>
  <c r="R573" i="1" s="1"/>
  <c r="M574" i="1" a="1"/>
  <c r="M574" i="1" s="1"/>
  <c r="R574" i="1" s="1"/>
  <c r="M575" i="1" a="1"/>
  <c r="M575" i="1" s="1"/>
  <c r="R575" i="1" s="1"/>
  <c r="M576" i="1" a="1"/>
  <c r="M576" i="1" s="1"/>
  <c r="R576" i="1" s="1"/>
  <c r="M577" i="1" a="1"/>
  <c r="M577" i="1" s="1"/>
  <c r="R577" i="1" s="1"/>
  <c r="M578" i="1" a="1"/>
  <c r="M578" i="1" s="1"/>
  <c r="R578" i="1" s="1"/>
  <c r="M579" i="1" a="1"/>
  <c r="M579" i="1" s="1"/>
  <c r="R579" i="1" s="1"/>
  <c r="M580" i="1" a="1"/>
  <c r="M580" i="1" s="1"/>
  <c r="R580" i="1" s="1"/>
  <c r="M581" i="1" a="1"/>
  <c r="M581" i="1" s="1"/>
  <c r="R581" i="1" s="1"/>
  <c r="M582" i="1" a="1"/>
  <c r="M582" i="1" s="1"/>
  <c r="R582" i="1" s="1"/>
  <c r="M583" i="1" a="1"/>
  <c r="M583" i="1" s="1"/>
  <c r="R583" i="1" s="1"/>
  <c r="M584" i="1" a="1"/>
  <c r="M584" i="1" s="1"/>
  <c r="R584" i="1" s="1"/>
  <c r="M585" i="1" a="1"/>
  <c r="M585" i="1" s="1"/>
  <c r="R585" i="1" s="1"/>
  <c r="M586" i="1" a="1"/>
  <c r="M586" i="1" s="1"/>
  <c r="R586" i="1" s="1"/>
  <c r="M587" i="1" a="1"/>
  <c r="M587" i="1" s="1"/>
  <c r="R587" i="1" s="1"/>
  <c r="M588" i="1" a="1"/>
  <c r="M588" i="1" s="1"/>
  <c r="R588" i="1" s="1"/>
  <c r="M589" i="1" a="1"/>
  <c r="M589" i="1" s="1"/>
  <c r="R589" i="1" s="1"/>
  <c r="M590" i="1" a="1"/>
  <c r="M590" i="1" s="1"/>
  <c r="R590" i="1" s="1"/>
  <c r="M591" i="1" a="1"/>
  <c r="M591" i="1" s="1"/>
  <c r="R591" i="1" s="1"/>
  <c r="M592" i="1" a="1"/>
  <c r="M592" i="1" s="1"/>
  <c r="R592" i="1" s="1"/>
  <c r="M593" i="1" a="1"/>
  <c r="M593" i="1" s="1"/>
  <c r="R593" i="1" s="1"/>
  <c r="M594" i="1" a="1"/>
  <c r="M594" i="1" s="1"/>
  <c r="R594" i="1" s="1"/>
  <c r="M595" i="1" a="1"/>
  <c r="M595" i="1" s="1"/>
  <c r="R595" i="1" s="1"/>
  <c r="M596" i="1" a="1"/>
  <c r="M596" i="1" s="1"/>
  <c r="R596" i="1" s="1"/>
  <c r="M597" i="1" a="1"/>
  <c r="M597" i="1" s="1"/>
  <c r="R597" i="1" s="1"/>
  <c r="M598" i="1" a="1"/>
  <c r="M598" i="1" s="1"/>
  <c r="R598" i="1" s="1"/>
  <c r="M599" i="1" a="1"/>
  <c r="M599" i="1" s="1"/>
  <c r="R599" i="1" s="1"/>
  <c r="M600" i="1" a="1"/>
  <c r="M600" i="1" s="1"/>
  <c r="R600" i="1" s="1"/>
  <c r="M601" i="1" a="1"/>
  <c r="M601" i="1" s="1"/>
  <c r="R601" i="1" s="1"/>
  <c r="M602" i="1" a="1"/>
  <c r="M602" i="1" s="1"/>
  <c r="R602" i="1" s="1"/>
  <c r="M603" i="1" a="1"/>
  <c r="M603" i="1" s="1"/>
  <c r="R603" i="1" s="1"/>
  <c r="M604" i="1" a="1"/>
  <c r="M604" i="1" s="1"/>
  <c r="R604" i="1" s="1"/>
  <c r="M605" i="1" a="1"/>
  <c r="M605" i="1" s="1"/>
  <c r="R605" i="1" s="1"/>
  <c r="M606" i="1" a="1"/>
  <c r="M606" i="1" s="1"/>
  <c r="R606" i="1" s="1"/>
  <c r="M607" i="1" a="1"/>
  <c r="M607" i="1" s="1"/>
  <c r="R607" i="1" s="1"/>
  <c r="M608" i="1" a="1"/>
  <c r="M608" i="1" s="1"/>
  <c r="R608" i="1" s="1"/>
  <c r="M609" i="1" a="1"/>
  <c r="M609" i="1" s="1"/>
  <c r="R609" i="1" s="1"/>
  <c r="M610" i="1" a="1"/>
  <c r="M610" i="1" s="1"/>
  <c r="R610" i="1" s="1"/>
  <c r="M611" i="1" a="1"/>
  <c r="M611" i="1" s="1"/>
  <c r="R611" i="1" s="1"/>
  <c r="M612" i="1" a="1"/>
  <c r="M612" i="1" s="1"/>
  <c r="R612" i="1" s="1"/>
  <c r="M613" i="1" a="1"/>
  <c r="M613" i="1" s="1"/>
  <c r="R613" i="1" s="1"/>
  <c r="M614" i="1" a="1"/>
  <c r="M614" i="1" s="1"/>
  <c r="R614" i="1" s="1"/>
  <c r="M615" i="1" a="1"/>
  <c r="M615" i="1" s="1"/>
  <c r="R615" i="1" s="1"/>
  <c r="M616" i="1" a="1"/>
  <c r="M616" i="1" s="1"/>
  <c r="R616" i="1" s="1"/>
  <c r="M617" i="1" a="1"/>
  <c r="M617" i="1" s="1"/>
  <c r="R617" i="1" s="1"/>
  <c r="M618" i="1" a="1"/>
  <c r="M618" i="1" s="1"/>
  <c r="R618" i="1" s="1"/>
  <c r="M619" i="1" a="1"/>
  <c r="M619" i="1" s="1"/>
  <c r="R619" i="1" s="1"/>
  <c r="M620" i="1" a="1"/>
  <c r="M620" i="1" s="1"/>
  <c r="R620" i="1" s="1"/>
  <c r="M621" i="1" a="1"/>
  <c r="M621" i="1" s="1"/>
  <c r="R621" i="1" s="1"/>
  <c r="M622" i="1" a="1"/>
  <c r="M622" i="1" s="1"/>
  <c r="R622" i="1" s="1"/>
  <c r="M623" i="1" a="1"/>
  <c r="M623" i="1" s="1"/>
  <c r="R623" i="1" s="1"/>
  <c r="M624" i="1" a="1"/>
  <c r="M624" i="1" s="1"/>
  <c r="R624" i="1" s="1"/>
  <c r="M625" i="1" a="1"/>
  <c r="M625" i="1" s="1"/>
  <c r="R625" i="1" s="1"/>
  <c r="M626" i="1" a="1"/>
  <c r="M626" i="1" s="1"/>
  <c r="R626" i="1" s="1"/>
  <c r="M627" i="1" a="1"/>
  <c r="M627" i="1" s="1"/>
  <c r="R627" i="1" s="1"/>
  <c r="M628" i="1" a="1"/>
  <c r="M628" i="1" s="1"/>
  <c r="R628" i="1" s="1"/>
  <c r="M629" i="1" a="1"/>
  <c r="M629" i="1" s="1"/>
  <c r="R629" i="1" s="1"/>
  <c r="M630" i="1" a="1"/>
  <c r="M630" i="1" s="1"/>
  <c r="R630" i="1" s="1"/>
  <c r="M631" i="1" a="1"/>
  <c r="M631" i="1" s="1"/>
  <c r="R631" i="1" s="1"/>
  <c r="M632" i="1" a="1"/>
  <c r="M632" i="1" s="1"/>
  <c r="R632" i="1" s="1"/>
  <c r="M633" i="1" a="1"/>
  <c r="M633" i="1" s="1"/>
  <c r="R633" i="1" s="1"/>
  <c r="M634" i="1" a="1"/>
  <c r="M634" i="1" s="1"/>
  <c r="R634" i="1" s="1"/>
  <c r="M635" i="1" a="1"/>
  <c r="M635" i="1" s="1"/>
  <c r="R635" i="1" s="1"/>
  <c r="M636" i="1" a="1"/>
  <c r="M636" i="1" s="1"/>
  <c r="R636" i="1" s="1"/>
  <c r="M637" i="1" a="1"/>
  <c r="M637" i="1" s="1"/>
  <c r="R637" i="1" s="1"/>
  <c r="M638" i="1" a="1"/>
  <c r="M638" i="1" s="1"/>
  <c r="R638" i="1" s="1"/>
  <c r="M639" i="1" a="1"/>
  <c r="M639" i="1" s="1"/>
  <c r="R639" i="1" s="1"/>
  <c r="M640" i="1" a="1"/>
  <c r="M640" i="1" s="1"/>
  <c r="R640" i="1" s="1"/>
  <c r="M641" i="1" a="1"/>
  <c r="M641" i="1" s="1"/>
  <c r="R641" i="1" s="1"/>
  <c r="M642" i="1" a="1"/>
  <c r="M642" i="1" s="1"/>
  <c r="R642" i="1" s="1"/>
  <c r="M643" i="1" a="1"/>
  <c r="M643" i="1" s="1"/>
  <c r="R643" i="1" s="1"/>
  <c r="M644" i="1" a="1"/>
  <c r="M644" i="1" s="1"/>
  <c r="R644" i="1" s="1"/>
  <c r="M645" i="1" a="1"/>
  <c r="M645" i="1" s="1"/>
  <c r="R645" i="1" s="1"/>
  <c r="M646" i="1" a="1"/>
  <c r="M646" i="1" s="1"/>
  <c r="R646" i="1" s="1"/>
  <c r="M647" i="1" a="1"/>
  <c r="M647" i="1" s="1"/>
  <c r="R647" i="1" s="1"/>
  <c r="M648" i="1" a="1"/>
  <c r="M648" i="1" s="1"/>
  <c r="R648" i="1" s="1"/>
  <c r="M649" i="1" a="1"/>
  <c r="M649" i="1" s="1"/>
  <c r="R649" i="1" s="1"/>
  <c r="M650" i="1" a="1"/>
  <c r="M650" i="1" s="1"/>
  <c r="R650" i="1" s="1"/>
  <c r="M651" i="1" a="1"/>
  <c r="M651" i="1" s="1"/>
  <c r="R651" i="1" s="1"/>
  <c r="M652" i="1" a="1"/>
  <c r="M652" i="1" s="1"/>
  <c r="R652" i="1" s="1"/>
  <c r="M653" i="1" a="1"/>
  <c r="M653" i="1" s="1"/>
  <c r="R653" i="1" s="1"/>
  <c r="M654" i="1" a="1"/>
  <c r="M654" i="1" s="1"/>
  <c r="R654" i="1" s="1"/>
  <c r="M655" i="1" a="1"/>
  <c r="M655" i="1" s="1"/>
  <c r="R655" i="1" s="1"/>
  <c r="M656" i="1" a="1"/>
  <c r="M656" i="1" s="1"/>
  <c r="R656" i="1" s="1"/>
  <c r="M657" i="1" a="1"/>
  <c r="M657" i="1" s="1"/>
  <c r="R657" i="1" s="1"/>
  <c r="M658" i="1" a="1"/>
  <c r="M658" i="1" s="1"/>
  <c r="R658" i="1" s="1"/>
  <c r="M659" i="1" a="1"/>
  <c r="M659" i="1" s="1"/>
  <c r="R659" i="1" s="1"/>
  <c r="M660" i="1" a="1"/>
  <c r="M660" i="1" s="1"/>
  <c r="R660" i="1" s="1"/>
  <c r="M661" i="1" a="1"/>
  <c r="M661" i="1" s="1"/>
  <c r="R661" i="1" s="1"/>
  <c r="M662" i="1" a="1"/>
  <c r="M662" i="1" s="1"/>
  <c r="R662" i="1" s="1"/>
  <c r="M663" i="1" a="1"/>
  <c r="M663" i="1" s="1"/>
  <c r="R663" i="1" s="1"/>
  <c r="M664" i="1" a="1"/>
  <c r="M664" i="1" s="1"/>
  <c r="R664" i="1" s="1"/>
  <c r="M665" i="1" a="1"/>
  <c r="M665" i="1" s="1"/>
  <c r="R665" i="1" s="1"/>
  <c r="M666" i="1" a="1"/>
  <c r="M666" i="1" s="1"/>
  <c r="R666" i="1" s="1"/>
  <c r="M667" i="1" a="1"/>
  <c r="M667" i="1" s="1"/>
  <c r="R667" i="1" s="1"/>
  <c r="M668" i="1" a="1"/>
  <c r="M668" i="1" s="1"/>
  <c r="R668" i="1" s="1"/>
  <c r="M669" i="1" a="1"/>
  <c r="M669" i="1" s="1"/>
  <c r="R669" i="1" s="1"/>
  <c r="M670" i="1" a="1"/>
  <c r="M670" i="1" s="1"/>
  <c r="R670" i="1" s="1"/>
  <c r="M671" i="1" a="1"/>
  <c r="M671" i="1" s="1"/>
  <c r="R671" i="1" s="1"/>
  <c r="M672" i="1" a="1"/>
  <c r="M672" i="1" s="1"/>
  <c r="R672" i="1" s="1"/>
  <c r="M673" i="1" a="1"/>
  <c r="M673" i="1" s="1"/>
  <c r="R673" i="1" s="1"/>
  <c r="M674" i="1" a="1"/>
  <c r="M674" i="1" s="1"/>
  <c r="R674" i="1" s="1"/>
  <c r="M675" i="1" a="1"/>
  <c r="M675" i="1" s="1"/>
  <c r="R675" i="1" s="1"/>
  <c r="M676" i="1" a="1"/>
  <c r="M676" i="1" s="1"/>
  <c r="R676" i="1" s="1"/>
  <c r="M677" i="1" a="1"/>
  <c r="M677" i="1" s="1"/>
  <c r="R677" i="1" s="1"/>
  <c r="M678" i="1" a="1"/>
  <c r="M678" i="1" s="1"/>
  <c r="R678" i="1" s="1"/>
  <c r="M679" i="1" a="1"/>
  <c r="M679" i="1" s="1"/>
  <c r="R679" i="1" s="1"/>
  <c r="M680" i="1" a="1"/>
  <c r="M680" i="1" s="1"/>
  <c r="R680" i="1" s="1"/>
  <c r="M681" i="1" a="1"/>
  <c r="M681" i="1" s="1"/>
  <c r="R681" i="1" s="1"/>
  <c r="M682" i="1" a="1"/>
  <c r="M682" i="1" s="1"/>
  <c r="R682" i="1" s="1"/>
  <c r="M683" i="1" a="1"/>
  <c r="M683" i="1" s="1"/>
  <c r="R683" i="1" s="1"/>
  <c r="M684" i="1" a="1"/>
  <c r="M684" i="1" s="1"/>
  <c r="R684" i="1" s="1"/>
  <c r="M685" i="1" a="1"/>
  <c r="M685" i="1" s="1"/>
  <c r="R685" i="1" s="1"/>
  <c r="M686" i="1" a="1"/>
  <c r="M686" i="1" s="1"/>
  <c r="R686" i="1" s="1"/>
  <c r="M687" i="1" a="1"/>
  <c r="M687" i="1" s="1"/>
  <c r="R687" i="1" s="1"/>
  <c r="M688" i="1" a="1"/>
  <c r="M688" i="1" s="1"/>
  <c r="R688" i="1" s="1"/>
  <c r="M689" i="1" a="1"/>
  <c r="M689" i="1" s="1"/>
  <c r="R689" i="1" s="1"/>
  <c r="M690" i="1" a="1"/>
  <c r="M690" i="1" s="1"/>
  <c r="R690" i="1" s="1"/>
  <c r="M691" i="1" a="1"/>
  <c r="M691" i="1" s="1"/>
  <c r="R691" i="1" s="1"/>
  <c r="M692" i="1" a="1"/>
  <c r="M692" i="1" s="1"/>
  <c r="R692" i="1" s="1"/>
  <c r="M693" i="1" a="1"/>
  <c r="M693" i="1" s="1"/>
  <c r="R693" i="1" s="1"/>
  <c r="M694" i="1" a="1"/>
  <c r="M694" i="1" s="1"/>
  <c r="R694" i="1" s="1"/>
  <c r="M695" i="1" a="1"/>
  <c r="M695" i="1" s="1"/>
  <c r="R695" i="1" s="1"/>
  <c r="M696" i="1" a="1"/>
  <c r="M696" i="1" s="1"/>
  <c r="R696" i="1" s="1"/>
  <c r="M697" i="1" a="1"/>
  <c r="M697" i="1" s="1"/>
  <c r="R697" i="1" s="1"/>
  <c r="M698" i="1" a="1"/>
  <c r="M698" i="1" s="1"/>
  <c r="R698" i="1" s="1"/>
  <c r="M699" i="1" a="1"/>
  <c r="M699" i="1" s="1"/>
  <c r="R699" i="1" s="1"/>
  <c r="M700" i="1" a="1"/>
  <c r="M700" i="1" s="1"/>
  <c r="R700" i="1" s="1"/>
  <c r="M701" i="1" a="1"/>
  <c r="M701" i="1" s="1"/>
  <c r="R701" i="1" s="1"/>
  <c r="M702" i="1" a="1"/>
  <c r="M702" i="1" s="1"/>
  <c r="R702" i="1" s="1"/>
  <c r="M703" i="1" a="1"/>
  <c r="M703" i="1" s="1"/>
  <c r="R703" i="1" s="1"/>
  <c r="M704" i="1" a="1"/>
  <c r="M704" i="1" s="1"/>
  <c r="R704" i="1" s="1"/>
  <c r="M705" i="1" a="1"/>
  <c r="M705" i="1" s="1"/>
  <c r="R705" i="1" s="1"/>
  <c r="M706" i="1" a="1"/>
  <c r="M706" i="1" s="1"/>
  <c r="R706" i="1" s="1"/>
  <c r="M707" i="1" a="1"/>
  <c r="M707" i="1" s="1"/>
  <c r="R707" i="1" s="1"/>
  <c r="M708" i="1" a="1"/>
  <c r="M708" i="1" s="1"/>
  <c r="R708" i="1" s="1"/>
  <c r="M709" i="1" a="1"/>
  <c r="M709" i="1" s="1"/>
  <c r="R709" i="1" s="1"/>
  <c r="M710" i="1" a="1"/>
  <c r="M710" i="1" s="1"/>
  <c r="R710" i="1" s="1"/>
  <c r="M711" i="1" a="1"/>
  <c r="M711" i="1" s="1"/>
  <c r="R711" i="1" s="1"/>
  <c r="M712" i="1" a="1"/>
  <c r="M712" i="1" s="1"/>
  <c r="R712" i="1" s="1"/>
  <c r="M713" i="1" a="1"/>
  <c r="M713" i="1" s="1"/>
  <c r="R713" i="1" s="1"/>
  <c r="M714" i="1" a="1"/>
  <c r="M714" i="1" s="1"/>
  <c r="R714" i="1" s="1"/>
  <c r="M715" i="1" a="1"/>
  <c r="M715" i="1" s="1"/>
  <c r="R715" i="1" s="1"/>
  <c r="M716" i="1" a="1"/>
  <c r="M716" i="1" s="1"/>
  <c r="R716" i="1" s="1"/>
  <c r="M717" i="1" a="1"/>
  <c r="M717" i="1" s="1"/>
  <c r="R717" i="1" s="1"/>
  <c r="M718" i="1" a="1"/>
  <c r="M718" i="1" s="1"/>
  <c r="R718" i="1" s="1"/>
  <c r="M719" i="1" a="1"/>
  <c r="M719" i="1" s="1"/>
  <c r="R719" i="1" s="1"/>
  <c r="M720" i="1" a="1"/>
  <c r="M720" i="1" s="1"/>
  <c r="R720" i="1" s="1"/>
  <c r="M721" i="1" a="1"/>
  <c r="M721" i="1" s="1"/>
  <c r="R721" i="1" s="1"/>
  <c r="M722" i="1" a="1"/>
  <c r="M722" i="1" s="1"/>
  <c r="R722" i="1" s="1"/>
  <c r="M723" i="1" a="1"/>
  <c r="M723" i="1" s="1"/>
  <c r="R723" i="1" s="1"/>
  <c r="M724" i="1" a="1"/>
  <c r="M724" i="1" s="1"/>
  <c r="R724" i="1" s="1"/>
  <c r="M725" i="1" a="1"/>
  <c r="M725" i="1" s="1"/>
  <c r="R725" i="1" s="1"/>
  <c r="M726" i="1" a="1"/>
  <c r="M726" i="1" s="1"/>
  <c r="R726" i="1" s="1"/>
  <c r="M727" i="1" a="1"/>
  <c r="M727" i="1" s="1"/>
  <c r="R727" i="1" s="1"/>
  <c r="M728" i="1" a="1"/>
  <c r="M728" i="1" s="1"/>
  <c r="R728" i="1" s="1"/>
  <c r="M729" i="1" a="1"/>
  <c r="M729" i="1" s="1"/>
  <c r="R729" i="1" s="1"/>
  <c r="M730" i="1" a="1"/>
  <c r="M730" i="1" s="1"/>
  <c r="R730" i="1" s="1"/>
  <c r="M731" i="1" a="1"/>
  <c r="M731" i="1" s="1"/>
  <c r="R731" i="1" s="1"/>
  <c r="M732" i="1" a="1"/>
  <c r="M732" i="1" s="1"/>
  <c r="R732" i="1" s="1"/>
  <c r="M733" i="1" a="1"/>
  <c r="M733" i="1" s="1"/>
  <c r="R733" i="1" s="1"/>
  <c r="M734" i="1" a="1"/>
  <c r="M734" i="1" s="1"/>
  <c r="R734" i="1" s="1"/>
  <c r="M735" i="1" a="1"/>
  <c r="M735" i="1" s="1"/>
  <c r="R735" i="1" s="1"/>
  <c r="M736" i="1" a="1"/>
  <c r="M736" i="1" s="1"/>
  <c r="R736" i="1" s="1"/>
  <c r="M737" i="1" a="1"/>
  <c r="M737" i="1" s="1"/>
  <c r="R737" i="1" s="1"/>
  <c r="M738" i="1" a="1"/>
  <c r="M738" i="1" s="1"/>
  <c r="R738" i="1" s="1"/>
  <c r="M739" i="1" a="1"/>
  <c r="M739" i="1" s="1"/>
  <c r="R739" i="1" s="1"/>
  <c r="M740" i="1" a="1"/>
  <c r="M740" i="1" s="1"/>
  <c r="R740" i="1" s="1"/>
  <c r="M741" i="1" a="1"/>
  <c r="M741" i="1" s="1"/>
  <c r="R741" i="1" s="1"/>
  <c r="M742" i="1" a="1"/>
  <c r="M742" i="1" s="1"/>
  <c r="R742" i="1" s="1"/>
  <c r="M743" i="1" a="1"/>
  <c r="M743" i="1" s="1"/>
  <c r="R743" i="1" s="1"/>
  <c r="M744" i="1" a="1"/>
  <c r="M744" i="1" s="1"/>
  <c r="R744" i="1" s="1"/>
  <c r="M745" i="1" a="1"/>
  <c r="M745" i="1" s="1"/>
  <c r="R745" i="1" s="1"/>
  <c r="M746" i="1" a="1"/>
  <c r="M746" i="1" s="1"/>
  <c r="R746" i="1" s="1"/>
  <c r="M747" i="1" a="1"/>
  <c r="M747" i="1" s="1"/>
  <c r="R747" i="1" s="1"/>
  <c r="M748" i="1" a="1"/>
  <c r="M748" i="1" s="1"/>
  <c r="R748" i="1" s="1"/>
  <c r="M749" i="1" a="1"/>
  <c r="M749" i="1" s="1"/>
  <c r="R749" i="1" s="1"/>
  <c r="M750" i="1" a="1"/>
  <c r="M750" i="1" s="1"/>
  <c r="R750" i="1" s="1"/>
  <c r="M751" i="1" a="1"/>
  <c r="M751" i="1" s="1"/>
  <c r="R751" i="1" s="1"/>
  <c r="M752" i="1" a="1"/>
  <c r="M752" i="1" s="1"/>
  <c r="R752" i="1" s="1"/>
  <c r="M753" i="1" a="1"/>
  <c r="M753" i="1" s="1"/>
  <c r="R753" i="1" s="1"/>
  <c r="M754" i="1" a="1"/>
  <c r="M754" i="1" s="1"/>
  <c r="R754" i="1" s="1"/>
  <c r="M755" i="1" a="1"/>
  <c r="M755" i="1" s="1"/>
  <c r="R755" i="1" s="1"/>
  <c r="M756" i="1" a="1"/>
  <c r="M756" i="1" s="1"/>
  <c r="R756" i="1" s="1"/>
  <c r="M757" i="1" a="1"/>
  <c r="M757" i="1" s="1"/>
  <c r="R757" i="1" s="1"/>
  <c r="M758" i="1" a="1"/>
  <c r="M758" i="1" s="1"/>
  <c r="R758" i="1" s="1"/>
  <c r="M759" i="1" a="1"/>
  <c r="M759" i="1" s="1"/>
  <c r="R759" i="1" s="1"/>
  <c r="M760" i="1" a="1"/>
  <c r="M760" i="1" s="1"/>
  <c r="R760" i="1" s="1"/>
  <c r="M761" i="1" a="1"/>
  <c r="M761" i="1" s="1"/>
  <c r="R761" i="1" s="1"/>
  <c r="M762" i="1" a="1"/>
  <c r="M762" i="1" s="1"/>
  <c r="R762" i="1" s="1"/>
  <c r="M763" i="1" a="1"/>
  <c r="M763" i="1" s="1"/>
  <c r="R763" i="1" s="1"/>
  <c r="M764" i="1" a="1"/>
  <c r="M764" i="1" s="1"/>
  <c r="R764" i="1" s="1"/>
  <c r="M765" i="1" a="1"/>
  <c r="M765" i="1" s="1"/>
  <c r="R765" i="1" s="1"/>
  <c r="M766" i="1" a="1"/>
  <c r="M766" i="1" s="1"/>
  <c r="R766" i="1" s="1"/>
  <c r="M767" i="1" a="1"/>
  <c r="M767" i="1" s="1"/>
  <c r="R767" i="1" s="1"/>
  <c r="M768" i="1" a="1"/>
  <c r="M768" i="1" s="1"/>
  <c r="R768" i="1" s="1"/>
  <c r="M769" i="1" a="1"/>
  <c r="M769" i="1" s="1"/>
  <c r="R769" i="1" s="1"/>
  <c r="M770" i="1" a="1"/>
  <c r="M770" i="1" s="1"/>
  <c r="R770" i="1" s="1"/>
  <c r="M771" i="1" a="1"/>
  <c r="M771" i="1" s="1"/>
  <c r="R771" i="1" s="1"/>
  <c r="M772" i="1" a="1"/>
  <c r="M772" i="1" s="1"/>
  <c r="R772" i="1" s="1"/>
  <c r="M773" i="1" a="1"/>
  <c r="M773" i="1" s="1"/>
  <c r="R773" i="1" s="1"/>
  <c r="M774" i="1" a="1"/>
  <c r="M774" i="1" s="1"/>
  <c r="R774" i="1" s="1"/>
  <c r="M775" i="1" a="1"/>
  <c r="M775" i="1" s="1"/>
  <c r="R775" i="1" s="1"/>
  <c r="M776" i="1" a="1"/>
  <c r="M776" i="1" s="1"/>
  <c r="R776" i="1" s="1"/>
  <c r="M777" i="1" a="1"/>
  <c r="M777" i="1" s="1"/>
  <c r="R777" i="1" s="1"/>
  <c r="M778" i="1" a="1"/>
  <c r="M778" i="1" s="1"/>
  <c r="R778" i="1" s="1"/>
  <c r="M779" i="1" a="1"/>
  <c r="M779" i="1" s="1"/>
  <c r="R779" i="1" s="1"/>
  <c r="M780" i="1" a="1"/>
  <c r="M780" i="1" s="1"/>
  <c r="R780" i="1" s="1"/>
  <c r="M781" i="1" a="1"/>
  <c r="M781" i="1" s="1"/>
  <c r="R781" i="1" s="1"/>
  <c r="M782" i="1" a="1"/>
  <c r="M782" i="1" s="1"/>
  <c r="R782" i="1" s="1"/>
  <c r="M783" i="1" a="1"/>
  <c r="M783" i="1" s="1"/>
  <c r="R783" i="1" s="1"/>
  <c r="M784" i="1" a="1"/>
  <c r="M784" i="1" s="1"/>
  <c r="R784" i="1" s="1"/>
  <c r="M785" i="1" a="1"/>
  <c r="M785" i="1" s="1"/>
  <c r="R785" i="1" s="1"/>
  <c r="M786" i="1" a="1"/>
  <c r="M786" i="1" s="1"/>
  <c r="R786" i="1" s="1"/>
  <c r="M787" i="1" a="1"/>
  <c r="M787" i="1" s="1"/>
  <c r="R787" i="1" s="1"/>
  <c r="M788" i="1" a="1"/>
  <c r="M788" i="1" s="1"/>
  <c r="R788" i="1" s="1"/>
  <c r="M789" i="1" a="1"/>
  <c r="M789" i="1" s="1"/>
  <c r="R789" i="1" s="1"/>
  <c r="M790" i="1" a="1"/>
  <c r="M790" i="1" s="1"/>
  <c r="R790" i="1" s="1"/>
  <c r="M791" i="1" a="1"/>
  <c r="M791" i="1" s="1"/>
  <c r="R791" i="1" s="1"/>
  <c r="M792" i="1" a="1"/>
  <c r="M792" i="1" s="1"/>
  <c r="R792" i="1" s="1"/>
  <c r="M793" i="1" a="1"/>
  <c r="M793" i="1" s="1"/>
  <c r="R793" i="1" s="1"/>
  <c r="M794" i="1" a="1"/>
  <c r="M794" i="1" s="1"/>
  <c r="R794" i="1" s="1"/>
  <c r="M795" i="1" a="1"/>
  <c r="M795" i="1" s="1"/>
  <c r="R795" i="1" s="1"/>
  <c r="M796" i="1" a="1"/>
  <c r="M796" i="1" s="1"/>
  <c r="R796" i="1" s="1"/>
  <c r="M797" i="1" a="1"/>
  <c r="M797" i="1" s="1"/>
  <c r="R797" i="1" s="1"/>
  <c r="M798" i="1" a="1"/>
  <c r="M798" i="1" s="1"/>
  <c r="R798" i="1" s="1"/>
  <c r="M799" i="1" a="1"/>
  <c r="M799" i="1" s="1"/>
  <c r="R799" i="1" s="1"/>
  <c r="M800" i="1" a="1"/>
  <c r="M800" i="1" s="1"/>
  <c r="R800" i="1" s="1"/>
  <c r="M801" i="1" a="1"/>
  <c r="M801" i="1" s="1"/>
  <c r="R801" i="1" s="1"/>
  <c r="M802" i="1" a="1"/>
  <c r="M802" i="1" s="1"/>
  <c r="R802" i="1" s="1"/>
  <c r="M803" i="1" a="1"/>
  <c r="M803" i="1" s="1"/>
  <c r="R803" i="1" s="1"/>
  <c r="M804" i="1" a="1"/>
  <c r="M804" i="1" s="1"/>
  <c r="R804" i="1" s="1"/>
  <c r="M805" i="1" a="1"/>
  <c r="M805" i="1" s="1"/>
  <c r="R805" i="1" s="1"/>
  <c r="M806" i="1" a="1"/>
  <c r="M806" i="1" s="1"/>
  <c r="R806" i="1" s="1"/>
  <c r="M807" i="1" a="1"/>
  <c r="M807" i="1" s="1"/>
  <c r="R807" i="1" s="1"/>
  <c r="M808" i="1" a="1"/>
  <c r="M808" i="1" s="1"/>
  <c r="R808" i="1" s="1"/>
  <c r="M809" i="1" a="1"/>
  <c r="M809" i="1" s="1"/>
  <c r="R809" i="1" s="1"/>
  <c r="M810" i="1" a="1"/>
  <c r="M810" i="1" s="1"/>
  <c r="R810" i="1" s="1"/>
  <c r="M811" i="1" a="1"/>
  <c r="M811" i="1" s="1"/>
  <c r="R811" i="1" s="1"/>
  <c r="M812" i="1" a="1"/>
  <c r="M812" i="1" s="1"/>
  <c r="R812" i="1" s="1"/>
  <c r="M813" i="1" a="1"/>
  <c r="M813" i="1" s="1"/>
  <c r="R813" i="1" s="1"/>
  <c r="M814" i="1" a="1"/>
  <c r="M814" i="1" s="1"/>
  <c r="R814" i="1" s="1"/>
  <c r="M815" i="1" a="1"/>
  <c r="M815" i="1" s="1"/>
  <c r="R815" i="1" s="1"/>
  <c r="M816" i="1" a="1"/>
  <c r="M816" i="1" s="1"/>
  <c r="R816" i="1" s="1"/>
  <c r="M817" i="1" a="1"/>
  <c r="M817" i="1" s="1"/>
  <c r="R817" i="1" s="1"/>
  <c r="M818" i="1" a="1"/>
  <c r="M818" i="1" s="1"/>
  <c r="R818" i="1" s="1"/>
  <c r="M819" i="1" a="1"/>
  <c r="M819" i="1" s="1"/>
  <c r="R819" i="1" s="1"/>
  <c r="M820" i="1" a="1"/>
  <c r="M820" i="1" s="1"/>
  <c r="R820" i="1" s="1"/>
  <c r="M821" i="1" a="1"/>
  <c r="M821" i="1" s="1"/>
  <c r="R821" i="1" s="1"/>
  <c r="M822" i="1" a="1"/>
  <c r="M822" i="1" s="1"/>
  <c r="R822" i="1" s="1"/>
  <c r="M823" i="1" a="1"/>
  <c r="M823" i="1" s="1"/>
  <c r="R823" i="1" s="1"/>
  <c r="M824" i="1" a="1"/>
  <c r="M824" i="1" s="1"/>
  <c r="R824" i="1" s="1"/>
  <c r="M825" i="1" a="1"/>
  <c r="M825" i="1" s="1"/>
  <c r="R825" i="1" s="1"/>
  <c r="M826" i="1" a="1"/>
  <c r="M826" i="1" s="1"/>
  <c r="R826" i="1" s="1"/>
  <c r="M827" i="1" a="1"/>
  <c r="M827" i="1" s="1"/>
  <c r="R827" i="1" s="1"/>
  <c r="M828" i="1" a="1"/>
  <c r="M828" i="1" s="1"/>
  <c r="R828" i="1" s="1"/>
  <c r="M829" i="1" a="1"/>
  <c r="M829" i="1" s="1"/>
  <c r="R829" i="1" s="1"/>
  <c r="M830" i="1" a="1"/>
  <c r="M830" i="1" s="1"/>
  <c r="R830" i="1" s="1"/>
  <c r="M831" i="1" a="1"/>
  <c r="M831" i="1" s="1"/>
  <c r="R831" i="1" s="1"/>
  <c r="M832" i="1" a="1"/>
  <c r="M832" i="1" s="1"/>
  <c r="R832" i="1" s="1"/>
  <c r="M833" i="1" a="1"/>
  <c r="M833" i="1" s="1"/>
  <c r="R833" i="1" s="1"/>
  <c r="M834" i="1" a="1"/>
  <c r="M834" i="1" s="1"/>
  <c r="R834" i="1" s="1"/>
  <c r="M835" i="1" a="1"/>
  <c r="M835" i="1" s="1"/>
  <c r="R835" i="1" s="1"/>
  <c r="M836" i="1" a="1"/>
  <c r="M836" i="1" s="1"/>
  <c r="R836" i="1" s="1"/>
  <c r="M837" i="1" a="1"/>
  <c r="M837" i="1" s="1"/>
  <c r="R837" i="1" s="1"/>
  <c r="M838" i="1" a="1"/>
  <c r="M838" i="1" s="1"/>
  <c r="R838" i="1" s="1"/>
  <c r="M839" i="1" a="1"/>
  <c r="M839" i="1" s="1"/>
  <c r="R839" i="1" s="1"/>
  <c r="M840" i="1" a="1"/>
  <c r="M840" i="1" s="1"/>
  <c r="R840" i="1" s="1"/>
  <c r="M841" i="1" a="1"/>
  <c r="M841" i="1" s="1"/>
  <c r="R841" i="1" s="1"/>
  <c r="M842" i="1" a="1"/>
  <c r="M842" i="1" s="1"/>
  <c r="R842" i="1" s="1"/>
  <c r="M843" i="1" a="1"/>
  <c r="M843" i="1" s="1"/>
  <c r="R843" i="1" s="1"/>
  <c r="M844" i="1" a="1"/>
  <c r="M844" i="1" s="1"/>
  <c r="R844" i="1" s="1"/>
  <c r="M845" i="1" a="1"/>
  <c r="M845" i="1" s="1"/>
  <c r="R845" i="1" s="1"/>
  <c r="M846" i="1" a="1"/>
  <c r="M846" i="1" s="1"/>
  <c r="R846" i="1" s="1"/>
  <c r="M847" i="1" a="1"/>
  <c r="M847" i="1" s="1"/>
  <c r="R847" i="1" s="1"/>
  <c r="M848" i="1" a="1"/>
  <c r="M848" i="1" s="1"/>
  <c r="R848" i="1" s="1"/>
  <c r="M849" i="1" a="1"/>
  <c r="M849" i="1" s="1"/>
  <c r="R849" i="1" s="1"/>
  <c r="M850" i="1" a="1"/>
  <c r="M850" i="1" s="1"/>
  <c r="R850" i="1" s="1"/>
  <c r="M851" i="1" a="1"/>
  <c r="M851" i="1" s="1"/>
  <c r="R851" i="1" s="1"/>
  <c r="M852" i="1" a="1"/>
  <c r="M852" i="1" s="1"/>
  <c r="R852" i="1" s="1"/>
  <c r="M853" i="1" a="1"/>
  <c r="M853" i="1" s="1"/>
  <c r="R853" i="1" s="1"/>
  <c r="M854" i="1" a="1"/>
  <c r="M854" i="1" s="1"/>
  <c r="R854" i="1" s="1"/>
  <c r="M855" i="1" a="1"/>
  <c r="M855" i="1" s="1"/>
  <c r="R855" i="1" s="1"/>
  <c r="M856" i="1" a="1"/>
  <c r="M856" i="1" s="1"/>
  <c r="R856" i="1" s="1"/>
  <c r="M857" i="1" a="1"/>
  <c r="M857" i="1" s="1"/>
  <c r="R857" i="1" s="1"/>
  <c r="M858" i="1" a="1"/>
  <c r="M858" i="1" s="1"/>
  <c r="R858" i="1" s="1"/>
  <c r="M859" i="1" a="1"/>
  <c r="M859" i="1" s="1"/>
  <c r="R859" i="1" s="1"/>
  <c r="M860" i="1" a="1"/>
  <c r="M860" i="1" s="1"/>
  <c r="R860" i="1" s="1"/>
  <c r="M861" i="1" a="1"/>
  <c r="M861" i="1" s="1"/>
  <c r="R861" i="1" s="1"/>
  <c r="M862" i="1" a="1"/>
  <c r="M862" i="1" s="1"/>
  <c r="R862" i="1" s="1"/>
  <c r="M863" i="1" a="1"/>
  <c r="M863" i="1" s="1"/>
  <c r="R863" i="1" s="1"/>
  <c r="M864" i="1" a="1"/>
  <c r="M864" i="1" s="1"/>
  <c r="R864" i="1" s="1"/>
  <c r="M865" i="1" a="1"/>
  <c r="M865" i="1" s="1"/>
  <c r="R865" i="1" s="1"/>
  <c r="M866" i="1" a="1"/>
  <c r="M866" i="1" s="1"/>
  <c r="R866" i="1" s="1"/>
  <c r="M867" i="1" a="1"/>
  <c r="M867" i="1" s="1"/>
  <c r="R867" i="1" s="1"/>
  <c r="M868" i="1" a="1"/>
  <c r="M868" i="1" s="1"/>
  <c r="R868" i="1" s="1"/>
  <c r="M869" i="1" a="1"/>
  <c r="M869" i="1" s="1"/>
  <c r="R869" i="1" s="1"/>
  <c r="M870" i="1" a="1"/>
  <c r="M870" i="1" s="1"/>
  <c r="R870" i="1" s="1"/>
  <c r="M871" i="1" a="1"/>
  <c r="M871" i="1" s="1"/>
  <c r="R871" i="1" s="1"/>
  <c r="M872" i="1" a="1"/>
  <c r="M872" i="1" s="1"/>
  <c r="R872" i="1" s="1"/>
  <c r="M873" i="1" a="1"/>
  <c r="M873" i="1" s="1"/>
  <c r="R873" i="1" s="1"/>
  <c r="M874" i="1" a="1"/>
  <c r="M874" i="1" s="1"/>
  <c r="R874" i="1" s="1"/>
  <c r="M875" i="1" a="1"/>
  <c r="M875" i="1" s="1"/>
  <c r="R875" i="1" s="1"/>
  <c r="M876" i="1" a="1"/>
  <c r="M876" i="1" s="1"/>
  <c r="R876" i="1" s="1"/>
  <c r="M877" i="1" a="1"/>
  <c r="M877" i="1" s="1"/>
  <c r="R877" i="1" s="1"/>
  <c r="M878" i="1" a="1"/>
  <c r="M878" i="1" s="1"/>
  <c r="R878" i="1" s="1"/>
  <c r="M879" i="1" a="1"/>
  <c r="M879" i="1" s="1"/>
  <c r="R879" i="1" s="1"/>
  <c r="M880" i="1" a="1"/>
  <c r="M880" i="1" s="1"/>
  <c r="R880" i="1" s="1"/>
  <c r="M881" i="1" a="1"/>
  <c r="M881" i="1" s="1"/>
  <c r="R881" i="1" s="1"/>
  <c r="M882" i="1" a="1"/>
  <c r="M882" i="1" s="1"/>
  <c r="R882" i="1" s="1"/>
  <c r="M883" i="1" a="1"/>
  <c r="M883" i="1" s="1"/>
  <c r="R883" i="1" s="1"/>
  <c r="M884" i="1" a="1"/>
  <c r="M884" i="1" s="1"/>
  <c r="R884" i="1" s="1"/>
  <c r="M885" i="1" a="1"/>
  <c r="M885" i="1" s="1"/>
  <c r="R885" i="1" s="1"/>
  <c r="M886" i="1" a="1"/>
  <c r="M886" i="1" s="1"/>
  <c r="R886" i="1" s="1"/>
  <c r="M887" i="1" a="1"/>
  <c r="M887" i="1" s="1"/>
  <c r="R887" i="1" s="1"/>
  <c r="M888" i="1" a="1"/>
  <c r="M888" i="1" s="1"/>
  <c r="R888" i="1" s="1"/>
  <c r="M889" i="1" a="1"/>
  <c r="M889" i="1" s="1"/>
  <c r="R889" i="1" s="1"/>
  <c r="M890" i="1" a="1"/>
  <c r="M890" i="1" s="1"/>
  <c r="R890" i="1" s="1"/>
  <c r="M891" i="1" a="1"/>
  <c r="M891" i="1" s="1"/>
  <c r="R891" i="1" s="1"/>
  <c r="M892" i="1" a="1"/>
  <c r="M892" i="1" s="1"/>
  <c r="R892" i="1" s="1"/>
  <c r="M893" i="1" a="1"/>
  <c r="M893" i="1" s="1"/>
  <c r="R893" i="1" s="1"/>
  <c r="M894" i="1" a="1"/>
  <c r="M894" i="1" s="1"/>
  <c r="R894" i="1" s="1"/>
  <c r="M895" i="1" a="1"/>
  <c r="M895" i="1" s="1"/>
  <c r="R895" i="1" s="1"/>
  <c r="M896" i="1" a="1"/>
  <c r="M896" i="1" s="1"/>
  <c r="R896" i="1" s="1"/>
  <c r="M897" i="1" a="1"/>
  <c r="M897" i="1" s="1"/>
  <c r="R897" i="1" s="1"/>
  <c r="M898" i="1" a="1"/>
  <c r="M898" i="1" s="1"/>
  <c r="R898" i="1" s="1"/>
  <c r="M899" i="1" a="1"/>
  <c r="M899" i="1" s="1"/>
  <c r="R899" i="1" s="1"/>
  <c r="M900" i="1" a="1"/>
  <c r="M900" i="1" s="1"/>
  <c r="R900" i="1" s="1"/>
  <c r="M901" i="1" a="1"/>
  <c r="M901" i="1" s="1"/>
  <c r="R901" i="1" s="1"/>
  <c r="M902" i="1" a="1"/>
  <c r="M902" i="1" s="1"/>
  <c r="R902" i="1" s="1"/>
  <c r="M903" i="1" a="1"/>
  <c r="M903" i="1" s="1"/>
  <c r="R903" i="1" s="1"/>
  <c r="M904" i="1" a="1"/>
  <c r="M904" i="1" s="1"/>
  <c r="R904" i="1" s="1"/>
  <c r="M905" i="1" a="1"/>
  <c r="M905" i="1" s="1"/>
  <c r="R905" i="1" s="1"/>
  <c r="M906" i="1" a="1"/>
  <c r="M906" i="1" s="1"/>
  <c r="R906" i="1" s="1"/>
  <c r="M907" i="1" a="1"/>
  <c r="M907" i="1" s="1"/>
  <c r="R907" i="1" s="1"/>
  <c r="M908" i="1" a="1"/>
  <c r="M908" i="1" s="1"/>
  <c r="R908" i="1" s="1"/>
  <c r="M909" i="1" a="1"/>
  <c r="M909" i="1" s="1"/>
  <c r="R909" i="1" s="1"/>
  <c r="M910" i="1" a="1"/>
  <c r="M910" i="1" s="1"/>
  <c r="R910" i="1" s="1"/>
  <c r="M911" i="1" a="1"/>
  <c r="M911" i="1" s="1"/>
  <c r="R911" i="1" s="1"/>
  <c r="M912" i="1" a="1"/>
  <c r="M912" i="1" s="1"/>
  <c r="R912" i="1" s="1"/>
  <c r="M913" i="1" a="1"/>
  <c r="M913" i="1" s="1"/>
  <c r="R913" i="1" s="1"/>
  <c r="M914" i="1" a="1"/>
  <c r="M914" i="1" s="1"/>
  <c r="R914" i="1" s="1"/>
  <c r="M915" i="1" a="1"/>
  <c r="M915" i="1" s="1"/>
  <c r="R915" i="1" s="1"/>
  <c r="M916" i="1" a="1"/>
  <c r="M916" i="1" s="1"/>
  <c r="R916" i="1" s="1"/>
  <c r="M917" i="1" a="1"/>
  <c r="M917" i="1" s="1"/>
  <c r="R917" i="1" s="1"/>
  <c r="M918" i="1" a="1"/>
  <c r="M918" i="1" s="1"/>
  <c r="R918" i="1" s="1"/>
  <c r="M919" i="1" a="1"/>
  <c r="M919" i="1" s="1"/>
  <c r="R919" i="1" s="1"/>
  <c r="M920" i="1" a="1"/>
  <c r="M920" i="1" s="1"/>
  <c r="R920" i="1" s="1"/>
  <c r="M921" i="1" a="1"/>
  <c r="M921" i="1" s="1"/>
  <c r="R921" i="1" s="1"/>
  <c r="M922" i="1" a="1"/>
  <c r="M922" i="1" s="1"/>
  <c r="R922" i="1" s="1"/>
  <c r="M923" i="1" a="1"/>
  <c r="M923" i="1" s="1"/>
  <c r="R923" i="1" s="1"/>
  <c r="M924" i="1" a="1"/>
  <c r="M924" i="1" s="1"/>
  <c r="R924" i="1" s="1"/>
  <c r="M925" i="1" a="1"/>
  <c r="M925" i="1" s="1"/>
  <c r="R925" i="1" s="1"/>
  <c r="M926" i="1" a="1"/>
  <c r="M926" i="1" s="1"/>
  <c r="R926" i="1" s="1"/>
  <c r="M927" i="1" a="1"/>
  <c r="M927" i="1" s="1"/>
  <c r="R927" i="1" s="1"/>
  <c r="M928" i="1" a="1"/>
  <c r="M928" i="1" s="1"/>
  <c r="R928" i="1" s="1"/>
  <c r="M929" i="1" a="1"/>
  <c r="M929" i="1" s="1"/>
  <c r="R929" i="1" s="1"/>
  <c r="M930" i="1" a="1"/>
  <c r="M930" i="1" s="1"/>
  <c r="R930" i="1" s="1"/>
  <c r="M931" i="1" a="1"/>
  <c r="M931" i="1" s="1"/>
  <c r="R931" i="1" s="1"/>
  <c r="M932" i="1" a="1"/>
  <c r="M932" i="1" s="1"/>
  <c r="R932" i="1" s="1"/>
  <c r="M933" i="1" a="1"/>
  <c r="M933" i="1" s="1"/>
  <c r="R933" i="1" s="1"/>
  <c r="M934" i="1" a="1"/>
  <c r="M934" i="1" s="1"/>
  <c r="R934" i="1" s="1"/>
  <c r="M935" i="1" a="1"/>
  <c r="M935" i="1" s="1"/>
  <c r="R935" i="1" s="1"/>
  <c r="M936" i="1" a="1"/>
  <c r="M936" i="1" s="1"/>
  <c r="R936" i="1" s="1"/>
  <c r="M937" i="1" a="1"/>
  <c r="M937" i="1" s="1"/>
  <c r="R937" i="1" s="1"/>
  <c r="M938" i="1" a="1"/>
  <c r="M938" i="1" s="1"/>
  <c r="R938" i="1" s="1"/>
  <c r="M939" i="1" a="1"/>
  <c r="M939" i="1" s="1"/>
  <c r="R939" i="1" s="1"/>
  <c r="M940" i="1" a="1"/>
  <c r="M940" i="1" s="1"/>
  <c r="R940" i="1" s="1"/>
  <c r="M941" i="1" a="1"/>
  <c r="M941" i="1" s="1"/>
  <c r="R941" i="1" s="1"/>
  <c r="M942" i="1" a="1"/>
  <c r="M942" i="1" s="1"/>
  <c r="R942" i="1" s="1"/>
  <c r="M943" i="1" a="1"/>
  <c r="M943" i="1" s="1"/>
  <c r="R943" i="1" s="1"/>
  <c r="M944" i="1" a="1"/>
  <c r="M944" i="1" s="1"/>
  <c r="R944" i="1" s="1"/>
  <c r="M945" i="1" a="1"/>
  <c r="M945" i="1" s="1"/>
  <c r="R945" i="1" s="1"/>
  <c r="M946" i="1" a="1"/>
  <c r="M946" i="1" s="1"/>
  <c r="R946" i="1" s="1"/>
  <c r="M947" i="1" a="1"/>
  <c r="M947" i="1" s="1"/>
  <c r="R947" i="1" s="1"/>
  <c r="M948" i="1" a="1"/>
  <c r="M948" i="1" s="1"/>
  <c r="R948" i="1" s="1"/>
  <c r="M949" i="1" a="1"/>
  <c r="M949" i="1" s="1"/>
  <c r="R949" i="1" s="1"/>
  <c r="M950" i="1" a="1"/>
  <c r="M950" i="1" s="1"/>
  <c r="R950" i="1" s="1"/>
  <c r="M951" i="1" a="1"/>
  <c r="M951" i="1" s="1"/>
  <c r="R951" i="1" s="1"/>
  <c r="M952" i="1" a="1"/>
  <c r="M952" i="1" s="1"/>
  <c r="R952" i="1" s="1"/>
  <c r="M953" i="1" a="1"/>
  <c r="M953" i="1" s="1"/>
  <c r="R953" i="1" s="1"/>
  <c r="M954" i="1" a="1"/>
  <c r="M954" i="1" s="1"/>
  <c r="R954" i="1" s="1"/>
  <c r="M955" i="1" a="1"/>
  <c r="M955" i="1" s="1"/>
  <c r="R955" i="1" s="1"/>
  <c r="M956" i="1" a="1"/>
  <c r="M956" i="1" s="1"/>
  <c r="R956" i="1" s="1"/>
  <c r="M957" i="1" a="1"/>
  <c r="M957" i="1" s="1"/>
  <c r="R957" i="1" s="1"/>
  <c r="M958" i="1" a="1"/>
  <c r="M958" i="1" s="1"/>
  <c r="R958" i="1" s="1"/>
  <c r="M959" i="1" a="1"/>
  <c r="M959" i="1" s="1"/>
  <c r="R959" i="1" s="1"/>
  <c r="M960" i="1" a="1"/>
  <c r="M960" i="1" s="1"/>
  <c r="R960" i="1" s="1"/>
  <c r="M961" i="1" a="1"/>
  <c r="M961" i="1" s="1"/>
  <c r="R961" i="1" s="1"/>
  <c r="M962" i="1" a="1"/>
  <c r="M962" i="1" s="1"/>
  <c r="R962" i="1" s="1"/>
  <c r="M963" i="1" a="1"/>
  <c r="M963" i="1" s="1"/>
  <c r="R963" i="1" s="1"/>
  <c r="M964" i="1" a="1"/>
  <c r="M964" i="1" s="1"/>
  <c r="R964" i="1" s="1"/>
  <c r="M965" i="1" a="1"/>
  <c r="M965" i="1" s="1"/>
  <c r="R965" i="1" s="1"/>
  <c r="M966" i="1" a="1"/>
  <c r="M966" i="1" s="1"/>
  <c r="R966" i="1" s="1"/>
  <c r="M967" i="1" a="1"/>
  <c r="M967" i="1" s="1"/>
  <c r="R967" i="1" s="1"/>
  <c r="M968" i="1" a="1"/>
  <c r="M968" i="1" s="1"/>
  <c r="R968" i="1" s="1"/>
  <c r="M969" i="1" a="1"/>
  <c r="M969" i="1" s="1"/>
  <c r="R969" i="1" s="1"/>
  <c r="M970" i="1" a="1"/>
  <c r="M970" i="1" s="1"/>
  <c r="R970" i="1" s="1"/>
  <c r="M971" i="1" a="1"/>
  <c r="M971" i="1" s="1"/>
  <c r="R971" i="1" s="1"/>
  <c r="M972" i="1" a="1"/>
  <c r="M972" i="1" s="1"/>
  <c r="R972" i="1" s="1"/>
  <c r="M973" i="1" a="1"/>
  <c r="M973" i="1" s="1"/>
  <c r="R973" i="1" s="1"/>
  <c r="M974" i="1" a="1"/>
  <c r="M974" i="1" s="1"/>
  <c r="R974" i="1" s="1"/>
  <c r="M975" i="1" a="1"/>
  <c r="M975" i="1" s="1"/>
  <c r="R975" i="1" s="1"/>
  <c r="M976" i="1" a="1"/>
  <c r="M976" i="1" s="1"/>
  <c r="R976" i="1" s="1"/>
  <c r="M977" i="1" a="1"/>
  <c r="M977" i="1" s="1"/>
  <c r="R977" i="1" s="1"/>
  <c r="M978" i="1" a="1"/>
  <c r="M978" i="1" s="1"/>
  <c r="R978" i="1" s="1"/>
  <c r="M979" i="1" a="1"/>
  <c r="M979" i="1" s="1"/>
  <c r="R979" i="1" s="1"/>
  <c r="M980" i="1" a="1"/>
  <c r="M980" i="1" s="1"/>
  <c r="R980" i="1" s="1"/>
  <c r="M981" i="1" a="1"/>
  <c r="M981" i="1" s="1"/>
  <c r="R981" i="1" s="1"/>
  <c r="M982" i="1" a="1"/>
  <c r="M982" i="1" s="1"/>
  <c r="R982" i="1" s="1"/>
  <c r="M983" i="1" a="1"/>
  <c r="M983" i="1" s="1"/>
  <c r="R983" i="1" s="1"/>
  <c r="M984" i="1" a="1"/>
  <c r="M984" i="1" s="1"/>
  <c r="R984" i="1" s="1"/>
  <c r="M985" i="1" a="1"/>
  <c r="M985" i="1" s="1"/>
  <c r="R985" i="1" s="1"/>
  <c r="M986" i="1" a="1"/>
  <c r="M986" i="1" s="1"/>
  <c r="R986" i="1" s="1"/>
  <c r="M987" i="1" a="1"/>
  <c r="M987" i="1" s="1"/>
  <c r="R987" i="1" s="1"/>
  <c r="M988" i="1" a="1"/>
  <c r="M988" i="1" s="1"/>
  <c r="R988" i="1" s="1"/>
  <c r="M989" i="1" a="1"/>
  <c r="M989" i="1" s="1"/>
  <c r="R989" i="1" s="1"/>
  <c r="M990" i="1" a="1"/>
  <c r="M990" i="1" s="1"/>
  <c r="R990" i="1" s="1"/>
  <c r="M991" i="1" a="1"/>
  <c r="M991" i="1" s="1"/>
  <c r="R991" i="1" s="1"/>
  <c r="M992" i="1" a="1"/>
  <c r="M992" i="1" s="1"/>
  <c r="R992" i="1" s="1"/>
  <c r="M993" i="1" a="1"/>
  <c r="M993" i="1" s="1"/>
  <c r="R993" i="1" s="1"/>
  <c r="M994" i="1" a="1"/>
  <c r="M994" i="1" s="1"/>
  <c r="R994" i="1" s="1"/>
  <c r="M995" i="1" a="1"/>
  <c r="M995" i="1" s="1"/>
  <c r="R995" i="1" s="1"/>
  <c r="M996" i="1" a="1"/>
  <c r="M996" i="1" s="1"/>
  <c r="R996" i="1" s="1"/>
  <c r="M997" i="1" a="1"/>
  <c r="M997" i="1" s="1"/>
  <c r="R997" i="1" s="1"/>
  <c r="M998" i="1" a="1"/>
  <c r="M998" i="1" s="1"/>
  <c r="R998" i="1" s="1"/>
  <c r="M999" i="1" a="1"/>
  <c r="M999" i="1" s="1"/>
  <c r="R999" i="1" s="1"/>
  <c r="M1000" i="1" a="1"/>
  <c r="M1000" i="1" s="1"/>
  <c r="R1000" i="1" s="1"/>
  <c r="M1001" i="1" a="1"/>
  <c r="M1001" i="1" s="1"/>
  <c r="R1001" i="1" s="1"/>
  <c r="M2" i="1" a="1"/>
  <c r="M2" i="1" s="1"/>
  <c r="R2" i="1" s="1"/>
  <c r="D359" i="1"/>
  <c r="I2" i="1" a="1"/>
  <c r="I2" i="1" s="1"/>
  <c r="J2" i="1" s="1"/>
  <c r="I3" i="1" a="1"/>
  <c r="I3" i="1" s="1"/>
  <c r="K3" i="1" s="1"/>
  <c r="I4" i="1" a="1"/>
  <c r="I4" i="1" s="1"/>
  <c r="K4" i="1" s="1"/>
  <c r="I5" i="1" a="1"/>
  <c r="I5" i="1" s="1"/>
  <c r="K5" i="1" s="1"/>
  <c r="I6" i="1" a="1"/>
  <c r="I6" i="1" s="1"/>
  <c r="I7" i="1" a="1"/>
  <c r="I7" i="1" s="1"/>
  <c r="J7" i="1" s="1"/>
  <c r="I8" i="1" a="1"/>
  <c r="I8" i="1" s="1"/>
  <c r="J8" i="1" s="1"/>
  <c r="I9" i="1" a="1"/>
  <c r="I9" i="1" s="1"/>
  <c r="J9" i="1" s="1"/>
  <c r="I10" i="1" a="1"/>
  <c r="I10" i="1" s="1"/>
  <c r="J10" i="1" s="1"/>
  <c r="I11" i="1" a="1"/>
  <c r="I11" i="1" s="1"/>
  <c r="J11" i="1" s="1"/>
  <c r="I12" i="1" a="1"/>
  <c r="I12" i="1" s="1"/>
  <c r="I13" i="1" a="1"/>
  <c r="I13" i="1" s="1"/>
  <c r="I14" i="1" a="1"/>
  <c r="I14" i="1" s="1"/>
  <c r="I15" i="1" a="1"/>
  <c r="I15" i="1" s="1"/>
  <c r="I16" i="1" a="1"/>
  <c r="I16" i="1" s="1"/>
  <c r="I17" i="1" a="1"/>
  <c r="I17" i="1" s="1"/>
  <c r="I18" i="1" a="1"/>
  <c r="I18" i="1" s="1"/>
  <c r="I19" i="1" a="1"/>
  <c r="I19" i="1" s="1"/>
  <c r="J19" i="1" s="1"/>
  <c r="I20" i="1" a="1"/>
  <c r="I20" i="1" s="1"/>
  <c r="J20" i="1" s="1"/>
  <c r="I21" i="1" a="1"/>
  <c r="I21" i="1" s="1"/>
  <c r="J21" i="1" s="1"/>
  <c r="I22" i="1" a="1"/>
  <c r="I22" i="1" s="1"/>
  <c r="J22" i="1" s="1"/>
  <c r="I23" i="1" a="1"/>
  <c r="I23" i="1" s="1"/>
  <c r="J23" i="1" s="1"/>
  <c r="I24" i="1" a="1"/>
  <c r="I24" i="1" s="1"/>
  <c r="J24" i="1" s="1"/>
  <c r="I25" i="1" a="1"/>
  <c r="I25" i="1" s="1"/>
  <c r="J25" i="1" s="1"/>
  <c r="I26" i="1" a="1"/>
  <c r="I26" i="1" s="1"/>
  <c r="J26" i="1" s="1"/>
  <c r="I27" i="1" a="1"/>
  <c r="I27" i="1" s="1"/>
  <c r="I28" i="1" a="1"/>
  <c r="I28" i="1" s="1"/>
  <c r="I29" i="1" a="1"/>
  <c r="I29" i="1" s="1"/>
  <c r="I30" i="1" a="1"/>
  <c r="I30" i="1" s="1"/>
  <c r="I31" i="1" a="1"/>
  <c r="I31" i="1" s="1"/>
  <c r="J31" i="1" s="1"/>
  <c r="I32" i="1" a="1"/>
  <c r="I32" i="1" s="1"/>
  <c r="J32" i="1" s="1"/>
  <c r="I33" i="1" a="1"/>
  <c r="I33" i="1" s="1"/>
  <c r="J33" i="1" s="1"/>
  <c r="I34" i="1" a="1"/>
  <c r="I34" i="1" s="1"/>
  <c r="J34" i="1" s="1"/>
  <c r="I35" i="1" a="1"/>
  <c r="I35" i="1" s="1"/>
  <c r="J35" i="1" s="1"/>
  <c r="I36" i="1" a="1"/>
  <c r="I36" i="1" s="1"/>
  <c r="I37" i="1" a="1"/>
  <c r="I37" i="1" s="1"/>
  <c r="I38" i="1" a="1"/>
  <c r="I38" i="1" s="1"/>
  <c r="I39" i="1" a="1"/>
  <c r="I39" i="1" s="1"/>
  <c r="I40" i="1" a="1"/>
  <c r="I40" i="1" s="1"/>
  <c r="I41" i="1" a="1"/>
  <c r="I41" i="1" s="1"/>
  <c r="I42" i="1" a="1"/>
  <c r="I42" i="1" s="1"/>
  <c r="I43" i="1" a="1"/>
  <c r="I43" i="1" s="1"/>
  <c r="J43" i="1" s="1"/>
  <c r="I44" i="1" a="1"/>
  <c r="I44" i="1" s="1"/>
  <c r="J44" i="1" s="1"/>
  <c r="I45" i="1" a="1"/>
  <c r="I45" i="1" s="1"/>
  <c r="J45" i="1" s="1"/>
  <c r="I46" i="1" a="1"/>
  <c r="I46" i="1" s="1"/>
  <c r="J46" i="1" s="1"/>
  <c r="I47" i="1" a="1"/>
  <c r="I47" i="1" s="1"/>
  <c r="J47" i="1" s="1"/>
  <c r="I48" i="1" a="1"/>
  <c r="I48" i="1" s="1"/>
  <c r="J48" i="1" s="1"/>
  <c r="I49" i="1" a="1"/>
  <c r="I49" i="1" s="1"/>
  <c r="J49" i="1" s="1"/>
  <c r="I50" i="1" a="1"/>
  <c r="I50" i="1" s="1"/>
  <c r="J50" i="1" s="1"/>
  <c r="I51" i="1" a="1"/>
  <c r="I51" i="1" s="1"/>
  <c r="I52" i="1" a="1"/>
  <c r="I52" i="1" s="1"/>
  <c r="I53" i="1" a="1"/>
  <c r="I53" i="1" s="1"/>
  <c r="I54" i="1" a="1"/>
  <c r="I54" i="1" s="1"/>
  <c r="I55" i="1" a="1"/>
  <c r="I55" i="1" s="1"/>
  <c r="I56" i="1" a="1"/>
  <c r="I56" i="1" s="1"/>
  <c r="J56" i="1" s="1"/>
  <c r="I57" i="1" a="1"/>
  <c r="I57" i="1" s="1"/>
  <c r="J57" i="1" s="1"/>
  <c r="I58" i="1" a="1"/>
  <c r="I58" i="1" s="1"/>
  <c r="J58" i="1" s="1"/>
  <c r="I59" i="1" a="1"/>
  <c r="I59" i="1" s="1"/>
  <c r="J59" i="1" s="1"/>
  <c r="I60" i="1" a="1"/>
  <c r="I60" i="1" s="1"/>
  <c r="I61" i="1" a="1"/>
  <c r="I61" i="1" s="1"/>
  <c r="I62" i="1" a="1"/>
  <c r="I62" i="1" s="1"/>
  <c r="I63" i="1" a="1"/>
  <c r="I63" i="1" s="1"/>
  <c r="I64" i="1" a="1"/>
  <c r="I64" i="1" s="1"/>
  <c r="I65" i="1" a="1"/>
  <c r="I65" i="1" s="1"/>
  <c r="I66" i="1" a="1"/>
  <c r="I66" i="1" s="1"/>
  <c r="I67" i="1" a="1"/>
  <c r="I67" i="1" s="1"/>
  <c r="I68" i="1" a="1"/>
  <c r="I68" i="1" s="1"/>
  <c r="J68" i="1" s="1"/>
  <c r="I69" i="1" a="1"/>
  <c r="I69" i="1" s="1"/>
  <c r="J69" i="1" s="1"/>
  <c r="I70" i="1" a="1"/>
  <c r="I70" i="1" s="1"/>
  <c r="J70" i="1" s="1"/>
  <c r="I71" i="1" a="1"/>
  <c r="I71" i="1" s="1"/>
  <c r="J71" i="1" s="1"/>
  <c r="I72" i="1" a="1"/>
  <c r="I72" i="1" s="1"/>
  <c r="J72" i="1" s="1"/>
  <c r="I73" i="1" a="1"/>
  <c r="I73" i="1" s="1"/>
  <c r="J73" i="1" s="1"/>
  <c r="I74" i="1" a="1"/>
  <c r="I74" i="1" s="1"/>
  <c r="J74" i="1" s="1"/>
  <c r="I75" i="1" a="1"/>
  <c r="I75" i="1" s="1"/>
  <c r="I76" i="1" a="1"/>
  <c r="I76" i="1" s="1"/>
  <c r="I77" i="1" a="1"/>
  <c r="I77" i="1" s="1"/>
  <c r="I78" i="1" a="1"/>
  <c r="I78" i="1" s="1"/>
  <c r="I79" i="1" a="1"/>
  <c r="I79" i="1" s="1"/>
  <c r="I80" i="1" a="1"/>
  <c r="I80" i="1" s="1"/>
  <c r="J80" i="1" s="1"/>
  <c r="I81" i="1" a="1"/>
  <c r="I81" i="1" s="1"/>
  <c r="J81" i="1" s="1"/>
  <c r="I82" i="1" a="1"/>
  <c r="I82" i="1" s="1"/>
  <c r="J82" i="1" s="1"/>
  <c r="I83" i="1" a="1"/>
  <c r="I83" i="1" s="1"/>
  <c r="J83" i="1" s="1"/>
  <c r="I84" i="1" a="1"/>
  <c r="I84" i="1" s="1"/>
  <c r="I85" i="1" a="1"/>
  <c r="I85" i="1" s="1"/>
  <c r="I86" i="1" a="1"/>
  <c r="I86" i="1" s="1"/>
  <c r="I87" i="1" a="1"/>
  <c r="I87" i="1" s="1"/>
  <c r="I88" i="1" a="1"/>
  <c r="I88" i="1" s="1"/>
  <c r="I89" i="1" a="1"/>
  <c r="I89" i="1" s="1"/>
  <c r="I90" i="1" a="1"/>
  <c r="I90" i="1" s="1"/>
  <c r="I91" i="1" a="1"/>
  <c r="I91" i="1" s="1"/>
  <c r="I92" i="1" a="1"/>
  <c r="I92" i="1" s="1"/>
  <c r="J92" i="1" s="1"/>
  <c r="I93" i="1" a="1"/>
  <c r="I93" i="1" s="1"/>
  <c r="J93" i="1" s="1"/>
  <c r="I94" i="1" a="1"/>
  <c r="I94" i="1" s="1"/>
  <c r="J94" i="1" s="1"/>
  <c r="I95" i="1" a="1"/>
  <c r="I95" i="1" s="1"/>
  <c r="J95" i="1" s="1"/>
  <c r="I96" i="1" a="1"/>
  <c r="I96" i="1" s="1"/>
  <c r="J96" i="1" s="1"/>
  <c r="I97" i="1" a="1"/>
  <c r="I97" i="1" s="1"/>
  <c r="J97" i="1" s="1"/>
  <c r="I98" i="1" a="1"/>
  <c r="I98" i="1" s="1"/>
  <c r="J98" i="1" s="1"/>
  <c r="I99" i="1" a="1"/>
  <c r="I99" i="1" s="1"/>
  <c r="I100" i="1" a="1"/>
  <c r="I100" i="1" s="1"/>
  <c r="I101" i="1" a="1"/>
  <c r="I101" i="1" s="1"/>
  <c r="I102" i="1" a="1"/>
  <c r="I102" i="1" s="1"/>
  <c r="I103" i="1" a="1"/>
  <c r="I103" i="1" s="1"/>
  <c r="I104" i="1" a="1"/>
  <c r="I104" i="1" s="1"/>
  <c r="J104" i="1" s="1"/>
  <c r="I105" i="1" a="1"/>
  <c r="I105" i="1" s="1"/>
  <c r="J105" i="1" s="1"/>
  <c r="I106" i="1" a="1"/>
  <c r="I106" i="1" s="1"/>
  <c r="J106" i="1" s="1"/>
  <c r="I107" i="1" a="1"/>
  <c r="I107" i="1" s="1"/>
  <c r="J107" i="1" s="1"/>
  <c r="I108" i="1" a="1"/>
  <c r="I108" i="1" s="1"/>
  <c r="I109" i="1" a="1"/>
  <c r="I109" i="1" s="1"/>
  <c r="I110" i="1" a="1"/>
  <c r="I110" i="1" s="1"/>
  <c r="I111" i="1" a="1"/>
  <c r="I111" i="1" s="1"/>
  <c r="I112" i="1" a="1"/>
  <c r="I112" i="1" s="1"/>
  <c r="I113" i="1" a="1"/>
  <c r="I113" i="1" s="1"/>
  <c r="I114" i="1" a="1"/>
  <c r="I114" i="1" s="1"/>
  <c r="I115" i="1" a="1"/>
  <c r="I115" i="1" s="1"/>
  <c r="I116" i="1" a="1"/>
  <c r="I116" i="1" s="1"/>
  <c r="J116" i="1" s="1"/>
  <c r="I117" i="1" a="1"/>
  <c r="I117" i="1" s="1"/>
  <c r="J117" i="1" s="1"/>
  <c r="I118" i="1" a="1"/>
  <c r="I118" i="1" s="1"/>
  <c r="J118" i="1" s="1"/>
  <c r="I119" i="1" a="1"/>
  <c r="I119" i="1" s="1"/>
  <c r="J119" i="1" s="1"/>
  <c r="I120" i="1" a="1"/>
  <c r="I120" i="1" s="1"/>
  <c r="J120" i="1" s="1"/>
  <c r="I121" i="1" a="1"/>
  <c r="I121" i="1" s="1"/>
  <c r="J121" i="1" s="1"/>
  <c r="I122" i="1" a="1"/>
  <c r="I122" i="1" s="1"/>
  <c r="J122" i="1" s="1"/>
  <c r="I123" i="1" a="1"/>
  <c r="I123" i="1" s="1"/>
  <c r="I124" i="1" a="1"/>
  <c r="I124" i="1" s="1"/>
  <c r="I125" i="1" a="1"/>
  <c r="I125" i="1" s="1"/>
  <c r="I126" i="1" a="1"/>
  <c r="I126" i="1" s="1"/>
  <c r="I127" i="1" a="1"/>
  <c r="I127" i="1" s="1"/>
  <c r="I128" i="1" a="1"/>
  <c r="I128" i="1" s="1"/>
  <c r="J128" i="1" s="1"/>
  <c r="I129" i="1" a="1"/>
  <c r="I129" i="1" s="1"/>
  <c r="J129" i="1" s="1"/>
  <c r="I130" i="1" a="1"/>
  <c r="I130" i="1" s="1"/>
  <c r="J130" i="1" s="1"/>
  <c r="I131" i="1" a="1"/>
  <c r="I131" i="1" s="1"/>
  <c r="J131" i="1" s="1"/>
  <c r="I132" i="1" a="1"/>
  <c r="I132" i="1" s="1"/>
  <c r="I133" i="1" a="1"/>
  <c r="I133" i="1" s="1"/>
  <c r="I134" i="1" a="1"/>
  <c r="I134" i="1" s="1"/>
  <c r="I135" i="1" a="1"/>
  <c r="I135" i="1" s="1"/>
  <c r="I136" i="1" a="1"/>
  <c r="I136" i="1" s="1"/>
  <c r="I137" i="1" a="1"/>
  <c r="I137" i="1" s="1"/>
  <c r="I138" i="1" a="1"/>
  <c r="I138" i="1" s="1"/>
  <c r="I139" i="1" a="1"/>
  <c r="I139" i="1" s="1"/>
  <c r="I140" i="1" a="1"/>
  <c r="I140" i="1" s="1"/>
  <c r="J140" i="1" s="1"/>
  <c r="I141" i="1" a="1"/>
  <c r="I141" i="1" s="1"/>
  <c r="J141" i="1" s="1"/>
  <c r="I142" i="1" a="1"/>
  <c r="I142" i="1" s="1"/>
  <c r="J142" i="1" s="1"/>
  <c r="I143" i="1" a="1"/>
  <c r="I143" i="1" s="1"/>
  <c r="J143" i="1" s="1"/>
  <c r="I144" i="1" a="1"/>
  <c r="I144" i="1" s="1"/>
  <c r="J144" i="1" s="1"/>
  <c r="I145" i="1" a="1"/>
  <c r="I145" i="1" s="1"/>
  <c r="J145" i="1" s="1"/>
  <c r="I146" i="1" a="1"/>
  <c r="I146" i="1" s="1"/>
  <c r="J146" i="1" s="1"/>
  <c r="I147" i="1" a="1"/>
  <c r="I147" i="1" s="1"/>
  <c r="I148" i="1" a="1"/>
  <c r="I148" i="1" s="1"/>
  <c r="I149" i="1" a="1"/>
  <c r="I149" i="1" s="1"/>
  <c r="I150" i="1" a="1"/>
  <c r="I150" i="1" s="1"/>
  <c r="I151" i="1" a="1"/>
  <c r="I151" i="1" s="1"/>
  <c r="I152" i="1" a="1"/>
  <c r="I152" i="1" s="1"/>
  <c r="J152" i="1" s="1"/>
  <c r="I153" i="1" a="1"/>
  <c r="I153" i="1" s="1"/>
  <c r="J153" i="1" s="1"/>
  <c r="I154" i="1" a="1"/>
  <c r="I154" i="1" s="1"/>
  <c r="J154" i="1" s="1"/>
  <c r="I155" i="1" a="1"/>
  <c r="I155" i="1" s="1"/>
  <c r="J155" i="1" s="1"/>
  <c r="I156" i="1" a="1"/>
  <c r="I156" i="1" s="1"/>
  <c r="I157" i="1" a="1"/>
  <c r="I157" i="1" s="1"/>
  <c r="I158" i="1" a="1"/>
  <c r="I158" i="1" s="1"/>
  <c r="I159" i="1" a="1"/>
  <c r="I159" i="1" s="1"/>
  <c r="I160" i="1" a="1"/>
  <c r="I160" i="1" s="1"/>
  <c r="I161" i="1" a="1"/>
  <c r="I161" i="1" s="1"/>
  <c r="I162" i="1" a="1"/>
  <c r="I162" i="1" s="1"/>
  <c r="I163" i="1" a="1"/>
  <c r="I163" i="1" s="1"/>
  <c r="I164" i="1" a="1"/>
  <c r="I164" i="1" s="1"/>
  <c r="J164" i="1" s="1"/>
  <c r="I165" i="1" a="1"/>
  <c r="I165" i="1" s="1"/>
  <c r="J165" i="1" s="1"/>
  <c r="I166" i="1" a="1"/>
  <c r="I166" i="1" s="1"/>
  <c r="J166" i="1" s="1"/>
  <c r="I167" i="1" a="1"/>
  <c r="I167" i="1" s="1"/>
  <c r="J167" i="1" s="1"/>
  <c r="I168" i="1" a="1"/>
  <c r="I168" i="1" s="1"/>
  <c r="J168" i="1" s="1"/>
  <c r="I169" i="1" a="1"/>
  <c r="I169" i="1" s="1"/>
  <c r="J169" i="1" s="1"/>
  <c r="I170" i="1" a="1"/>
  <c r="I170" i="1" s="1"/>
  <c r="J170" i="1" s="1"/>
  <c r="I171" i="1" a="1"/>
  <c r="I171" i="1" s="1"/>
  <c r="I172" i="1" a="1"/>
  <c r="I172" i="1" s="1"/>
  <c r="I173" i="1" a="1"/>
  <c r="I173" i="1" s="1"/>
  <c r="I174" i="1" a="1"/>
  <c r="I174" i="1" s="1"/>
  <c r="I175" i="1" a="1"/>
  <c r="I175" i="1" s="1"/>
  <c r="I176" i="1" a="1"/>
  <c r="I176" i="1" s="1"/>
  <c r="J176" i="1" s="1"/>
  <c r="I177" i="1" a="1"/>
  <c r="I177" i="1" s="1"/>
  <c r="J177" i="1" s="1"/>
  <c r="I178" i="1" a="1"/>
  <c r="I178" i="1" s="1"/>
  <c r="J178" i="1" s="1"/>
  <c r="I179" i="1" a="1"/>
  <c r="I179" i="1" s="1"/>
  <c r="J179" i="1" s="1"/>
  <c r="I180" i="1" a="1"/>
  <c r="I180" i="1" s="1"/>
  <c r="I181" i="1" a="1"/>
  <c r="I181" i="1" s="1"/>
  <c r="I182" i="1" a="1"/>
  <c r="I182" i="1" s="1"/>
  <c r="I183" i="1" a="1"/>
  <c r="I183" i="1" s="1"/>
  <c r="I184" i="1" a="1"/>
  <c r="I184" i="1" s="1"/>
  <c r="I185" i="1" a="1"/>
  <c r="I185" i="1" s="1"/>
  <c r="I186" i="1" a="1"/>
  <c r="I186" i="1" s="1"/>
  <c r="I187" i="1" a="1"/>
  <c r="I187" i="1" s="1"/>
  <c r="I188" i="1" a="1"/>
  <c r="I188" i="1" s="1"/>
  <c r="J188" i="1" s="1"/>
  <c r="I189" i="1" a="1"/>
  <c r="I189" i="1" s="1"/>
  <c r="J189" i="1" s="1"/>
  <c r="I190" i="1" a="1"/>
  <c r="I190" i="1" s="1"/>
  <c r="J190" i="1" s="1"/>
  <c r="I191" i="1" a="1"/>
  <c r="I191" i="1" s="1"/>
  <c r="J191" i="1" s="1"/>
  <c r="I192" i="1" a="1"/>
  <c r="I192" i="1" s="1"/>
  <c r="J192" i="1" s="1"/>
  <c r="I193" i="1" a="1"/>
  <c r="I193" i="1" s="1"/>
  <c r="J193" i="1" s="1"/>
  <c r="I194" i="1" a="1"/>
  <c r="I194" i="1" s="1"/>
  <c r="J194" i="1" s="1"/>
  <c r="I195" i="1" a="1"/>
  <c r="I195" i="1" s="1"/>
  <c r="I196" i="1" a="1"/>
  <c r="I196" i="1" s="1"/>
  <c r="I197" i="1" a="1"/>
  <c r="I197" i="1" s="1"/>
  <c r="I198" i="1" a="1"/>
  <c r="I198" i="1" s="1"/>
  <c r="I199" i="1" a="1"/>
  <c r="I199" i="1" s="1"/>
  <c r="I200" i="1" a="1"/>
  <c r="I200" i="1" s="1"/>
  <c r="J200" i="1" s="1"/>
  <c r="I201" i="1" a="1"/>
  <c r="I201" i="1" s="1"/>
  <c r="J201" i="1" s="1"/>
  <c r="I202" i="1" a="1"/>
  <c r="I202" i="1" s="1"/>
  <c r="J202" i="1" s="1"/>
  <c r="I203" i="1" a="1"/>
  <c r="I203" i="1" s="1"/>
  <c r="J203" i="1" s="1"/>
  <c r="I204" i="1" a="1"/>
  <c r="I204" i="1" s="1"/>
  <c r="I205" i="1" a="1"/>
  <c r="I205" i="1" s="1"/>
  <c r="I206" i="1" a="1"/>
  <c r="I206" i="1" s="1"/>
  <c r="I207" i="1" a="1"/>
  <c r="I207" i="1" s="1"/>
  <c r="I208" i="1" a="1"/>
  <c r="I208" i="1" s="1"/>
  <c r="I209" i="1" a="1"/>
  <c r="I209" i="1" s="1"/>
  <c r="I210" i="1" a="1"/>
  <c r="I210" i="1" s="1"/>
  <c r="I211" i="1" a="1"/>
  <c r="I211" i="1" s="1"/>
  <c r="I212" i="1" a="1"/>
  <c r="I212" i="1" s="1"/>
  <c r="J212" i="1" s="1"/>
  <c r="I213" i="1" a="1"/>
  <c r="I213" i="1" s="1"/>
  <c r="J213" i="1" s="1"/>
  <c r="I214" i="1" a="1"/>
  <c r="I214" i="1" s="1"/>
  <c r="J214" i="1" s="1"/>
  <c r="I215" i="1" a="1"/>
  <c r="I215" i="1" s="1"/>
  <c r="J215" i="1" s="1"/>
  <c r="I216" i="1" a="1"/>
  <c r="I216" i="1" s="1"/>
  <c r="J216" i="1" s="1"/>
  <c r="I217" i="1" a="1"/>
  <c r="I217" i="1" s="1"/>
  <c r="J217" i="1" s="1"/>
  <c r="I218" i="1" a="1"/>
  <c r="I218" i="1" s="1"/>
  <c r="J218" i="1" s="1"/>
  <c r="I219" i="1" a="1"/>
  <c r="I219" i="1" s="1"/>
  <c r="I220" i="1" a="1"/>
  <c r="I220" i="1" s="1"/>
  <c r="I221" i="1" a="1"/>
  <c r="I221" i="1" s="1"/>
  <c r="I222" i="1" a="1"/>
  <c r="I222" i="1" s="1"/>
  <c r="I223" i="1" a="1"/>
  <c r="I223" i="1" s="1"/>
  <c r="J223" i="1" s="1"/>
  <c r="I224" i="1" a="1"/>
  <c r="I224" i="1" s="1"/>
  <c r="I225" i="1" a="1"/>
  <c r="I225" i="1" s="1"/>
  <c r="J225" i="1" s="1"/>
  <c r="I226" i="1" a="1"/>
  <c r="I226" i="1" s="1"/>
  <c r="J226" i="1" s="1"/>
  <c r="I227" i="1" a="1"/>
  <c r="I227" i="1" s="1"/>
  <c r="I228" i="1" a="1"/>
  <c r="I228" i="1" s="1"/>
  <c r="I229" i="1" a="1"/>
  <c r="I229" i="1" s="1"/>
  <c r="I230" i="1" a="1"/>
  <c r="I230" i="1" s="1"/>
  <c r="I231" i="1" a="1"/>
  <c r="I231" i="1" s="1"/>
  <c r="I232" i="1" a="1"/>
  <c r="I232" i="1" s="1"/>
  <c r="I233" i="1" a="1"/>
  <c r="I233" i="1" s="1"/>
  <c r="I234" i="1" a="1"/>
  <c r="I234" i="1" s="1"/>
  <c r="I235" i="1" a="1"/>
  <c r="I235" i="1" s="1"/>
  <c r="J235" i="1" s="1"/>
  <c r="I236" i="1" a="1"/>
  <c r="I236" i="1" s="1"/>
  <c r="I237" i="1" a="1"/>
  <c r="I237" i="1" s="1"/>
  <c r="J237" i="1" s="1"/>
  <c r="I238" i="1" a="1"/>
  <c r="I238" i="1" s="1"/>
  <c r="J238" i="1" s="1"/>
  <c r="I239" i="1" a="1"/>
  <c r="I239" i="1" s="1"/>
  <c r="I240" i="1" a="1"/>
  <c r="I240" i="1" s="1"/>
  <c r="J240" i="1" s="1"/>
  <c r="I241" i="1" a="1"/>
  <c r="I241" i="1" s="1"/>
  <c r="J241" i="1" s="1"/>
  <c r="I242" i="1" a="1"/>
  <c r="I242" i="1" s="1"/>
  <c r="J242" i="1" s="1"/>
  <c r="I243" i="1" a="1"/>
  <c r="I243" i="1" s="1"/>
  <c r="I244" i="1" a="1"/>
  <c r="I244" i="1" s="1"/>
  <c r="I245" i="1" a="1"/>
  <c r="I245" i="1" s="1"/>
  <c r="I246" i="1" a="1"/>
  <c r="I246" i="1" s="1"/>
  <c r="I247" i="1" a="1"/>
  <c r="I247" i="1" s="1"/>
  <c r="J247" i="1" s="1"/>
  <c r="I248" i="1" a="1"/>
  <c r="I248" i="1" s="1"/>
  <c r="I249" i="1" a="1"/>
  <c r="I249" i="1" s="1"/>
  <c r="J249" i="1" s="1"/>
  <c r="I250" i="1" a="1"/>
  <c r="I250" i="1" s="1"/>
  <c r="J250" i="1" s="1"/>
  <c r="I251" i="1" a="1"/>
  <c r="I251" i="1" s="1"/>
  <c r="I252" i="1" a="1"/>
  <c r="I252" i="1" s="1"/>
  <c r="I253" i="1" a="1"/>
  <c r="I253" i="1" s="1"/>
  <c r="I254" i="1" a="1"/>
  <c r="I254" i="1" s="1"/>
  <c r="I255" i="1" a="1"/>
  <c r="I255" i="1" s="1"/>
  <c r="I256" i="1" a="1"/>
  <c r="I256" i="1" s="1"/>
  <c r="I257" i="1" a="1"/>
  <c r="I257" i="1" s="1"/>
  <c r="I258" i="1" a="1"/>
  <c r="I258" i="1" s="1"/>
  <c r="I259" i="1" a="1"/>
  <c r="I259" i="1" s="1"/>
  <c r="J259" i="1" s="1"/>
  <c r="I260" i="1" a="1"/>
  <c r="I260" i="1" s="1"/>
  <c r="I261" i="1" a="1"/>
  <c r="I261" i="1" s="1"/>
  <c r="J261" i="1" s="1"/>
  <c r="I262" i="1" a="1"/>
  <c r="I262" i="1" s="1"/>
  <c r="J262" i="1" s="1"/>
  <c r="I263" i="1" a="1"/>
  <c r="I263" i="1" s="1"/>
  <c r="I264" i="1" a="1"/>
  <c r="I264" i="1" s="1"/>
  <c r="J264" i="1" s="1"/>
  <c r="I265" i="1" a="1"/>
  <c r="I265" i="1" s="1"/>
  <c r="J265" i="1" s="1"/>
  <c r="I266" i="1" a="1"/>
  <c r="I266" i="1" s="1"/>
  <c r="J266" i="1" s="1"/>
  <c r="I267" i="1" a="1"/>
  <c r="I267" i="1" s="1"/>
  <c r="I268" i="1" a="1"/>
  <c r="I268" i="1" s="1"/>
  <c r="I269" i="1" a="1"/>
  <c r="I269" i="1" s="1"/>
  <c r="I270" i="1" a="1"/>
  <c r="I270" i="1" s="1"/>
  <c r="I271" i="1" a="1"/>
  <c r="I271" i="1" s="1"/>
  <c r="J271" i="1" s="1"/>
  <c r="I272" i="1" a="1"/>
  <c r="I272" i="1" s="1"/>
  <c r="I273" i="1" a="1"/>
  <c r="I273" i="1" s="1"/>
  <c r="J273" i="1" s="1"/>
  <c r="I274" i="1" a="1"/>
  <c r="I274" i="1" s="1"/>
  <c r="J274" i="1" s="1"/>
  <c r="I275" i="1" a="1"/>
  <c r="I275" i="1" s="1"/>
  <c r="I276" i="1" a="1"/>
  <c r="I276" i="1" s="1"/>
  <c r="I277" i="1" a="1"/>
  <c r="I277" i="1" s="1"/>
  <c r="I278" i="1" a="1"/>
  <c r="I278" i="1" s="1"/>
  <c r="I279" i="1" a="1"/>
  <c r="I279" i="1" s="1"/>
  <c r="I280" i="1" a="1"/>
  <c r="I280" i="1" s="1"/>
  <c r="I281" i="1" a="1"/>
  <c r="I281" i="1" s="1"/>
  <c r="I282" i="1" a="1"/>
  <c r="I282" i="1" s="1"/>
  <c r="I283" i="1" a="1"/>
  <c r="I283" i="1" s="1"/>
  <c r="J283" i="1" s="1"/>
  <c r="I284" i="1" a="1"/>
  <c r="I284" i="1" s="1"/>
  <c r="I285" i="1" a="1"/>
  <c r="I285" i="1" s="1"/>
  <c r="J285" i="1" s="1"/>
  <c r="I286" i="1" a="1"/>
  <c r="I286" i="1" s="1"/>
  <c r="J286" i="1" s="1"/>
  <c r="I287" i="1" a="1"/>
  <c r="I287" i="1" s="1"/>
  <c r="I288" i="1" a="1"/>
  <c r="I288" i="1" s="1"/>
  <c r="J288" i="1" s="1"/>
  <c r="I289" i="1" a="1"/>
  <c r="I289" i="1" s="1"/>
  <c r="J289" i="1" s="1"/>
  <c r="I290" i="1" a="1"/>
  <c r="I290" i="1" s="1"/>
  <c r="J290" i="1" s="1"/>
  <c r="I291" i="1" a="1"/>
  <c r="I291" i="1" s="1"/>
  <c r="I292" i="1" a="1"/>
  <c r="I292" i="1" s="1"/>
  <c r="I293" i="1" a="1"/>
  <c r="I293" i="1" s="1"/>
  <c r="I294" i="1" a="1"/>
  <c r="I294" i="1" s="1"/>
  <c r="I295" i="1" a="1"/>
  <c r="I295" i="1" s="1"/>
  <c r="J295" i="1" s="1"/>
  <c r="I296" i="1" a="1"/>
  <c r="I296" i="1" s="1"/>
  <c r="I297" i="1" a="1"/>
  <c r="I297" i="1" s="1"/>
  <c r="J297" i="1" s="1"/>
  <c r="I298" i="1" a="1"/>
  <c r="I298" i="1" s="1"/>
  <c r="J298" i="1" s="1"/>
  <c r="I299" i="1" a="1"/>
  <c r="I299" i="1" s="1"/>
  <c r="I300" i="1" a="1"/>
  <c r="I300" i="1" s="1"/>
  <c r="I301" i="1" a="1"/>
  <c r="I301" i="1" s="1"/>
  <c r="I302" i="1" a="1"/>
  <c r="I302" i="1" s="1"/>
  <c r="I303" i="1" a="1"/>
  <c r="I303" i="1" s="1"/>
  <c r="I304" i="1" a="1"/>
  <c r="I304" i="1" s="1"/>
  <c r="I305" i="1" a="1"/>
  <c r="I305" i="1" s="1"/>
  <c r="I306" i="1" a="1"/>
  <c r="I306" i="1" s="1"/>
  <c r="I307" i="1" a="1"/>
  <c r="I307" i="1" s="1"/>
  <c r="J307" i="1" s="1"/>
  <c r="I308" i="1" a="1"/>
  <c r="I308" i="1" s="1"/>
  <c r="I309" i="1" a="1"/>
  <c r="I309" i="1" s="1"/>
  <c r="J309" i="1" s="1"/>
  <c r="I310" i="1" a="1"/>
  <c r="I310" i="1" s="1"/>
  <c r="J310" i="1" s="1"/>
  <c r="I311" i="1" a="1"/>
  <c r="I311" i="1" s="1"/>
  <c r="I312" i="1" a="1"/>
  <c r="I312" i="1" s="1"/>
  <c r="J312" i="1" s="1"/>
  <c r="I313" i="1" a="1"/>
  <c r="I313" i="1" s="1"/>
  <c r="J313" i="1" s="1"/>
  <c r="I314" i="1" a="1"/>
  <c r="I314" i="1" s="1"/>
  <c r="J314" i="1" s="1"/>
  <c r="I315" i="1" a="1"/>
  <c r="I315" i="1" s="1"/>
  <c r="I316" i="1" a="1"/>
  <c r="I316" i="1" s="1"/>
  <c r="I317" i="1" a="1"/>
  <c r="I317" i="1" s="1"/>
  <c r="I318" i="1" a="1"/>
  <c r="I318" i="1" s="1"/>
  <c r="I319" i="1" a="1"/>
  <c r="I319" i="1" s="1"/>
  <c r="J319" i="1" s="1"/>
  <c r="I320" i="1" a="1"/>
  <c r="I320" i="1" s="1"/>
  <c r="I321" i="1" a="1"/>
  <c r="I321" i="1" s="1"/>
  <c r="J321" i="1" s="1"/>
  <c r="I322" i="1" a="1"/>
  <c r="I322" i="1" s="1"/>
  <c r="J322" i="1" s="1"/>
  <c r="I323" i="1" a="1"/>
  <c r="I323" i="1" s="1"/>
  <c r="I324" i="1" a="1"/>
  <c r="I324" i="1" s="1"/>
  <c r="I325" i="1" a="1"/>
  <c r="I325" i="1" s="1"/>
  <c r="I326" i="1" a="1"/>
  <c r="I326" i="1" s="1"/>
  <c r="I327" i="1" a="1"/>
  <c r="I327" i="1" s="1"/>
  <c r="I328" i="1" a="1"/>
  <c r="I328" i="1" s="1"/>
  <c r="I329" i="1" a="1"/>
  <c r="I329" i="1" s="1"/>
  <c r="I330" i="1" a="1"/>
  <c r="I330" i="1" s="1"/>
  <c r="I331" i="1" a="1"/>
  <c r="I331" i="1" s="1"/>
  <c r="J331" i="1" s="1"/>
  <c r="I332" i="1" a="1"/>
  <c r="I332" i="1" s="1"/>
  <c r="I333" i="1" a="1"/>
  <c r="I333" i="1" s="1"/>
  <c r="J333" i="1" s="1"/>
  <c r="I334" i="1" a="1"/>
  <c r="I334" i="1" s="1"/>
  <c r="J334" i="1" s="1"/>
  <c r="I335" i="1" a="1"/>
  <c r="I335" i="1" s="1"/>
  <c r="I336" i="1" a="1"/>
  <c r="I336" i="1" s="1"/>
  <c r="J336" i="1" s="1"/>
  <c r="I337" i="1" a="1"/>
  <c r="I337" i="1" s="1"/>
  <c r="J337" i="1" s="1"/>
  <c r="I338" i="1" a="1"/>
  <c r="I338" i="1" s="1"/>
  <c r="J338" i="1" s="1"/>
  <c r="I339" i="1" a="1"/>
  <c r="I339" i="1" s="1"/>
  <c r="I340" i="1" a="1"/>
  <c r="I340" i="1" s="1"/>
  <c r="I341" i="1" a="1"/>
  <c r="I341" i="1" s="1"/>
  <c r="I342" i="1" a="1"/>
  <c r="I342" i="1" s="1"/>
  <c r="I343" i="1" a="1"/>
  <c r="I343" i="1" s="1"/>
  <c r="J343" i="1" s="1"/>
  <c r="I344" i="1" a="1"/>
  <c r="I344" i="1" s="1"/>
  <c r="I345" i="1" a="1"/>
  <c r="I345" i="1" s="1"/>
  <c r="J345" i="1" s="1"/>
  <c r="I346" i="1" a="1"/>
  <c r="I346" i="1" s="1"/>
  <c r="J346" i="1" s="1"/>
  <c r="I347" i="1" a="1"/>
  <c r="I347" i="1" s="1"/>
  <c r="I348" i="1" a="1"/>
  <c r="I348" i="1" s="1"/>
  <c r="I349" i="1" a="1"/>
  <c r="I349" i="1" s="1"/>
  <c r="I350" i="1" a="1"/>
  <c r="I350" i="1" s="1"/>
  <c r="I351" i="1" a="1"/>
  <c r="I351" i="1" s="1"/>
  <c r="I352" i="1" a="1"/>
  <c r="I352" i="1" s="1"/>
  <c r="I353" i="1" a="1"/>
  <c r="I353" i="1" s="1"/>
  <c r="I354" i="1" a="1"/>
  <c r="I354" i="1" s="1"/>
  <c r="I355" i="1" a="1"/>
  <c r="I355" i="1" s="1"/>
  <c r="J355" i="1" s="1"/>
  <c r="I356" i="1" a="1"/>
  <c r="I356" i="1" s="1"/>
  <c r="I357" i="1" a="1"/>
  <c r="I357" i="1" s="1"/>
  <c r="J357" i="1" s="1"/>
  <c r="I358" i="1" a="1"/>
  <c r="I358" i="1" s="1"/>
  <c r="J358" i="1" s="1"/>
  <c r="I359" i="1" a="1"/>
  <c r="I359" i="1" s="1"/>
  <c r="I360" i="1" a="1"/>
  <c r="I360" i="1" s="1"/>
  <c r="J360" i="1" s="1"/>
  <c r="I361" i="1" a="1"/>
  <c r="I361" i="1" s="1"/>
  <c r="J361" i="1" s="1"/>
  <c r="I362" i="1" a="1"/>
  <c r="I362" i="1" s="1"/>
  <c r="J362" i="1" s="1"/>
  <c r="I363" i="1" a="1"/>
  <c r="I363" i="1" s="1"/>
  <c r="I364" i="1" a="1"/>
  <c r="I364" i="1" s="1"/>
  <c r="I365" i="1" a="1"/>
  <c r="I365" i="1" s="1"/>
  <c r="I366" i="1" a="1"/>
  <c r="I366" i="1" s="1"/>
  <c r="I367" i="1" a="1"/>
  <c r="I367" i="1" s="1"/>
  <c r="J367" i="1" s="1"/>
  <c r="I368" i="1" a="1"/>
  <c r="I368" i="1" s="1"/>
  <c r="I369" i="1" a="1"/>
  <c r="I369" i="1" s="1"/>
  <c r="J369" i="1" s="1"/>
  <c r="I370" i="1" a="1"/>
  <c r="I370" i="1" s="1"/>
  <c r="J370" i="1" s="1"/>
  <c r="I371" i="1" a="1"/>
  <c r="I371" i="1" s="1"/>
  <c r="I372" i="1" a="1"/>
  <c r="I372" i="1" s="1"/>
  <c r="I373" i="1" a="1"/>
  <c r="I373" i="1" s="1"/>
  <c r="I374" i="1" a="1"/>
  <c r="I374" i="1" s="1"/>
  <c r="I375" i="1" a="1"/>
  <c r="I375" i="1" s="1"/>
  <c r="I376" i="1" a="1"/>
  <c r="I376" i="1" s="1"/>
  <c r="I377" i="1" a="1"/>
  <c r="I377" i="1" s="1"/>
  <c r="I378" i="1" a="1"/>
  <c r="I378" i="1" s="1"/>
  <c r="I379" i="1" a="1"/>
  <c r="I379" i="1" s="1"/>
  <c r="J379" i="1" s="1"/>
  <c r="I380" i="1" a="1"/>
  <c r="I380" i="1" s="1"/>
  <c r="I381" i="1" a="1"/>
  <c r="I381" i="1" s="1"/>
  <c r="J381" i="1" s="1"/>
  <c r="I382" i="1" a="1"/>
  <c r="I382" i="1" s="1"/>
  <c r="J382" i="1" s="1"/>
  <c r="I383" i="1" a="1"/>
  <c r="I383" i="1" s="1"/>
  <c r="I384" i="1" a="1"/>
  <c r="I384" i="1" s="1"/>
  <c r="J384" i="1" s="1"/>
  <c r="I385" i="1" a="1"/>
  <c r="I385" i="1" s="1"/>
  <c r="J385" i="1" s="1"/>
  <c r="I386" i="1" a="1"/>
  <c r="I386" i="1" s="1"/>
  <c r="J386" i="1" s="1"/>
  <c r="I387" i="1" a="1"/>
  <c r="I387" i="1" s="1"/>
  <c r="I388" i="1" a="1"/>
  <c r="I388" i="1" s="1"/>
  <c r="I389" i="1" a="1"/>
  <c r="I389" i="1" s="1"/>
  <c r="I390" i="1" a="1"/>
  <c r="I390" i="1" s="1"/>
  <c r="I391" i="1" a="1"/>
  <c r="I391" i="1" s="1"/>
  <c r="J391" i="1" s="1"/>
  <c r="I392" i="1" a="1"/>
  <c r="I392" i="1" s="1"/>
  <c r="I393" i="1" a="1"/>
  <c r="I393" i="1" s="1"/>
  <c r="J393" i="1" s="1"/>
  <c r="I394" i="1" a="1"/>
  <c r="I394" i="1" s="1"/>
  <c r="J394" i="1" s="1"/>
  <c r="I395" i="1" a="1"/>
  <c r="I395" i="1" s="1"/>
  <c r="I396" i="1" a="1"/>
  <c r="I396" i="1" s="1"/>
  <c r="I397" i="1" a="1"/>
  <c r="I397" i="1" s="1"/>
  <c r="I398" i="1" a="1"/>
  <c r="I398" i="1" s="1"/>
  <c r="I399" i="1" a="1"/>
  <c r="I399" i="1" s="1"/>
  <c r="I400" i="1" a="1"/>
  <c r="I400" i="1" s="1"/>
  <c r="I401" i="1" a="1"/>
  <c r="I401" i="1" s="1"/>
  <c r="I402" i="1" a="1"/>
  <c r="I402" i="1" s="1"/>
  <c r="I403" i="1" a="1"/>
  <c r="I403" i="1" s="1"/>
  <c r="J403" i="1" s="1"/>
  <c r="I404" i="1" a="1"/>
  <c r="I404" i="1" s="1"/>
  <c r="I405" i="1" a="1"/>
  <c r="I405" i="1" s="1"/>
  <c r="J405" i="1" s="1"/>
  <c r="I406" i="1" a="1"/>
  <c r="I406" i="1" s="1"/>
  <c r="J406" i="1" s="1"/>
  <c r="I407" i="1" a="1"/>
  <c r="I407" i="1" s="1"/>
  <c r="I408" i="1" a="1"/>
  <c r="I408" i="1" s="1"/>
  <c r="J408" i="1" s="1"/>
  <c r="I409" i="1" a="1"/>
  <c r="I409" i="1" s="1"/>
  <c r="J409" i="1" s="1"/>
  <c r="I410" i="1" a="1"/>
  <c r="I410" i="1" s="1"/>
  <c r="J410" i="1" s="1"/>
  <c r="I411" i="1" a="1"/>
  <c r="I411" i="1" s="1"/>
  <c r="I412" i="1" a="1"/>
  <c r="I412" i="1" s="1"/>
  <c r="I413" i="1" a="1"/>
  <c r="I413" i="1" s="1"/>
  <c r="I414" i="1" a="1"/>
  <c r="I414" i="1" s="1"/>
  <c r="I415" i="1" a="1"/>
  <c r="I415" i="1" s="1"/>
  <c r="J415" i="1" s="1"/>
  <c r="I416" i="1" a="1"/>
  <c r="I416" i="1" s="1"/>
  <c r="I417" i="1" a="1"/>
  <c r="I417" i="1" s="1"/>
  <c r="J417" i="1" s="1"/>
  <c r="I418" i="1" a="1"/>
  <c r="I418" i="1" s="1"/>
  <c r="J418" i="1" s="1"/>
  <c r="I419" i="1" a="1"/>
  <c r="I419" i="1" s="1"/>
  <c r="I420" i="1" a="1"/>
  <c r="I420" i="1" s="1"/>
  <c r="I421" i="1" a="1"/>
  <c r="I421" i="1" s="1"/>
  <c r="I422" i="1" a="1"/>
  <c r="I422" i="1" s="1"/>
  <c r="I423" i="1" a="1"/>
  <c r="I423" i="1" s="1"/>
  <c r="I424" i="1" a="1"/>
  <c r="I424" i="1" s="1"/>
  <c r="I425" i="1" a="1"/>
  <c r="I425" i="1" s="1"/>
  <c r="I426" i="1" a="1"/>
  <c r="I426" i="1" s="1"/>
  <c r="I427" i="1" a="1"/>
  <c r="I427" i="1" s="1"/>
  <c r="I428" i="1" a="1"/>
  <c r="I428" i="1" s="1"/>
  <c r="I429" i="1" a="1"/>
  <c r="I429" i="1" s="1"/>
  <c r="J429" i="1" s="1"/>
  <c r="I430" i="1" a="1"/>
  <c r="I430" i="1" s="1"/>
  <c r="J430" i="1" s="1"/>
  <c r="I431" i="1" a="1"/>
  <c r="I431" i="1" s="1"/>
  <c r="I432" i="1" a="1"/>
  <c r="I432" i="1" s="1"/>
  <c r="J432" i="1" s="1"/>
  <c r="I433" i="1" a="1"/>
  <c r="I433" i="1" s="1"/>
  <c r="J433" i="1" s="1"/>
  <c r="I434" i="1" a="1"/>
  <c r="I434" i="1" s="1"/>
  <c r="J434" i="1" s="1"/>
  <c r="I435" i="1" a="1"/>
  <c r="I435" i="1" s="1"/>
  <c r="I436" i="1" a="1"/>
  <c r="I436" i="1" s="1"/>
  <c r="I437" i="1" a="1"/>
  <c r="I437" i="1" s="1"/>
  <c r="I438" i="1" a="1"/>
  <c r="I438" i="1" s="1"/>
  <c r="I439" i="1" a="1"/>
  <c r="I439" i="1" s="1"/>
  <c r="I440" i="1" a="1"/>
  <c r="I440" i="1" s="1"/>
  <c r="I441" i="1" a="1"/>
  <c r="I441" i="1" s="1"/>
  <c r="J441" i="1" s="1"/>
  <c r="I442" i="1" a="1"/>
  <c r="I442" i="1" s="1"/>
  <c r="J442" i="1" s="1"/>
  <c r="I443" i="1" a="1"/>
  <c r="I443" i="1" s="1"/>
  <c r="I444" i="1" a="1"/>
  <c r="I444" i="1" s="1"/>
  <c r="I445" i="1" a="1"/>
  <c r="I445" i="1" s="1"/>
  <c r="I446" i="1" a="1"/>
  <c r="I446" i="1" s="1"/>
  <c r="I447" i="1" a="1"/>
  <c r="I447" i="1" s="1"/>
  <c r="I448" i="1" a="1"/>
  <c r="I448" i="1" s="1"/>
  <c r="I449" i="1" a="1"/>
  <c r="I449" i="1" s="1"/>
  <c r="I450" i="1" a="1"/>
  <c r="I450" i="1" s="1"/>
  <c r="I451" i="1" a="1"/>
  <c r="I451" i="1" s="1"/>
  <c r="I452" i="1" a="1"/>
  <c r="I452" i="1" s="1"/>
  <c r="I453" i="1" a="1"/>
  <c r="I453" i="1" s="1"/>
  <c r="J453" i="1" s="1"/>
  <c r="I454" i="1" a="1"/>
  <c r="I454" i="1" s="1"/>
  <c r="J454" i="1" s="1"/>
  <c r="I455" i="1" a="1"/>
  <c r="I455" i="1" s="1"/>
  <c r="I456" i="1" a="1"/>
  <c r="I456" i="1" s="1"/>
  <c r="J456" i="1" s="1"/>
  <c r="I457" i="1" a="1"/>
  <c r="I457" i="1" s="1"/>
  <c r="J457" i="1" s="1"/>
  <c r="I458" i="1" a="1"/>
  <c r="I458" i="1" s="1"/>
  <c r="J458" i="1" s="1"/>
  <c r="I459" i="1" a="1"/>
  <c r="I459" i="1" s="1"/>
  <c r="I460" i="1" a="1"/>
  <c r="I460" i="1" s="1"/>
  <c r="I461" i="1" a="1"/>
  <c r="I461" i="1" s="1"/>
  <c r="I462" i="1" a="1"/>
  <c r="I462" i="1" s="1"/>
  <c r="I463" i="1" a="1"/>
  <c r="I463" i="1" s="1"/>
  <c r="I464" i="1" a="1"/>
  <c r="I464" i="1" s="1"/>
  <c r="I465" i="1" a="1"/>
  <c r="I465" i="1" s="1"/>
  <c r="J465" i="1" s="1"/>
  <c r="I466" i="1" a="1"/>
  <c r="I466" i="1" s="1"/>
  <c r="J466" i="1" s="1"/>
  <c r="I467" i="1" a="1"/>
  <c r="I467" i="1" s="1"/>
  <c r="I468" i="1" a="1"/>
  <c r="I468" i="1" s="1"/>
  <c r="I469" i="1" a="1"/>
  <c r="I469" i="1" s="1"/>
  <c r="I470" i="1" a="1"/>
  <c r="I470" i="1" s="1"/>
  <c r="I471" i="1" a="1"/>
  <c r="I471" i="1" s="1"/>
  <c r="I472" i="1" a="1"/>
  <c r="I472" i="1" s="1"/>
  <c r="I473" i="1" a="1"/>
  <c r="I473" i="1" s="1"/>
  <c r="I474" i="1" a="1"/>
  <c r="I474" i="1" s="1"/>
  <c r="I475" i="1" a="1"/>
  <c r="I475" i="1" s="1"/>
  <c r="I476" i="1" a="1"/>
  <c r="I476" i="1" s="1"/>
  <c r="I477" i="1" a="1"/>
  <c r="I477" i="1" s="1"/>
  <c r="J477" i="1" s="1"/>
  <c r="I478" i="1" a="1"/>
  <c r="I478" i="1" s="1"/>
  <c r="J478" i="1" s="1"/>
  <c r="I479" i="1" a="1"/>
  <c r="I479" i="1" s="1"/>
  <c r="I480" i="1" a="1"/>
  <c r="I480" i="1" s="1"/>
  <c r="J480" i="1" s="1"/>
  <c r="I481" i="1" a="1"/>
  <c r="I481" i="1" s="1"/>
  <c r="J481" i="1" s="1"/>
  <c r="I482" i="1" a="1"/>
  <c r="I482" i="1" s="1"/>
  <c r="J482" i="1" s="1"/>
  <c r="I483" i="1" a="1"/>
  <c r="I483" i="1" s="1"/>
  <c r="I484" i="1" a="1"/>
  <c r="I484" i="1" s="1"/>
  <c r="I485" i="1" a="1"/>
  <c r="I485" i="1" s="1"/>
  <c r="I486" i="1" a="1"/>
  <c r="I486" i="1" s="1"/>
  <c r="I487" i="1" a="1"/>
  <c r="I487" i="1" s="1"/>
  <c r="I488" i="1" a="1"/>
  <c r="I488" i="1" s="1"/>
  <c r="I489" i="1" a="1"/>
  <c r="I489" i="1" s="1"/>
  <c r="J489" i="1" s="1"/>
  <c r="I490" i="1" a="1"/>
  <c r="I490" i="1" s="1"/>
  <c r="J490" i="1" s="1"/>
  <c r="I491" i="1" a="1"/>
  <c r="I491" i="1" s="1"/>
  <c r="I492" i="1" a="1"/>
  <c r="I492" i="1" s="1"/>
  <c r="I493" i="1" a="1"/>
  <c r="I493" i="1" s="1"/>
  <c r="I494" i="1" a="1"/>
  <c r="I494" i="1" s="1"/>
  <c r="I495" i="1" a="1"/>
  <c r="I495" i="1" s="1"/>
  <c r="I496" i="1" a="1"/>
  <c r="I496" i="1" s="1"/>
  <c r="I497" i="1" a="1"/>
  <c r="I497" i="1" s="1"/>
  <c r="I498" i="1" a="1"/>
  <c r="I498" i="1" s="1"/>
  <c r="I499" i="1" a="1"/>
  <c r="I499" i="1" s="1"/>
  <c r="I500" i="1" a="1"/>
  <c r="I500" i="1" s="1"/>
  <c r="I501" i="1" a="1"/>
  <c r="I501" i="1" s="1"/>
  <c r="J501" i="1" s="1"/>
  <c r="I502" i="1" a="1"/>
  <c r="I502" i="1" s="1"/>
  <c r="J502" i="1" s="1"/>
  <c r="I503" i="1" a="1"/>
  <c r="I503" i="1" s="1"/>
  <c r="I504" i="1" a="1"/>
  <c r="I504" i="1" s="1"/>
  <c r="J504" i="1" s="1"/>
  <c r="I505" i="1" a="1"/>
  <c r="I505" i="1" s="1"/>
  <c r="J505" i="1" s="1"/>
  <c r="I506" i="1" a="1"/>
  <c r="I506" i="1" s="1"/>
  <c r="J506" i="1" s="1"/>
  <c r="I507" i="1" a="1"/>
  <c r="I507" i="1" s="1"/>
  <c r="I508" i="1" a="1"/>
  <c r="I508" i="1" s="1"/>
  <c r="I509" i="1" a="1"/>
  <c r="I509" i="1" s="1"/>
  <c r="I510" i="1" a="1"/>
  <c r="I510" i="1" s="1"/>
  <c r="I511" i="1" a="1"/>
  <c r="I511" i="1" s="1"/>
  <c r="I512" i="1" a="1"/>
  <c r="I512" i="1" s="1"/>
  <c r="I513" i="1" a="1"/>
  <c r="I513" i="1" s="1"/>
  <c r="J513" i="1" s="1"/>
  <c r="I514" i="1" a="1"/>
  <c r="I514" i="1" s="1"/>
  <c r="J514" i="1" s="1"/>
  <c r="I515" i="1" a="1"/>
  <c r="I515" i="1" s="1"/>
  <c r="I516" i="1" a="1"/>
  <c r="I516" i="1" s="1"/>
  <c r="I517" i="1" a="1"/>
  <c r="I517" i="1" s="1"/>
  <c r="I518" i="1" a="1"/>
  <c r="I518" i="1" s="1"/>
  <c r="I519" i="1" a="1"/>
  <c r="I519" i="1" s="1"/>
  <c r="I520" i="1" a="1"/>
  <c r="I520" i="1" s="1"/>
  <c r="I521" i="1" a="1"/>
  <c r="I521" i="1" s="1"/>
  <c r="I522" i="1" a="1"/>
  <c r="I522" i="1" s="1"/>
  <c r="I523" i="1" a="1"/>
  <c r="I523" i="1" s="1"/>
  <c r="I524" i="1" a="1"/>
  <c r="I524" i="1" s="1"/>
  <c r="I525" i="1" a="1"/>
  <c r="I525" i="1" s="1"/>
  <c r="J525" i="1" s="1"/>
  <c r="I526" i="1" a="1"/>
  <c r="I526" i="1" s="1"/>
  <c r="J526" i="1" s="1"/>
  <c r="I527" i="1" a="1"/>
  <c r="I527" i="1" s="1"/>
  <c r="I528" i="1" a="1"/>
  <c r="I528" i="1" s="1"/>
  <c r="J528" i="1" s="1"/>
  <c r="I529" i="1" a="1"/>
  <c r="I529" i="1" s="1"/>
  <c r="J529" i="1" s="1"/>
  <c r="I530" i="1" a="1"/>
  <c r="I530" i="1" s="1"/>
  <c r="J530" i="1" s="1"/>
  <c r="I531" i="1" a="1"/>
  <c r="I531" i="1" s="1"/>
  <c r="I532" i="1" a="1"/>
  <c r="I532" i="1" s="1"/>
  <c r="I533" i="1" a="1"/>
  <c r="I533" i="1" s="1"/>
  <c r="I534" i="1" a="1"/>
  <c r="I534" i="1" s="1"/>
  <c r="I535" i="1" a="1"/>
  <c r="I535" i="1" s="1"/>
  <c r="I536" i="1" a="1"/>
  <c r="I536" i="1" s="1"/>
  <c r="I537" i="1" a="1"/>
  <c r="I537" i="1" s="1"/>
  <c r="J537" i="1" s="1"/>
  <c r="I538" i="1" a="1"/>
  <c r="I538" i="1" s="1"/>
  <c r="J538" i="1" s="1"/>
  <c r="I539" i="1" a="1"/>
  <c r="I539" i="1" s="1"/>
  <c r="I540" i="1" a="1"/>
  <c r="I540" i="1" s="1"/>
  <c r="I541" i="1" a="1"/>
  <c r="I541" i="1" s="1"/>
  <c r="I542" i="1" a="1"/>
  <c r="I542" i="1" s="1"/>
  <c r="I543" i="1" a="1"/>
  <c r="I543" i="1" s="1"/>
  <c r="I544" i="1" a="1"/>
  <c r="I544" i="1" s="1"/>
  <c r="I545" i="1" a="1"/>
  <c r="I545" i="1" s="1"/>
  <c r="I546" i="1" a="1"/>
  <c r="I546" i="1" s="1"/>
  <c r="I547" i="1" a="1"/>
  <c r="I547" i="1" s="1"/>
  <c r="I548" i="1" a="1"/>
  <c r="I548" i="1" s="1"/>
  <c r="I549" i="1" a="1"/>
  <c r="I549" i="1" s="1"/>
  <c r="J549" i="1" s="1"/>
  <c r="I550" i="1" a="1"/>
  <c r="I550" i="1" s="1"/>
  <c r="J550" i="1" s="1"/>
  <c r="I551" i="1" a="1"/>
  <c r="I551" i="1" s="1"/>
  <c r="I552" i="1" a="1"/>
  <c r="I552" i="1" s="1"/>
  <c r="J552" i="1" s="1"/>
  <c r="I553" i="1" a="1"/>
  <c r="I553" i="1" s="1"/>
  <c r="J553" i="1" s="1"/>
  <c r="I554" i="1" a="1"/>
  <c r="I554" i="1" s="1"/>
  <c r="J554" i="1" s="1"/>
  <c r="I555" i="1" a="1"/>
  <c r="I555" i="1" s="1"/>
  <c r="I556" i="1" a="1"/>
  <c r="I556" i="1" s="1"/>
  <c r="I557" i="1" a="1"/>
  <c r="I557" i="1" s="1"/>
  <c r="I558" i="1" a="1"/>
  <c r="I558" i="1" s="1"/>
  <c r="I559" i="1" a="1"/>
  <c r="I559" i="1" s="1"/>
  <c r="I560" i="1" a="1"/>
  <c r="I560" i="1" s="1"/>
  <c r="I561" i="1" a="1"/>
  <c r="I561" i="1" s="1"/>
  <c r="J561" i="1" s="1"/>
  <c r="I562" i="1" a="1"/>
  <c r="I562" i="1" s="1"/>
  <c r="I563" i="1" a="1"/>
  <c r="I563" i="1" s="1"/>
  <c r="I564" i="1" a="1"/>
  <c r="I564" i="1" s="1"/>
  <c r="I565" i="1" a="1"/>
  <c r="I565" i="1" s="1"/>
  <c r="I566" i="1" a="1"/>
  <c r="I566" i="1" s="1"/>
  <c r="J566" i="1" s="1"/>
  <c r="I567" i="1" a="1"/>
  <c r="I567" i="1" s="1"/>
  <c r="I568" i="1" a="1"/>
  <c r="I568" i="1" s="1"/>
  <c r="I569" i="1" a="1"/>
  <c r="I569" i="1" s="1"/>
  <c r="I570" i="1" a="1"/>
  <c r="I570" i="1" s="1"/>
  <c r="I571" i="1" a="1"/>
  <c r="I571" i="1" s="1"/>
  <c r="I572" i="1" a="1"/>
  <c r="I572" i="1" s="1"/>
  <c r="I573" i="1" a="1"/>
  <c r="I573" i="1" s="1"/>
  <c r="J573" i="1" s="1"/>
  <c r="I574" i="1" a="1"/>
  <c r="I574" i="1" s="1"/>
  <c r="I575" i="1" a="1"/>
  <c r="I575" i="1" s="1"/>
  <c r="I576" i="1" a="1"/>
  <c r="I576" i="1" s="1"/>
  <c r="J576" i="1" s="1"/>
  <c r="I577" i="1" a="1"/>
  <c r="I577" i="1" s="1"/>
  <c r="J577" i="1" s="1"/>
  <c r="I578" i="1" a="1"/>
  <c r="I578" i="1" s="1"/>
  <c r="J578" i="1" s="1"/>
  <c r="I579" i="1" a="1"/>
  <c r="I579" i="1" s="1"/>
  <c r="I580" i="1" a="1"/>
  <c r="I580" i="1" s="1"/>
  <c r="I581" i="1" a="1"/>
  <c r="I581" i="1" s="1"/>
  <c r="I582" i="1" a="1"/>
  <c r="I582" i="1" s="1"/>
  <c r="I583" i="1" a="1"/>
  <c r="I583" i="1" s="1"/>
  <c r="I584" i="1" a="1"/>
  <c r="I584" i="1" s="1"/>
  <c r="I585" i="1" a="1"/>
  <c r="I585" i="1" s="1"/>
  <c r="J585" i="1" s="1"/>
  <c r="I586" i="1" a="1"/>
  <c r="I586" i="1" s="1"/>
  <c r="I587" i="1" a="1"/>
  <c r="I587" i="1" s="1"/>
  <c r="I588" i="1" a="1"/>
  <c r="I588" i="1" s="1"/>
  <c r="I589" i="1" a="1"/>
  <c r="I589" i="1" s="1"/>
  <c r="I590" i="1" a="1"/>
  <c r="I590" i="1" s="1"/>
  <c r="J590" i="1" s="1"/>
  <c r="I591" i="1" a="1"/>
  <c r="I591" i="1" s="1"/>
  <c r="I592" i="1" a="1"/>
  <c r="I592" i="1" s="1"/>
  <c r="I593" i="1" a="1"/>
  <c r="I593" i="1" s="1"/>
  <c r="I594" i="1" a="1"/>
  <c r="I594" i="1" s="1"/>
  <c r="I595" i="1" a="1"/>
  <c r="I595" i="1" s="1"/>
  <c r="I596" i="1" a="1"/>
  <c r="I596" i="1" s="1"/>
  <c r="I597" i="1" a="1"/>
  <c r="I597" i="1" s="1"/>
  <c r="J597" i="1" s="1"/>
  <c r="I598" i="1" a="1"/>
  <c r="I598" i="1" s="1"/>
  <c r="I599" i="1" a="1"/>
  <c r="I599" i="1" s="1"/>
  <c r="I600" i="1" a="1"/>
  <c r="I600" i="1" s="1"/>
  <c r="J600" i="1" s="1"/>
  <c r="I601" i="1" a="1"/>
  <c r="I601" i="1" s="1"/>
  <c r="J601" i="1" s="1"/>
  <c r="I602" i="1" a="1"/>
  <c r="I602" i="1" s="1"/>
  <c r="J602" i="1" s="1"/>
  <c r="I603" i="1" a="1"/>
  <c r="I603" i="1" s="1"/>
  <c r="I604" i="1" a="1"/>
  <c r="I604" i="1" s="1"/>
  <c r="I605" i="1" a="1"/>
  <c r="I605" i="1" s="1"/>
  <c r="I606" i="1" a="1"/>
  <c r="I606" i="1" s="1"/>
  <c r="I607" i="1" a="1"/>
  <c r="I607" i="1" s="1"/>
  <c r="I608" i="1" a="1"/>
  <c r="I608" i="1" s="1"/>
  <c r="I609" i="1" a="1"/>
  <c r="I609" i="1" s="1"/>
  <c r="J609" i="1" s="1"/>
  <c r="I610" i="1" a="1"/>
  <c r="I610" i="1" s="1"/>
  <c r="I611" i="1" a="1"/>
  <c r="I611" i="1" s="1"/>
  <c r="I612" i="1" a="1"/>
  <c r="I612" i="1" s="1"/>
  <c r="I613" i="1" a="1"/>
  <c r="I613" i="1" s="1"/>
  <c r="I614" i="1" a="1"/>
  <c r="I614" i="1" s="1"/>
  <c r="J614" i="1" s="1"/>
  <c r="I615" i="1" a="1"/>
  <c r="I615" i="1" s="1"/>
  <c r="I616" i="1" a="1"/>
  <c r="I616" i="1" s="1"/>
  <c r="I617" i="1" a="1"/>
  <c r="I617" i="1" s="1"/>
  <c r="I618" i="1" a="1"/>
  <c r="I618" i="1" s="1"/>
  <c r="I619" i="1" a="1"/>
  <c r="I619" i="1" s="1"/>
  <c r="I620" i="1" a="1"/>
  <c r="I620" i="1" s="1"/>
  <c r="I621" i="1" a="1"/>
  <c r="I621" i="1" s="1"/>
  <c r="J621" i="1" s="1"/>
  <c r="I622" i="1" a="1"/>
  <c r="I622" i="1" s="1"/>
  <c r="I623" i="1" a="1"/>
  <c r="I623" i="1" s="1"/>
  <c r="I624" i="1" a="1"/>
  <c r="I624" i="1" s="1"/>
  <c r="J624" i="1" s="1"/>
  <c r="I625" i="1" a="1"/>
  <c r="I625" i="1" s="1"/>
  <c r="J625" i="1" s="1"/>
  <c r="I626" i="1" a="1"/>
  <c r="I626" i="1" s="1"/>
  <c r="J626" i="1" s="1"/>
  <c r="I627" i="1" a="1"/>
  <c r="I627" i="1" s="1"/>
  <c r="I628" i="1" a="1"/>
  <c r="I628" i="1" s="1"/>
  <c r="I629" i="1" a="1"/>
  <c r="I629" i="1" s="1"/>
  <c r="I630" i="1" a="1"/>
  <c r="I630" i="1" s="1"/>
  <c r="I631" i="1" a="1"/>
  <c r="I631" i="1" s="1"/>
  <c r="I632" i="1" a="1"/>
  <c r="I632" i="1" s="1"/>
  <c r="I633" i="1" a="1"/>
  <c r="I633" i="1" s="1"/>
  <c r="J633" i="1" s="1"/>
  <c r="I634" i="1" a="1"/>
  <c r="I634" i="1" s="1"/>
  <c r="I635" i="1" a="1"/>
  <c r="I635" i="1" s="1"/>
  <c r="I636" i="1" a="1"/>
  <c r="I636" i="1" s="1"/>
  <c r="I637" i="1" a="1"/>
  <c r="I637" i="1" s="1"/>
  <c r="I638" i="1" a="1"/>
  <c r="I638" i="1" s="1"/>
  <c r="J638" i="1" s="1"/>
  <c r="I639" i="1" a="1"/>
  <c r="I639" i="1" s="1"/>
  <c r="I640" i="1" a="1"/>
  <c r="I640" i="1" s="1"/>
  <c r="I641" i="1" a="1"/>
  <c r="I641" i="1" s="1"/>
  <c r="I642" i="1" a="1"/>
  <c r="I642" i="1" s="1"/>
  <c r="I643" i="1" a="1"/>
  <c r="I643" i="1" s="1"/>
  <c r="I644" i="1" a="1"/>
  <c r="I644" i="1" s="1"/>
  <c r="I645" i="1" a="1"/>
  <c r="I645" i="1" s="1"/>
  <c r="J645" i="1" s="1"/>
  <c r="I646" i="1" a="1"/>
  <c r="I646" i="1" s="1"/>
  <c r="I647" i="1" a="1"/>
  <c r="I647" i="1" s="1"/>
  <c r="I648" i="1" a="1"/>
  <c r="I648" i="1" s="1"/>
  <c r="J648" i="1" s="1"/>
  <c r="I649" i="1" a="1"/>
  <c r="I649" i="1" s="1"/>
  <c r="J649" i="1" s="1"/>
  <c r="I650" i="1" a="1"/>
  <c r="I650" i="1" s="1"/>
  <c r="J650" i="1" s="1"/>
  <c r="I651" i="1" a="1"/>
  <c r="I651" i="1" s="1"/>
  <c r="I652" i="1" a="1"/>
  <c r="I652" i="1" s="1"/>
  <c r="I653" i="1" a="1"/>
  <c r="I653" i="1" s="1"/>
  <c r="I654" i="1" a="1"/>
  <c r="I654" i="1" s="1"/>
  <c r="I655" i="1" a="1"/>
  <c r="I655" i="1" s="1"/>
  <c r="I656" i="1" a="1"/>
  <c r="I656" i="1" s="1"/>
  <c r="I657" i="1" a="1"/>
  <c r="I657" i="1" s="1"/>
  <c r="J657" i="1" s="1"/>
  <c r="I658" i="1" a="1"/>
  <c r="I658" i="1" s="1"/>
  <c r="I659" i="1" a="1"/>
  <c r="I659" i="1" s="1"/>
  <c r="I660" i="1" a="1"/>
  <c r="I660" i="1" s="1"/>
  <c r="I661" i="1" a="1"/>
  <c r="I661" i="1" s="1"/>
  <c r="I662" i="1" a="1"/>
  <c r="I662" i="1" s="1"/>
  <c r="J662" i="1" s="1"/>
  <c r="I663" i="1" a="1"/>
  <c r="I663" i="1" s="1"/>
  <c r="I664" i="1" a="1"/>
  <c r="I664" i="1" s="1"/>
  <c r="I665" i="1" a="1"/>
  <c r="I665" i="1" s="1"/>
  <c r="I666" i="1" a="1"/>
  <c r="I666" i="1" s="1"/>
  <c r="I667" i="1" a="1"/>
  <c r="I667" i="1" s="1"/>
  <c r="I668" i="1" a="1"/>
  <c r="I668" i="1" s="1"/>
  <c r="I669" i="1" a="1"/>
  <c r="I669" i="1" s="1"/>
  <c r="J669" i="1" s="1"/>
  <c r="I670" i="1" a="1"/>
  <c r="I670" i="1" s="1"/>
  <c r="I671" i="1" a="1"/>
  <c r="I671" i="1" s="1"/>
  <c r="I672" i="1" a="1"/>
  <c r="I672" i="1" s="1"/>
  <c r="J672" i="1" s="1"/>
  <c r="I673" i="1" a="1"/>
  <c r="I673" i="1" s="1"/>
  <c r="J673" i="1" s="1"/>
  <c r="I674" i="1" a="1"/>
  <c r="I674" i="1" s="1"/>
  <c r="J674" i="1" s="1"/>
  <c r="I675" i="1" a="1"/>
  <c r="I675" i="1" s="1"/>
  <c r="I676" i="1" a="1"/>
  <c r="I676" i="1" s="1"/>
  <c r="I677" i="1" a="1"/>
  <c r="I677" i="1" s="1"/>
  <c r="I678" i="1" a="1"/>
  <c r="I678" i="1" s="1"/>
  <c r="I679" i="1" a="1"/>
  <c r="I679" i="1" s="1"/>
  <c r="I680" i="1" a="1"/>
  <c r="I680" i="1" s="1"/>
  <c r="I681" i="1" a="1"/>
  <c r="I681" i="1" s="1"/>
  <c r="J681" i="1" s="1"/>
  <c r="I682" i="1" a="1"/>
  <c r="I682" i="1" s="1"/>
  <c r="I683" i="1" a="1"/>
  <c r="I683" i="1" s="1"/>
  <c r="I684" i="1" a="1"/>
  <c r="I684" i="1" s="1"/>
  <c r="I685" i="1" a="1"/>
  <c r="I685" i="1" s="1"/>
  <c r="I686" i="1" a="1"/>
  <c r="I686" i="1" s="1"/>
  <c r="J686" i="1" s="1"/>
  <c r="I687" i="1" a="1"/>
  <c r="I687" i="1" s="1"/>
  <c r="I688" i="1" a="1"/>
  <c r="I688" i="1" s="1"/>
  <c r="I689" i="1" a="1"/>
  <c r="I689" i="1" s="1"/>
  <c r="I690" i="1" a="1"/>
  <c r="I690" i="1" s="1"/>
  <c r="I691" i="1" a="1"/>
  <c r="I691" i="1" s="1"/>
  <c r="I692" i="1" a="1"/>
  <c r="I692" i="1" s="1"/>
  <c r="I693" i="1" a="1"/>
  <c r="I693" i="1" s="1"/>
  <c r="J693" i="1" s="1"/>
  <c r="I694" i="1" a="1"/>
  <c r="I694" i="1" s="1"/>
  <c r="I695" i="1" a="1"/>
  <c r="I695" i="1" s="1"/>
  <c r="I696" i="1" a="1"/>
  <c r="I696" i="1" s="1"/>
  <c r="J696" i="1" s="1"/>
  <c r="I697" i="1" a="1"/>
  <c r="I697" i="1" s="1"/>
  <c r="J697" i="1" s="1"/>
  <c r="I698" i="1" a="1"/>
  <c r="I698" i="1" s="1"/>
  <c r="J698" i="1" s="1"/>
  <c r="I699" i="1" a="1"/>
  <c r="I699" i="1" s="1"/>
  <c r="I700" i="1" a="1"/>
  <c r="I700" i="1" s="1"/>
  <c r="I701" i="1" a="1"/>
  <c r="I701" i="1" s="1"/>
  <c r="I702" i="1" a="1"/>
  <c r="I702" i="1" s="1"/>
  <c r="I703" i="1" a="1"/>
  <c r="I703" i="1" s="1"/>
  <c r="I704" i="1" a="1"/>
  <c r="I704" i="1" s="1"/>
  <c r="I705" i="1" a="1"/>
  <c r="I705" i="1" s="1"/>
  <c r="J705" i="1" s="1"/>
  <c r="I706" i="1" a="1"/>
  <c r="I706" i="1" s="1"/>
  <c r="I707" i="1" a="1"/>
  <c r="I707" i="1" s="1"/>
  <c r="I708" i="1" a="1"/>
  <c r="I708" i="1" s="1"/>
  <c r="I709" i="1" a="1"/>
  <c r="I709" i="1" s="1"/>
  <c r="I710" i="1" a="1"/>
  <c r="I710" i="1" s="1"/>
  <c r="J710" i="1" s="1"/>
  <c r="I711" i="1" a="1"/>
  <c r="I711" i="1" s="1"/>
  <c r="I712" i="1" a="1"/>
  <c r="I712" i="1" s="1"/>
  <c r="I713" i="1" a="1"/>
  <c r="I713" i="1" s="1"/>
  <c r="I714" i="1" a="1"/>
  <c r="I714" i="1" s="1"/>
  <c r="I715" i="1" a="1"/>
  <c r="I715" i="1" s="1"/>
  <c r="I716" i="1" a="1"/>
  <c r="I716" i="1" s="1"/>
  <c r="I717" i="1" a="1"/>
  <c r="I717" i="1" s="1"/>
  <c r="J717" i="1" s="1"/>
  <c r="I718" i="1" a="1"/>
  <c r="I718" i="1" s="1"/>
  <c r="I719" i="1" a="1"/>
  <c r="I719" i="1" s="1"/>
  <c r="J719" i="1" s="1"/>
  <c r="I720" i="1" a="1"/>
  <c r="I720" i="1" s="1"/>
  <c r="J720" i="1" s="1"/>
  <c r="I721" i="1" a="1"/>
  <c r="I721" i="1" s="1"/>
  <c r="J721" i="1" s="1"/>
  <c r="I722" i="1" a="1"/>
  <c r="I722" i="1" s="1"/>
  <c r="J722" i="1" s="1"/>
  <c r="I723" i="1" a="1"/>
  <c r="I723" i="1" s="1"/>
  <c r="I724" i="1" a="1"/>
  <c r="I724" i="1" s="1"/>
  <c r="I725" i="1" a="1"/>
  <c r="I725" i="1" s="1"/>
  <c r="I726" i="1" a="1"/>
  <c r="I726" i="1" s="1"/>
  <c r="I727" i="1" a="1"/>
  <c r="I727" i="1" s="1"/>
  <c r="I728" i="1" a="1"/>
  <c r="I728" i="1" s="1"/>
  <c r="I729" i="1" a="1"/>
  <c r="I729" i="1" s="1"/>
  <c r="J729" i="1" s="1"/>
  <c r="I730" i="1" a="1"/>
  <c r="I730" i="1" s="1"/>
  <c r="I731" i="1" a="1"/>
  <c r="I731" i="1" s="1"/>
  <c r="I732" i="1" a="1"/>
  <c r="I732" i="1" s="1"/>
  <c r="I733" i="1" a="1"/>
  <c r="I733" i="1" s="1"/>
  <c r="I734" i="1" a="1"/>
  <c r="I734" i="1" s="1"/>
  <c r="J734" i="1" s="1"/>
  <c r="I735" i="1" a="1"/>
  <c r="I735" i="1" s="1"/>
  <c r="I736" i="1" a="1"/>
  <c r="I736" i="1" s="1"/>
  <c r="I737" i="1" a="1"/>
  <c r="I737" i="1" s="1"/>
  <c r="I738" i="1" a="1"/>
  <c r="I738" i="1" s="1"/>
  <c r="I739" i="1" a="1"/>
  <c r="I739" i="1" s="1"/>
  <c r="I740" i="1" a="1"/>
  <c r="I740" i="1" s="1"/>
  <c r="I741" i="1" a="1"/>
  <c r="I741" i="1" s="1"/>
  <c r="J741" i="1" s="1"/>
  <c r="I742" i="1" a="1"/>
  <c r="I742" i="1" s="1"/>
  <c r="I743" i="1" a="1"/>
  <c r="I743" i="1" s="1"/>
  <c r="I744" i="1" a="1"/>
  <c r="I744" i="1" s="1"/>
  <c r="J744" i="1" s="1"/>
  <c r="I745" i="1" a="1"/>
  <c r="I745" i="1" s="1"/>
  <c r="J745" i="1" s="1"/>
  <c r="I746" i="1" a="1"/>
  <c r="I746" i="1" s="1"/>
  <c r="J746" i="1" s="1"/>
  <c r="I747" i="1" a="1"/>
  <c r="I747" i="1" s="1"/>
  <c r="I748" i="1" a="1"/>
  <c r="I748" i="1" s="1"/>
  <c r="I749" i="1" a="1"/>
  <c r="I749" i="1" s="1"/>
  <c r="I750" i="1" a="1"/>
  <c r="I750" i="1" s="1"/>
  <c r="I751" i="1" a="1"/>
  <c r="I751" i="1" s="1"/>
  <c r="I752" i="1" a="1"/>
  <c r="I752" i="1" s="1"/>
  <c r="I753" i="1" a="1"/>
  <c r="I753" i="1" s="1"/>
  <c r="J753" i="1" s="1"/>
  <c r="I754" i="1" a="1"/>
  <c r="I754" i="1" s="1"/>
  <c r="I755" i="1" a="1"/>
  <c r="I755" i="1" s="1"/>
  <c r="I756" i="1" a="1"/>
  <c r="I756" i="1" s="1"/>
  <c r="I757" i="1" a="1"/>
  <c r="I757" i="1" s="1"/>
  <c r="I758" i="1" a="1"/>
  <c r="I758" i="1" s="1"/>
  <c r="J758" i="1" s="1"/>
  <c r="I759" i="1" a="1"/>
  <c r="I759" i="1" s="1"/>
  <c r="I760" i="1" a="1"/>
  <c r="I760" i="1" s="1"/>
  <c r="I761" i="1" a="1"/>
  <c r="I761" i="1" s="1"/>
  <c r="I762" i="1" a="1"/>
  <c r="I762" i="1" s="1"/>
  <c r="I763" i="1" a="1"/>
  <c r="I763" i="1" s="1"/>
  <c r="I764" i="1" a="1"/>
  <c r="I764" i="1" s="1"/>
  <c r="I765" i="1" a="1"/>
  <c r="I765" i="1" s="1"/>
  <c r="J765" i="1" s="1"/>
  <c r="I766" i="1" a="1"/>
  <c r="I766" i="1" s="1"/>
  <c r="I767" i="1" a="1"/>
  <c r="I767" i="1" s="1"/>
  <c r="J767" i="1" s="1"/>
  <c r="I768" i="1" a="1"/>
  <c r="I768" i="1" s="1"/>
  <c r="J768" i="1" s="1"/>
  <c r="I769" i="1" a="1"/>
  <c r="I769" i="1" s="1"/>
  <c r="J769" i="1" s="1"/>
  <c r="I770" i="1" a="1"/>
  <c r="I770" i="1" s="1"/>
  <c r="J770" i="1" s="1"/>
  <c r="I771" i="1" a="1"/>
  <c r="I771" i="1" s="1"/>
  <c r="I772" i="1" a="1"/>
  <c r="I772" i="1" s="1"/>
  <c r="I773" i="1" a="1"/>
  <c r="I773" i="1" s="1"/>
  <c r="I774" i="1" a="1"/>
  <c r="I774" i="1" s="1"/>
  <c r="I775" i="1" a="1"/>
  <c r="I775" i="1" s="1"/>
  <c r="I776" i="1" a="1"/>
  <c r="I776" i="1" s="1"/>
  <c r="I777" i="1" a="1"/>
  <c r="I777" i="1" s="1"/>
  <c r="J777" i="1" s="1"/>
  <c r="I778" i="1" a="1"/>
  <c r="I778" i="1" s="1"/>
  <c r="I779" i="1" a="1"/>
  <c r="I779" i="1" s="1"/>
  <c r="I780" i="1" a="1"/>
  <c r="I780" i="1" s="1"/>
  <c r="I781" i="1" a="1"/>
  <c r="I781" i="1" s="1"/>
  <c r="I782" i="1" a="1"/>
  <c r="I782" i="1" s="1"/>
  <c r="J782" i="1" s="1"/>
  <c r="I783" i="1" a="1"/>
  <c r="I783" i="1" s="1"/>
  <c r="I784" i="1" a="1"/>
  <c r="I784" i="1" s="1"/>
  <c r="I785" i="1" a="1"/>
  <c r="I785" i="1" s="1"/>
  <c r="I786" i="1" a="1"/>
  <c r="I786" i="1" s="1"/>
  <c r="I787" i="1" a="1"/>
  <c r="I787" i="1" s="1"/>
  <c r="I788" i="1" a="1"/>
  <c r="I788" i="1" s="1"/>
  <c r="I789" i="1" a="1"/>
  <c r="I789" i="1" s="1"/>
  <c r="J789" i="1" s="1"/>
  <c r="I790" i="1" a="1"/>
  <c r="I790" i="1" s="1"/>
  <c r="I791" i="1" a="1"/>
  <c r="I791" i="1" s="1"/>
  <c r="J791" i="1" s="1"/>
  <c r="I792" i="1" a="1"/>
  <c r="I792" i="1" s="1"/>
  <c r="J792" i="1" s="1"/>
  <c r="I793" i="1" a="1"/>
  <c r="I793" i="1" s="1"/>
  <c r="J793" i="1" s="1"/>
  <c r="I794" i="1" a="1"/>
  <c r="I794" i="1" s="1"/>
  <c r="J794" i="1" s="1"/>
  <c r="I795" i="1" a="1"/>
  <c r="I795" i="1" s="1"/>
  <c r="I796" i="1" a="1"/>
  <c r="I796" i="1" s="1"/>
  <c r="I797" i="1" a="1"/>
  <c r="I797" i="1" s="1"/>
  <c r="I798" i="1" a="1"/>
  <c r="I798" i="1" s="1"/>
  <c r="I799" i="1" a="1"/>
  <c r="I799" i="1" s="1"/>
  <c r="I800" i="1" a="1"/>
  <c r="I800" i="1" s="1"/>
  <c r="I801" i="1" a="1"/>
  <c r="I801" i="1" s="1"/>
  <c r="J801" i="1" s="1"/>
  <c r="I802" i="1" a="1"/>
  <c r="I802" i="1" s="1"/>
  <c r="I803" i="1" a="1"/>
  <c r="I803" i="1" s="1"/>
  <c r="I804" i="1" a="1"/>
  <c r="I804" i="1" s="1"/>
  <c r="I805" i="1" a="1"/>
  <c r="I805" i="1" s="1"/>
  <c r="I806" i="1" a="1"/>
  <c r="I806" i="1" s="1"/>
  <c r="J806" i="1" s="1"/>
  <c r="I807" i="1" a="1"/>
  <c r="I807" i="1" s="1"/>
  <c r="I808" i="1" a="1"/>
  <c r="I808" i="1" s="1"/>
  <c r="I809" i="1" a="1"/>
  <c r="I809" i="1" s="1"/>
  <c r="I810" i="1" a="1"/>
  <c r="I810" i="1" s="1"/>
  <c r="I811" i="1" a="1"/>
  <c r="I811" i="1" s="1"/>
  <c r="I812" i="1" a="1"/>
  <c r="I812" i="1" s="1"/>
  <c r="I813" i="1" a="1"/>
  <c r="I813" i="1" s="1"/>
  <c r="J813" i="1" s="1"/>
  <c r="I814" i="1" a="1"/>
  <c r="I814" i="1" s="1"/>
  <c r="I815" i="1" a="1"/>
  <c r="I815" i="1" s="1"/>
  <c r="J815" i="1" s="1"/>
  <c r="I816" i="1" a="1"/>
  <c r="I816" i="1" s="1"/>
  <c r="J816" i="1" s="1"/>
  <c r="I817" i="1" a="1"/>
  <c r="I817" i="1" s="1"/>
  <c r="J817" i="1" s="1"/>
  <c r="I818" i="1" a="1"/>
  <c r="I818" i="1" s="1"/>
  <c r="J818" i="1" s="1"/>
  <c r="I819" i="1" a="1"/>
  <c r="I819" i="1" s="1"/>
  <c r="I820" i="1" a="1"/>
  <c r="I820" i="1" s="1"/>
  <c r="I821" i="1" a="1"/>
  <c r="I821" i="1" s="1"/>
  <c r="I822" i="1" a="1"/>
  <c r="I822" i="1" s="1"/>
  <c r="I823" i="1" a="1"/>
  <c r="I823" i="1" s="1"/>
  <c r="I824" i="1" a="1"/>
  <c r="I824" i="1" s="1"/>
  <c r="I825" i="1" a="1"/>
  <c r="I825" i="1" s="1"/>
  <c r="J825" i="1" s="1"/>
  <c r="I826" i="1" a="1"/>
  <c r="I826" i="1" s="1"/>
  <c r="I827" i="1" a="1"/>
  <c r="I827" i="1" s="1"/>
  <c r="I828" i="1" a="1"/>
  <c r="I828" i="1" s="1"/>
  <c r="I829" i="1" a="1"/>
  <c r="I829" i="1" s="1"/>
  <c r="I830" i="1" a="1"/>
  <c r="I830" i="1" s="1"/>
  <c r="J830" i="1" s="1"/>
  <c r="I831" i="1" a="1"/>
  <c r="I831" i="1" s="1"/>
  <c r="I832" i="1" a="1"/>
  <c r="I832" i="1" s="1"/>
  <c r="I833" i="1" a="1"/>
  <c r="I833" i="1" s="1"/>
  <c r="I834" i="1" a="1"/>
  <c r="I834" i="1" s="1"/>
  <c r="I835" i="1" a="1"/>
  <c r="I835" i="1" s="1"/>
  <c r="I836" i="1" a="1"/>
  <c r="I836" i="1" s="1"/>
  <c r="I837" i="1" a="1"/>
  <c r="I837" i="1" s="1"/>
  <c r="J837" i="1" s="1"/>
  <c r="I838" i="1" a="1"/>
  <c r="I838" i="1" s="1"/>
  <c r="I839" i="1" a="1"/>
  <c r="I839" i="1" s="1"/>
  <c r="J839" i="1" s="1"/>
  <c r="I840" i="1" a="1"/>
  <c r="I840" i="1" s="1"/>
  <c r="J840" i="1" s="1"/>
  <c r="I841" i="1" a="1"/>
  <c r="I841" i="1" s="1"/>
  <c r="J841" i="1" s="1"/>
  <c r="I842" i="1" a="1"/>
  <c r="I842" i="1" s="1"/>
  <c r="J842" i="1" s="1"/>
  <c r="I843" i="1" a="1"/>
  <c r="I843" i="1" s="1"/>
  <c r="I844" i="1" a="1"/>
  <c r="I844" i="1" s="1"/>
  <c r="I845" i="1" a="1"/>
  <c r="I845" i="1" s="1"/>
  <c r="I846" i="1" a="1"/>
  <c r="I846" i="1" s="1"/>
  <c r="I847" i="1" a="1"/>
  <c r="I847" i="1" s="1"/>
  <c r="I848" i="1" a="1"/>
  <c r="I848" i="1" s="1"/>
  <c r="I849" i="1" a="1"/>
  <c r="I849" i="1" s="1"/>
  <c r="J849" i="1" s="1"/>
  <c r="I850" i="1" a="1"/>
  <c r="I850" i="1" s="1"/>
  <c r="I851" i="1" a="1"/>
  <c r="I851" i="1" s="1"/>
  <c r="I852" i="1" a="1"/>
  <c r="I852" i="1" s="1"/>
  <c r="I853" i="1" a="1"/>
  <c r="I853" i="1" s="1"/>
  <c r="I854" i="1" a="1"/>
  <c r="I854" i="1" s="1"/>
  <c r="J854" i="1" s="1"/>
  <c r="I855" i="1" a="1"/>
  <c r="I855" i="1" s="1"/>
  <c r="I856" i="1" a="1"/>
  <c r="I856" i="1" s="1"/>
  <c r="I857" i="1" a="1"/>
  <c r="I857" i="1" s="1"/>
  <c r="I858" i="1" a="1"/>
  <c r="I858" i="1" s="1"/>
  <c r="I859" i="1" a="1"/>
  <c r="I859" i="1" s="1"/>
  <c r="I860" i="1" a="1"/>
  <c r="I860" i="1" s="1"/>
  <c r="I861" i="1" a="1"/>
  <c r="I861" i="1" s="1"/>
  <c r="J861" i="1" s="1"/>
  <c r="I862" i="1" a="1"/>
  <c r="I862" i="1" s="1"/>
  <c r="I863" i="1" a="1"/>
  <c r="I863" i="1" s="1"/>
  <c r="J863" i="1" s="1"/>
  <c r="I864" i="1" a="1"/>
  <c r="I864" i="1" s="1"/>
  <c r="J864" i="1" s="1"/>
  <c r="I865" i="1" a="1"/>
  <c r="I865" i="1" s="1"/>
  <c r="J865" i="1" s="1"/>
  <c r="I866" i="1" a="1"/>
  <c r="I866" i="1" s="1"/>
  <c r="J866" i="1" s="1"/>
  <c r="I867" i="1" a="1"/>
  <c r="I867" i="1" s="1"/>
  <c r="I868" i="1" a="1"/>
  <c r="I868" i="1" s="1"/>
  <c r="I869" i="1" a="1"/>
  <c r="I869" i="1" s="1"/>
  <c r="I870" i="1" a="1"/>
  <c r="I870" i="1" s="1"/>
  <c r="I871" i="1" a="1"/>
  <c r="I871" i="1" s="1"/>
  <c r="I872" i="1" a="1"/>
  <c r="I872" i="1" s="1"/>
  <c r="I873" i="1" a="1"/>
  <c r="I873" i="1" s="1"/>
  <c r="J873" i="1" s="1"/>
  <c r="I874" i="1" a="1"/>
  <c r="I874" i="1" s="1"/>
  <c r="I875" i="1" a="1"/>
  <c r="I875" i="1" s="1"/>
  <c r="I876" i="1" a="1"/>
  <c r="I876" i="1" s="1"/>
  <c r="I877" i="1" a="1"/>
  <c r="I877" i="1" s="1"/>
  <c r="I878" i="1" a="1"/>
  <c r="I878" i="1" s="1"/>
  <c r="J878" i="1" s="1"/>
  <c r="I879" i="1" a="1"/>
  <c r="I879" i="1" s="1"/>
  <c r="I880" i="1" a="1"/>
  <c r="I880" i="1" s="1"/>
  <c r="I881" i="1" a="1"/>
  <c r="I881" i="1" s="1"/>
  <c r="I882" i="1" a="1"/>
  <c r="I882" i="1" s="1"/>
  <c r="I883" i="1" a="1"/>
  <c r="I883" i="1" s="1"/>
  <c r="I884" i="1" a="1"/>
  <c r="I884" i="1" s="1"/>
  <c r="I885" i="1" a="1"/>
  <c r="I885" i="1" s="1"/>
  <c r="J885" i="1" s="1"/>
  <c r="I886" i="1" a="1"/>
  <c r="I886" i="1" s="1"/>
  <c r="I887" i="1" a="1"/>
  <c r="I887" i="1" s="1"/>
  <c r="J887" i="1" s="1"/>
  <c r="I888" i="1" a="1"/>
  <c r="I888" i="1" s="1"/>
  <c r="J888" i="1" s="1"/>
  <c r="I889" i="1" a="1"/>
  <c r="I889" i="1" s="1"/>
  <c r="J889" i="1" s="1"/>
  <c r="I890" i="1" a="1"/>
  <c r="I890" i="1" s="1"/>
  <c r="J890" i="1" s="1"/>
  <c r="I891" i="1" a="1"/>
  <c r="I891" i="1" s="1"/>
  <c r="I892" i="1" a="1"/>
  <c r="I892" i="1" s="1"/>
  <c r="I893" i="1" a="1"/>
  <c r="I893" i="1" s="1"/>
  <c r="I894" i="1" a="1"/>
  <c r="I894" i="1" s="1"/>
  <c r="I895" i="1" a="1"/>
  <c r="I895" i="1" s="1"/>
  <c r="I896" i="1" a="1"/>
  <c r="I896" i="1" s="1"/>
  <c r="I897" i="1" a="1"/>
  <c r="I897" i="1" s="1"/>
  <c r="J897" i="1" s="1"/>
  <c r="I898" i="1" a="1"/>
  <c r="I898" i="1" s="1"/>
  <c r="I899" i="1" a="1"/>
  <c r="I899" i="1" s="1"/>
  <c r="I900" i="1" a="1"/>
  <c r="I900" i="1" s="1"/>
  <c r="I901" i="1" a="1"/>
  <c r="I901" i="1" s="1"/>
  <c r="I902" i="1" a="1"/>
  <c r="I902" i="1" s="1"/>
  <c r="J902" i="1" s="1"/>
  <c r="I903" i="1" a="1"/>
  <c r="I903" i="1" s="1"/>
  <c r="I904" i="1" a="1"/>
  <c r="I904" i="1" s="1"/>
  <c r="I905" i="1" a="1"/>
  <c r="I905" i="1" s="1"/>
  <c r="I906" i="1" a="1"/>
  <c r="I906" i="1" s="1"/>
  <c r="I907" i="1" a="1"/>
  <c r="I907" i="1" s="1"/>
  <c r="I908" i="1" a="1"/>
  <c r="I908" i="1" s="1"/>
  <c r="I909" i="1" a="1"/>
  <c r="I909" i="1" s="1"/>
  <c r="J909" i="1" s="1"/>
  <c r="I910" i="1" a="1"/>
  <c r="I910" i="1" s="1"/>
  <c r="I911" i="1" a="1"/>
  <c r="I911" i="1" s="1"/>
  <c r="J911" i="1" s="1"/>
  <c r="I912" i="1" a="1"/>
  <c r="I912" i="1" s="1"/>
  <c r="J912" i="1" s="1"/>
  <c r="I913" i="1" a="1"/>
  <c r="I913" i="1" s="1"/>
  <c r="J913" i="1" s="1"/>
  <c r="I914" i="1" a="1"/>
  <c r="I914" i="1" s="1"/>
  <c r="J914" i="1" s="1"/>
  <c r="I915" i="1" a="1"/>
  <c r="I915" i="1" s="1"/>
  <c r="I916" i="1" a="1"/>
  <c r="I916" i="1" s="1"/>
  <c r="I917" i="1" a="1"/>
  <c r="I917" i="1" s="1"/>
  <c r="I918" i="1" a="1"/>
  <c r="I918" i="1" s="1"/>
  <c r="I919" i="1" a="1"/>
  <c r="I919" i="1" s="1"/>
  <c r="I920" i="1" a="1"/>
  <c r="I920" i="1" s="1"/>
  <c r="I921" i="1" a="1"/>
  <c r="I921" i="1" s="1"/>
  <c r="J921" i="1" s="1"/>
  <c r="I922" i="1" a="1"/>
  <c r="I922" i="1" s="1"/>
  <c r="I923" i="1" a="1"/>
  <c r="I923" i="1" s="1"/>
  <c r="I924" i="1" a="1"/>
  <c r="I924" i="1" s="1"/>
  <c r="I925" i="1" a="1"/>
  <c r="I925" i="1" s="1"/>
  <c r="I926" i="1" a="1"/>
  <c r="I926" i="1" s="1"/>
  <c r="J926" i="1" s="1"/>
  <c r="I927" i="1" a="1"/>
  <c r="I927" i="1" s="1"/>
  <c r="I928" i="1" a="1"/>
  <c r="I928" i="1" s="1"/>
  <c r="I929" i="1" a="1"/>
  <c r="I929" i="1" s="1"/>
  <c r="I930" i="1" a="1"/>
  <c r="I930" i="1" s="1"/>
  <c r="I931" i="1" a="1"/>
  <c r="I931" i="1" s="1"/>
  <c r="I932" i="1" a="1"/>
  <c r="I932" i="1" s="1"/>
  <c r="I933" i="1" a="1"/>
  <c r="I933" i="1" s="1"/>
  <c r="J933" i="1" s="1"/>
  <c r="I934" i="1" a="1"/>
  <c r="I934" i="1" s="1"/>
  <c r="I935" i="1" a="1"/>
  <c r="I935" i="1" s="1"/>
  <c r="J935" i="1" s="1"/>
  <c r="I936" i="1" a="1"/>
  <c r="I936" i="1" s="1"/>
  <c r="J936" i="1" s="1"/>
  <c r="I937" i="1" a="1"/>
  <c r="I937" i="1" s="1"/>
  <c r="J937" i="1" s="1"/>
  <c r="I938" i="1" a="1"/>
  <c r="I938" i="1" s="1"/>
  <c r="J938" i="1" s="1"/>
  <c r="I939" i="1" a="1"/>
  <c r="I939" i="1" s="1"/>
  <c r="I940" i="1" a="1"/>
  <c r="I940" i="1" s="1"/>
  <c r="I941" i="1" a="1"/>
  <c r="I941" i="1" s="1"/>
  <c r="I942" i="1" a="1"/>
  <c r="I942" i="1" s="1"/>
  <c r="I943" i="1" a="1"/>
  <c r="I943" i="1" s="1"/>
  <c r="I944" i="1" a="1"/>
  <c r="I944" i="1" s="1"/>
  <c r="I945" i="1" a="1"/>
  <c r="I945" i="1" s="1"/>
  <c r="J945" i="1" s="1"/>
  <c r="I946" i="1" a="1"/>
  <c r="I946" i="1" s="1"/>
  <c r="I947" i="1" a="1"/>
  <c r="I947" i="1" s="1"/>
  <c r="I948" i="1" a="1"/>
  <c r="I948" i="1" s="1"/>
  <c r="I949" i="1" a="1"/>
  <c r="I949" i="1" s="1"/>
  <c r="I950" i="1" a="1"/>
  <c r="I950" i="1" s="1"/>
  <c r="J950" i="1" s="1"/>
  <c r="I951" i="1" a="1"/>
  <c r="I951" i="1" s="1"/>
  <c r="I952" i="1" a="1"/>
  <c r="I952" i="1" s="1"/>
  <c r="I953" i="1" a="1"/>
  <c r="I953" i="1" s="1"/>
  <c r="I954" i="1" a="1"/>
  <c r="I954" i="1" s="1"/>
  <c r="I955" i="1" a="1"/>
  <c r="I955" i="1" s="1"/>
  <c r="I956" i="1" a="1"/>
  <c r="I956" i="1" s="1"/>
  <c r="I957" i="1" a="1"/>
  <c r="I957" i="1" s="1"/>
  <c r="J957" i="1" s="1"/>
  <c r="I958" i="1" a="1"/>
  <c r="I958" i="1" s="1"/>
  <c r="I959" i="1" a="1"/>
  <c r="I959" i="1" s="1"/>
  <c r="J959" i="1" s="1"/>
  <c r="I960" i="1" a="1"/>
  <c r="I960" i="1" s="1"/>
  <c r="J960" i="1" s="1"/>
  <c r="I961" i="1" a="1"/>
  <c r="I961" i="1" s="1"/>
  <c r="J961" i="1" s="1"/>
  <c r="I962" i="1" a="1"/>
  <c r="I962" i="1" s="1"/>
  <c r="J962" i="1" s="1"/>
  <c r="I963" i="1" a="1"/>
  <c r="I963" i="1" s="1"/>
  <c r="I964" i="1" a="1"/>
  <c r="I964" i="1" s="1"/>
  <c r="I965" i="1" a="1"/>
  <c r="I965" i="1" s="1"/>
  <c r="I966" i="1" a="1"/>
  <c r="I966" i="1" s="1"/>
  <c r="I967" i="1" a="1"/>
  <c r="I967" i="1" s="1"/>
  <c r="I968" i="1" a="1"/>
  <c r="I968" i="1" s="1"/>
  <c r="I969" i="1" a="1"/>
  <c r="I969" i="1" s="1"/>
  <c r="J969" i="1" s="1"/>
  <c r="I970" i="1" a="1"/>
  <c r="I970" i="1" s="1"/>
  <c r="I971" i="1" a="1"/>
  <c r="I971" i="1" s="1"/>
  <c r="I972" i="1" a="1"/>
  <c r="I972" i="1" s="1"/>
  <c r="I973" i="1" a="1"/>
  <c r="I973" i="1" s="1"/>
  <c r="I974" i="1" a="1"/>
  <c r="I974" i="1" s="1"/>
  <c r="J974" i="1" s="1"/>
  <c r="I975" i="1" a="1"/>
  <c r="I975" i="1" s="1"/>
  <c r="I976" i="1" a="1"/>
  <c r="I976" i="1" s="1"/>
  <c r="I977" i="1" a="1"/>
  <c r="I977" i="1" s="1"/>
  <c r="I978" i="1" a="1"/>
  <c r="I978" i="1" s="1"/>
  <c r="I979" i="1" a="1"/>
  <c r="I979" i="1" s="1"/>
  <c r="I980" i="1" a="1"/>
  <c r="I980" i="1" s="1"/>
  <c r="I981" i="1" a="1"/>
  <c r="I981" i="1" s="1"/>
  <c r="J981" i="1" s="1"/>
  <c r="I982" i="1" a="1"/>
  <c r="I982" i="1" s="1"/>
  <c r="I983" i="1" a="1"/>
  <c r="I983" i="1" s="1"/>
  <c r="J983" i="1" s="1"/>
  <c r="I984" i="1" a="1"/>
  <c r="I984" i="1" s="1"/>
  <c r="J984" i="1" s="1"/>
  <c r="I985" i="1" a="1"/>
  <c r="I985" i="1" s="1"/>
  <c r="J985" i="1" s="1"/>
  <c r="I986" i="1" a="1"/>
  <c r="I986" i="1" s="1"/>
  <c r="J986" i="1" s="1"/>
  <c r="I987" i="1" a="1"/>
  <c r="I987" i="1" s="1"/>
  <c r="I988" i="1" a="1"/>
  <c r="I988" i="1" s="1"/>
  <c r="I989" i="1" a="1"/>
  <c r="I989" i="1" s="1"/>
  <c r="I990" i="1" a="1"/>
  <c r="I990" i="1" s="1"/>
  <c r="I991" i="1" a="1"/>
  <c r="I991" i="1" s="1"/>
  <c r="I992" i="1" a="1"/>
  <c r="I992" i="1" s="1"/>
  <c r="I993" i="1" a="1"/>
  <c r="I993" i="1" s="1"/>
  <c r="J993" i="1" s="1"/>
  <c r="I994" i="1" a="1"/>
  <c r="I994" i="1" s="1"/>
  <c r="I995" i="1" a="1"/>
  <c r="I995" i="1" s="1"/>
  <c r="I996" i="1" a="1"/>
  <c r="I996" i="1" s="1"/>
  <c r="I997" i="1" a="1"/>
  <c r="I997" i="1" s="1"/>
  <c r="I998" i="1" a="1"/>
  <c r="I998" i="1" s="1"/>
  <c r="J998" i="1" s="1"/>
  <c r="I999" i="1" a="1"/>
  <c r="I999" i="1" s="1"/>
  <c r="I1000" i="1" a="1"/>
  <c r="I1000" i="1" s="1"/>
  <c r="I1001" i="1" a="1"/>
  <c r="I1001" i="1" s="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D82" i="1"/>
  <c r="N83" i="1"/>
  <c r="N84" i="1"/>
  <c r="N85" i="1"/>
  <c r="N86" i="1"/>
  <c r="N87" i="1"/>
  <c r="N88" i="1"/>
  <c r="N89" i="1"/>
  <c r="N90" i="1"/>
  <c r="N91" i="1"/>
  <c r="N92" i="1"/>
  <c r="D93" i="1"/>
  <c r="N94" i="1"/>
  <c r="N95" i="1"/>
  <c r="N96" i="1"/>
  <c r="N97" i="1"/>
  <c r="N98" i="1"/>
  <c r="N99" i="1"/>
  <c r="N100" i="1"/>
  <c r="N101" i="1"/>
  <c r="N102" i="1"/>
  <c r="N103" i="1"/>
  <c r="N104" i="1"/>
  <c r="N105" i="1"/>
  <c r="N106" i="1"/>
  <c r="N107" i="1"/>
  <c r="N108" i="1"/>
  <c r="N109" i="1"/>
  <c r="N110" i="1"/>
  <c r="N111" i="1"/>
  <c r="N112" i="1"/>
  <c r="N113" i="1"/>
  <c r="N114" i="1"/>
  <c r="N115" i="1"/>
  <c r="N116" i="1"/>
  <c r="N117" i="1"/>
  <c r="N118" i="1"/>
  <c r="D119" i="1"/>
  <c r="N120" i="1"/>
  <c r="N121" i="1"/>
  <c r="N122" i="1"/>
  <c r="N123" i="1"/>
  <c r="N124" i="1"/>
  <c r="N125" i="1"/>
  <c r="N126" i="1"/>
  <c r="N127" i="1"/>
  <c r="N128" i="1"/>
  <c r="N129" i="1"/>
  <c r="N130" i="1"/>
  <c r="N131" i="1"/>
  <c r="N132" i="1"/>
  <c r="N133" i="1"/>
  <c r="N134" i="1"/>
  <c r="N135" i="1"/>
  <c r="N136" i="1"/>
  <c r="N137" i="1"/>
  <c r="N138" i="1"/>
  <c r="N139" i="1"/>
  <c r="N140" i="1"/>
  <c r="D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D167" i="1"/>
  <c r="N168" i="1"/>
  <c r="N169" i="1"/>
  <c r="N170" i="1"/>
  <c r="N171" i="1"/>
  <c r="N172" i="1"/>
  <c r="N173" i="1"/>
  <c r="N174" i="1"/>
  <c r="N175" i="1"/>
  <c r="N176" i="1"/>
  <c r="N177" i="1"/>
  <c r="D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D226" i="1"/>
  <c r="N227" i="1"/>
  <c r="N228" i="1"/>
  <c r="N229" i="1"/>
  <c r="N230" i="1"/>
  <c r="N231" i="1"/>
  <c r="N232" i="1"/>
  <c r="N233" i="1"/>
  <c r="N234" i="1"/>
  <c r="N235" i="1"/>
  <c r="N236" i="1"/>
  <c r="D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D263" i="1"/>
  <c r="N264" i="1"/>
  <c r="N265" i="1"/>
  <c r="N266" i="1"/>
  <c r="N267" i="1"/>
  <c r="N268" i="1"/>
  <c r="N269" i="1"/>
  <c r="N270" i="1"/>
  <c r="N271" i="1"/>
  <c r="N272" i="1"/>
  <c r="N273" i="1"/>
  <c r="N274" i="1"/>
  <c r="N275" i="1"/>
  <c r="N276" i="1"/>
  <c r="N277" i="1"/>
  <c r="N278" i="1"/>
  <c r="N279" i="1"/>
  <c r="N280" i="1"/>
  <c r="N281" i="1"/>
  <c r="N282" i="1"/>
  <c r="N283" i="1"/>
  <c r="N284" i="1"/>
  <c r="D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D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60" i="1"/>
  <c r="N361" i="1"/>
  <c r="N362" i="1"/>
  <c r="N363" i="1"/>
  <c r="N364" i="1"/>
  <c r="N365" i="1"/>
  <c r="N366" i="1"/>
  <c r="N367" i="1"/>
  <c r="N368" i="1"/>
  <c r="N369" i="1"/>
  <c r="N370" i="1"/>
  <c r="N371" i="1"/>
  <c r="N372" i="1"/>
  <c r="N373" i="1"/>
  <c r="N374" i="1"/>
  <c r="N375" i="1"/>
  <c r="N376" i="1"/>
  <c r="N377" i="1"/>
  <c r="N378" i="1"/>
  <c r="N379" i="1"/>
  <c r="N380" i="1"/>
  <c r="D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D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D455" i="1"/>
  <c r="N456" i="1"/>
  <c r="N457" i="1"/>
  <c r="N458" i="1"/>
  <c r="N459" i="1"/>
  <c r="N460" i="1"/>
  <c r="N461" i="1"/>
  <c r="N462" i="1"/>
  <c r="N463" i="1"/>
  <c r="N464" i="1"/>
  <c r="N465" i="1"/>
  <c r="D466" i="1"/>
  <c r="N467" i="1"/>
  <c r="N468" i="1"/>
  <c r="N469" i="1"/>
  <c r="N470" i="1"/>
  <c r="N471" i="1"/>
  <c r="N472" i="1"/>
  <c r="N473" i="1"/>
  <c r="N474" i="1"/>
  <c r="N475" i="1"/>
  <c r="N476" i="1"/>
  <c r="N477" i="1"/>
  <c r="N478" i="1"/>
  <c r="N479" i="1"/>
  <c r="N480" i="1"/>
  <c r="N481" i="1"/>
  <c r="N482" i="1"/>
  <c r="N483" i="1"/>
  <c r="N484" i="1"/>
  <c r="N485" i="1"/>
  <c r="N486" i="1"/>
  <c r="N487" i="1"/>
  <c r="N488" i="1"/>
  <c r="N489" i="1"/>
  <c r="N490" i="1"/>
  <c r="D491" i="1"/>
  <c r="D492" i="1"/>
  <c r="N493" i="1"/>
  <c r="N494" i="1"/>
  <c r="N495" i="1"/>
  <c r="N496" i="1"/>
  <c r="N497" i="1"/>
  <c r="N498" i="1"/>
  <c r="N499" i="1"/>
  <c r="N500" i="1"/>
  <c r="N501" i="1"/>
  <c r="N502" i="1"/>
  <c r="N503" i="1"/>
  <c r="N504" i="1"/>
  <c r="N505" i="1"/>
  <c r="N506" i="1"/>
  <c r="N507" i="1"/>
  <c r="N508" i="1"/>
  <c r="N509" i="1"/>
  <c r="N510" i="1"/>
  <c r="N511" i="1"/>
  <c r="N512" i="1"/>
  <c r="N513" i="1"/>
  <c r="N514" i="1"/>
  <c r="D515" i="1"/>
  <c r="N516" i="1"/>
  <c r="N517" i="1"/>
  <c r="N518" i="1"/>
  <c r="N519" i="1"/>
  <c r="N520" i="1"/>
  <c r="N521" i="1"/>
  <c r="N522" i="1"/>
  <c r="N523" i="1"/>
  <c r="N524" i="1"/>
  <c r="D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D551" i="1"/>
  <c r="N552" i="1"/>
  <c r="N553" i="1"/>
  <c r="N554" i="1"/>
  <c r="N555" i="1"/>
  <c r="N556" i="1"/>
  <c r="N557" i="1"/>
  <c r="N558" i="1"/>
  <c r="N559" i="1"/>
  <c r="N560" i="1"/>
  <c r="N561" i="1"/>
  <c r="N562" i="1"/>
  <c r="N563" i="1"/>
  <c r="N564" i="1"/>
  <c r="N565" i="1"/>
  <c r="N566" i="1"/>
  <c r="N567" i="1"/>
  <c r="N568" i="1"/>
  <c r="N569" i="1"/>
  <c r="N570" i="1"/>
  <c r="N571" i="1"/>
  <c r="N572" i="1"/>
  <c r="N573" i="1"/>
  <c r="N574" i="1"/>
  <c r="D575" i="1"/>
  <c r="N576" i="1"/>
  <c r="N577" i="1"/>
  <c r="N578" i="1"/>
  <c r="N579" i="1"/>
  <c r="N580" i="1"/>
  <c r="N581" i="1"/>
  <c r="N582" i="1"/>
  <c r="N583" i="1"/>
  <c r="N584" i="1"/>
  <c r="N585" i="1"/>
  <c r="N586" i="1"/>
  <c r="N587" i="1"/>
  <c r="N588" i="1"/>
  <c r="N589" i="1"/>
  <c r="N590" i="1"/>
  <c r="N591" i="1"/>
  <c r="N592" i="1"/>
  <c r="N593" i="1"/>
  <c r="N594" i="1"/>
  <c r="N595" i="1"/>
  <c r="N596" i="1"/>
  <c r="N597" i="1"/>
  <c r="N598" i="1"/>
  <c r="D599" i="1"/>
  <c r="N600" i="1"/>
  <c r="N601" i="1"/>
  <c r="N602" i="1"/>
  <c r="N603" i="1"/>
  <c r="N604" i="1"/>
  <c r="N605" i="1"/>
  <c r="N606" i="1"/>
  <c r="N607" i="1"/>
  <c r="N608" i="1"/>
  <c r="N609" i="1"/>
  <c r="D610" i="1"/>
  <c r="N611" i="1"/>
  <c r="N612" i="1"/>
  <c r="N613" i="1"/>
  <c r="N614" i="1"/>
  <c r="N615" i="1"/>
  <c r="N616" i="1"/>
  <c r="N617" i="1"/>
  <c r="N618" i="1"/>
  <c r="N619" i="1"/>
  <c r="N620" i="1"/>
  <c r="N621" i="1"/>
  <c r="N622" i="1"/>
  <c r="N623" i="1"/>
  <c r="N624" i="1"/>
  <c r="N625" i="1"/>
  <c r="N626" i="1"/>
  <c r="N627" i="1"/>
  <c r="N628" i="1"/>
  <c r="N629" i="1"/>
  <c r="N630" i="1"/>
  <c r="N631" i="1"/>
  <c r="N632" i="1"/>
  <c r="N633" i="1"/>
  <c r="N634" i="1"/>
  <c r="D635" i="1"/>
  <c r="D636" i="1"/>
  <c r="N637" i="1"/>
  <c r="N638" i="1"/>
  <c r="N639" i="1"/>
  <c r="N640" i="1"/>
  <c r="N641" i="1"/>
  <c r="N642" i="1"/>
  <c r="N643" i="1"/>
  <c r="N644" i="1"/>
  <c r="N645" i="1"/>
  <c r="N646" i="1"/>
  <c r="N647" i="1"/>
  <c r="N648" i="1"/>
  <c r="N649" i="1"/>
  <c r="N650" i="1"/>
  <c r="N651" i="1"/>
  <c r="N652" i="1"/>
  <c r="N653" i="1"/>
  <c r="N654" i="1"/>
  <c r="N655" i="1"/>
  <c r="N656" i="1"/>
  <c r="N657" i="1"/>
  <c r="N658" i="1"/>
  <c r="D659" i="1"/>
  <c r="N660" i="1"/>
  <c r="N661" i="1"/>
  <c r="N662" i="1"/>
  <c r="N663" i="1"/>
  <c r="N664" i="1"/>
  <c r="N665" i="1"/>
  <c r="N666" i="1"/>
  <c r="N667" i="1"/>
  <c r="N668" i="1"/>
  <c r="D669" i="1"/>
  <c r="N670" i="1"/>
  <c r="N671" i="1"/>
  <c r="N672" i="1"/>
  <c r="N673" i="1"/>
  <c r="N674" i="1"/>
  <c r="N675" i="1"/>
  <c r="N676" i="1"/>
  <c r="N677" i="1"/>
  <c r="N678" i="1"/>
  <c r="N679" i="1"/>
  <c r="N680" i="1"/>
  <c r="N681" i="1"/>
  <c r="N682" i="1"/>
  <c r="N683" i="1"/>
  <c r="N684" i="1"/>
  <c r="N685" i="1"/>
  <c r="N686" i="1"/>
  <c r="N687" i="1"/>
  <c r="N688" i="1"/>
  <c r="N689" i="1"/>
  <c r="N690" i="1"/>
  <c r="N691" i="1"/>
  <c r="N692" i="1"/>
  <c r="N693" i="1"/>
  <c r="D694" i="1"/>
  <c r="D695" i="1"/>
  <c r="N696" i="1"/>
  <c r="N697" i="1"/>
  <c r="N698" i="1"/>
  <c r="N699" i="1"/>
  <c r="N700" i="1"/>
  <c r="N701" i="1"/>
  <c r="N702" i="1"/>
  <c r="N703" i="1"/>
  <c r="N704" i="1"/>
  <c r="N705" i="1"/>
  <c r="N706" i="1"/>
  <c r="N707" i="1"/>
  <c r="N708" i="1"/>
  <c r="N709" i="1"/>
  <c r="N710" i="1"/>
  <c r="N711" i="1"/>
  <c r="N712" i="1"/>
  <c r="N713" i="1"/>
  <c r="N714" i="1"/>
  <c r="N715" i="1"/>
  <c r="N716" i="1"/>
  <c r="N717" i="1"/>
  <c r="D718" i="1"/>
  <c r="D719" i="1"/>
  <c r="N720" i="1"/>
  <c r="N721" i="1"/>
  <c r="N722" i="1"/>
  <c r="N723" i="1"/>
  <c r="N724" i="1"/>
  <c r="N725" i="1"/>
  <c r="N726" i="1"/>
  <c r="N727" i="1"/>
  <c r="N728" i="1"/>
  <c r="N729" i="1"/>
  <c r="N730" i="1"/>
  <c r="N731" i="1"/>
  <c r="N732" i="1"/>
  <c r="N733" i="1"/>
  <c r="N734" i="1"/>
  <c r="N735" i="1"/>
  <c r="N736" i="1"/>
  <c r="N737" i="1"/>
  <c r="N738" i="1"/>
  <c r="N739" i="1"/>
  <c r="N740" i="1"/>
  <c r="N741" i="1"/>
  <c r="N742" i="1"/>
  <c r="D743" i="1"/>
  <c r="N744" i="1"/>
  <c r="D745" i="1"/>
  <c r="N746" i="1"/>
  <c r="N747" i="1"/>
  <c r="N748" i="1"/>
  <c r="N749" i="1"/>
  <c r="N750" i="1"/>
  <c r="N751" i="1"/>
  <c r="N752" i="1"/>
  <c r="N753" i="1"/>
  <c r="D754" i="1"/>
  <c r="N755" i="1"/>
  <c r="N756" i="1"/>
  <c r="N757" i="1"/>
  <c r="N758" i="1"/>
  <c r="N759" i="1"/>
  <c r="N760" i="1"/>
  <c r="N761" i="1"/>
  <c r="N762" i="1"/>
  <c r="N763" i="1"/>
  <c r="N764" i="1"/>
  <c r="N765" i="1"/>
  <c r="N766" i="1"/>
  <c r="N767" i="1"/>
  <c r="N768" i="1"/>
  <c r="N769" i="1"/>
  <c r="N770" i="1"/>
  <c r="N771" i="1"/>
  <c r="N772" i="1"/>
  <c r="N773" i="1"/>
  <c r="N774" i="1"/>
  <c r="N775" i="1"/>
  <c r="N776" i="1"/>
  <c r="N777" i="1"/>
  <c r="D778" i="1"/>
  <c r="D779" i="1"/>
  <c r="N780" i="1"/>
  <c r="N781" i="1"/>
  <c r="N782" i="1"/>
  <c r="N783" i="1"/>
  <c r="N784" i="1"/>
  <c r="N785" i="1"/>
  <c r="N786" i="1"/>
  <c r="N787" i="1"/>
  <c r="N788" i="1"/>
  <c r="N789" i="1"/>
  <c r="N790" i="1"/>
  <c r="N791" i="1"/>
  <c r="N792" i="1"/>
  <c r="N793" i="1"/>
  <c r="N794" i="1"/>
  <c r="N795" i="1"/>
  <c r="N796" i="1"/>
  <c r="N797" i="1"/>
  <c r="N798" i="1"/>
  <c r="N799" i="1"/>
  <c r="N800" i="1"/>
  <c r="N801" i="1"/>
  <c r="D802" i="1"/>
  <c r="D803" i="1"/>
  <c r="N804" i="1"/>
  <c r="D805" i="1"/>
  <c r="N806" i="1"/>
  <c r="N807" i="1"/>
  <c r="N808" i="1"/>
  <c r="N809" i="1"/>
  <c r="N810" i="1"/>
  <c r="N811" i="1"/>
  <c r="N812" i="1"/>
  <c r="D813" i="1"/>
  <c r="N814" i="1"/>
  <c r="N815" i="1"/>
  <c r="N816" i="1"/>
  <c r="N817" i="1"/>
  <c r="N818" i="1"/>
  <c r="N819" i="1"/>
  <c r="N820" i="1"/>
  <c r="N821" i="1"/>
  <c r="N822" i="1"/>
  <c r="N823" i="1"/>
  <c r="N824" i="1"/>
  <c r="N825" i="1"/>
  <c r="N826" i="1"/>
  <c r="N827" i="1"/>
  <c r="N828" i="1"/>
  <c r="D829" i="1"/>
  <c r="N830" i="1"/>
  <c r="N831" i="1"/>
  <c r="N832" i="1"/>
  <c r="N833" i="1"/>
  <c r="N834" i="1"/>
  <c r="N835" i="1"/>
  <c r="N836" i="1"/>
  <c r="N837" i="1"/>
  <c r="D838" i="1"/>
  <c r="D839" i="1"/>
  <c r="N840" i="1"/>
  <c r="N841" i="1"/>
  <c r="N842" i="1"/>
  <c r="N843" i="1"/>
  <c r="N844" i="1"/>
  <c r="N845" i="1"/>
  <c r="N846" i="1"/>
  <c r="N847" i="1"/>
  <c r="N848" i="1"/>
  <c r="N849" i="1"/>
  <c r="N850" i="1"/>
  <c r="N851" i="1"/>
  <c r="N852" i="1"/>
  <c r="N853" i="1"/>
  <c r="N854" i="1"/>
  <c r="N855" i="1"/>
  <c r="N856" i="1"/>
  <c r="N857" i="1"/>
  <c r="N858" i="1"/>
  <c r="N859" i="1"/>
  <c r="N860" i="1"/>
  <c r="N861" i="1"/>
  <c r="D862" i="1"/>
  <c r="D863" i="1"/>
  <c r="N864" i="1"/>
  <c r="N865" i="1"/>
  <c r="N866" i="1"/>
  <c r="N867" i="1"/>
  <c r="N868" i="1"/>
  <c r="N869" i="1"/>
  <c r="N870" i="1"/>
  <c r="N871" i="1"/>
  <c r="N872" i="1"/>
  <c r="N873" i="1"/>
  <c r="N874" i="1"/>
  <c r="N875" i="1"/>
  <c r="N876" i="1"/>
  <c r="N877" i="1"/>
  <c r="N878" i="1"/>
  <c r="N879" i="1"/>
  <c r="N880" i="1"/>
  <c r="N881" i="1"/>
  <c r="N882" i="1"/>
  <c r="N883" i="1"/>
  <c r="N884" i="1"/>
  <c r="N885" i="1"/>
  <c r="N886" i="1"/>
  <c r="D887" i="1"/>
  <c r="N888" i="1"/>
  <c r="D889" i="1"/>
  <c r="N890" i="1"/>
  <c r="N891" i="1"/>
  <c r="N892" i="1"/>
  <c r="N893" i="1"/>
  <c r="N894" i="1"/>
  <c r="N895" i="1"/>
  <c r="N896" i="1"/>
  <c r="N897" i="1"/>
  <c r="D898" i="1"/>
  <c r="N899" i="1"/>
  <c r="N900" i="1"/>
  <c r="N901" i="1"/>
  <c r="N902" i="1"/>
  <c r="N903" i="1"/>
  <c r="N904" i="1"/>
  <c r="N905" i="1"/>
  <c r="N906" i="1"/>
  <c r="N907" i="1"/>
  <c r="N908" i="1"/>
  <c r="N909" i="1"/>
  <c r="N910" i="1"/>
  <c r="N911" i="1"/>
  <c r="N912" i="1"/>
  <c r="N913" i="1"/>
  <c r="N914" i="1"/>
  <c r="N915" i="1"/>
  <c r="N916" i="1"/>
  <c r="N917" i="1"/>
  <c r="N918" i="1"/>
  <c r="N919" i="1"/>
  <c r="N920" i="1"/>
  <c r="N921" i="1"/>
  <c r="D922" i="1"/>
  <c r="D923" i="1"/>
  <c r="N924" i="1"/>
  <c r="N925" i="1"/>
  <c r="N926" i="1"/>
  <c r="N927" i="1"/>
  <c r="N928" i="1"/>
  <c r="N929" i="1"/>
  <c r="N930" i="1"/>
  <c r="N931" i="1"/>
  <c r="N932" i="1"/>
  <c r="N933" i="1"/>
  <c r="N934" i="1"/>
  <c r="N935" i="1"/>
  <c r="N936" i="1"/>
  <c r="N937" i="1"/>
  <c r="N938" i="1"/>
  <c r="N939" i="1"/>
  <c r="N940" i="1"/>
  <c r="N941" i="1"/>
  <c r="N942" i="1"/>
  <c r="N943" i="1"/>
  <c r="N944" i="1"/>
  <c r="N945" i="1"/>
  <c r="D946" i="1"/>
  <c r="D947" i="1"/>
  <c r="N948" i="1"/>
  <c r="D949" i="1"/>
  <c r="N950" i="1"/>
  <c r="N951" i="1"/>
  <c r="N952" i="1"/>
  <c r="N953" i="1"/>
  <c r="N954" i="1"/>
  <c r="N955" i="1"/>
  <c r="N956" i="1"/>
  <c r="D957" i="1"/>
  <c r="N958" i="1"/>
  <c r="N959" i="1"/>
  <c r="N960" i="1"/>
  <c r="N961" i="1"/>
  <c r="N962" i="1"/>
  <c r="N963" i="1"/>
  <c r="N964" i="1"/>
  <c r="N965" i="1"/>
  <c r="N966" i="1"/>
  <c r="N967" i="1"/>
  <c r="N968" i="1"/>
  <c r="N969" i="1"/>
  <c r="N970" i="1"/>
  <c r="N971" i="1"/>
  <c r="N972" i="1"/>
  <c r="N973" i="1"/>
  <c r="N974" i="1"/>
  <c r="N975" i="1"/>
  <c r="N976" i="1"/>
  <c r="N977" i="1"/>
  <c r="N978" i="1"/>
  <c r="N979" i="1"/>
  <c r="N980" i="1"/>
  <c r="N981" i="1"/>
  <c r="D982" i="1"/>
  <c r="N984" i="1"/>
  <c r="N985" i="1"/>
  <c r="N986" i="1"/>
  <c r="N987" i="1"/>
  <c r="N988" i="1"/>
  <c r="N989" i="1"/>
  <c r="N990" i="1"/>
  <c r="N991" i="1"/>
  <c r="N992" i="1"/>
  <c r="N993" i="1"/>
  <c r="N994" i="1"/>
  <c r="N995" i="1"/>
  <c r="N996" i="1"/>
  <c r="N997" i="1"/>
  <c r="N998" i="1"/>
  <c r="N999" i="1"/>
  <c r="N1000" i="1"/>
  <c r="N1001" i="1"/>
  <c r="E6" i="13"/>
  <c r="D6" i="13"/>
  <c r="C6" i="13"/>
  <c r="A6" i="13"/>
  <c r="B6" i="13"/>
  <c r="P17" i="9" l="1"/>
  <c r="B13" i="7"/>
  <c r="J9" i="9"/>
  <c r="J11" i="9"/>
  <c r="J10" i="9"/>
  <c r="J3" i="9"/>
  <c r="E21" i="9"/>
  <c r="E20" i="9"/>
  <c r="E19" i="9"/>
  <c r="E18" i="9"/>
  <c r="E17" i="9"/>
  <c r="E16" i="9"/>
  <c r="E15" i="9"/>
  <c r="E14" i="9"/>
  <c r="N263" i="1"/>
  <c r="N119" i="1"/>
  <c r="N983" i="1"/>
  <c r="N839" i="1"/>
  <c r="N695" i="1"/>
  <c r="N636" i="1"/>
  <c r="N551" i="1"/>
  <c r="N492" i="1"/>
  <c r="N407" i="1"/>
  <c r="N949" i="1"/>
  <c r="N923" i="1"/>
  <c r="N805" i="1"/>
  <c r="N779" i="1"/>
  <c r="N635" i="1"/>
  <c r="N491" i="1"/>
  <c r="N889" i="1"/>
  <c r="N863" i="1"/>
  <c r="N745" i="1"/>
  <c r="N719" i="1"/>
  <c r="N575" i="1"/>
  <c r="N947" i="1"/>
  <c r="N829" i="1"/>
  <c r="N803" i="1"/>
  <c r="N659" i="1"/>
  <c r="N515" i="1"/>
  <c r="N167" i="1"/>
  <c r="N887" i="1"/>
  <c r="N743" i="1"/>
  <c r="N599" i="1"/>
  <c r="N455" i="1"/>
  <c r="N982" i="1"/>
  <c r="N946" i="1"/>
  <c r="N922" i="1"/>
  <c r="N898" i="1"/>
  <c r="N862" i="1"/>
  <c r="N838" i="1"/>
  <c r="N802" i="1"/>
  <c r="N778" i="1"/>
  <c r="N754" i="1"/>
  <c r="N718" i="1"/>
  <c r="N694" i="1"/>
  <c r="N610" i="1"/>
  <c r="N466" i="1"/>
  <c r="N322" i="1"/>
  <c r="N226" i="1"/>
  <c r="N178" i="1"/>
  <c r="N82" i="1"/>
  <c r="N957" i="1"/>
  <c r="N813" i="1"/>
  <c r="N669" i="1"/>
  <c r="N525" i="1"/>
  <c r="N381" i="1"/>
  <c r="N285" i="1"/>
  <c r="N237" i="1"/>
  <c r="N141" i="1"/>
  <c r="N93" i="1"/>
  <c r="N359" i="1"/>
  <c r="D964" i="1"/>
  <c r="D916" i="1"/>
  <c r="D868" i="1"/>
  <c r="D820" i="1"/>
  <c r="D796" i="1"/>
  <c r="D772" i="1"/>
  <c r="D748" i="1"/>
  <c r="D736" i="1"/>
  <c r="D712" i="1"/>
  <c r="D688" i="1"/>
  <c r="D676" i="1"/>
  <c r="D652" i="1"/>
  <c r="D628" i="1"/>
  <c r="D604" i="1"/>
  <c r="D592" i="1"/>
  <c r="D568" i="1"/>
  <c r="D544" i="1"/>
  <c r="D532" i="1"/>
  <c r="D508" i="1"/>
  <c r="D484" i="1"/>
  <c r="D460" i="1"/>
  <c r="D448" i="1"/>
  <c r="D424" i="1"/>
  <c r="D400" i="1"/>
  <c r="D388" i="1"/>
  <c r="D364" i="1"/>
  <c r="D339" i="1"/>
  <c r="D327" i="1"/>
  <c r="D303" i="1"/>
  <c r="D279" i="1"/>
  <c r="D267" i="1"/>
  <c r="D243" i="1"/>
  <c r="D219" i="1"/>
  <c r="D195" i="1"/>
  <c r="D183" i="1"/>
  <c r="D159" i="1"/>
  <c r="D135" i="1"/>
  <c r="D123" i="1"/>
  <c r="D99" i="1"/>
  <c r="D975" i="1"/>
  <c r="D963" i="1"/>
  <c r="D939" i="1"/>
  <c r="D915" i="1"/>
  <c r="D903" i="1"/>
  <c r="D879" i="1"/>
  <c r="D855" i="1"/>
  <c r="D843" i="1"/>
  <c r="D819" i="1"/>
  <c r="D795" i="1"/>
  <c r="D771" i="1"/>
  <c r="D687" i="1"/>
  <c r="D940" i="1"/>
  <c r="D880" i="1"/>
  <c r="D808" i="1"/>
  <c r="D784" i="1"/>
  <c r="D760" i="1"/>
  <c r="D724" i="1"/>
  <c r="D700" i="1"/>
  <c r="D664" i="1"/>
  <c r="D640" i="1"/>
  <c r="D616" i="1"/>
  <c r="D580" i="1"/>
  <c r="D556" i="1"/>
  <c r="D520" i="1"/>
  <c r="D496" i="1"/>
  <c r="D472" i="1"/>
  <c r="D436" i="1"/>
  <c r="D412" i="1"/>
  <c r="D376" i="1"/>
  <c r="D351" i="1"/>
  <c r="D315" i="1"/>
  <c r="D291" i="1"/>
  <c r="D255" i="1"/>
  <c r="D231" i="1"/>
  <c r="D207" i="1"/>
  <c r="D171" i="1"/>
  <c r="D147" i="1"/>
  <c r="D111" i="1"/>
  <c r="D951" i="1"/>
  <c r="D927" i="1"/>
  <c r="D891" i="1"/>
  <c r="D867" i="1"/>
  <c r="D831" i="1"/>
  <c r="D807" i="1"/>
  <c r="D783" i="1"/>
  <c r="D759" i="1"/>
  <c r="D747" i="1"/>
  <c r="D735" i="1"/>
  <c r="D723" i="1"/>
  <c r="D711" i="1"/>
  <c r="D699" i="1"/>
  <c r="D675" i="1"/>
  <c r="D663" i="1"/>
  <c r="D651" i="1"/>
  <c r="D639" i="1"/>
  <c r="D627" i="1"/>
  <c r="D615" i="1"/>
  <c r="D603" i="1"/>
  <c r="D591" i="1"/>
  <c r="D928" i="1"/>
  <c r="D856" i="1"/>
  <c r="D973" i="1"/>
  <c r="D913" i="1"/>
  <c r="D853" i="1"/>
  <c r="D793" i="1"/>
  <c r="D505" i="1"/>
  <c r="D409" i="1"/>
  <c r="D348" i="1"/>
  <c r="D108" i="1"/>
  <c r="D36" i="1"/>
  <c r="D976" i="1"/>
  <c r="D892" i="1"/>
  <c r="D937" i="1"/>
  <c r="D865" i="1"/>
  <c r="D709" i="1"/>
  <c r="D673" i="1"/>
  <c r="D637" i="1"/>
  <c r="D433" i="1"/>
  <c r="D361" i="1"/>
  <c r="D300" i="1"/>
  <c r="D240" i="1"/>
  <c r="D192" i="1"/>
  <c r="D132" i="1"/>
  <c r="D72" i="1"/>
  <c r="D12" i="1"/>
  <c r="D852" i="1"/>
  <c r="D840" i="1"/>
  <c r="D816" i="1"/>
  <c r="D780" i="1"/>
  <c r="D768" i="1"/>
  <c r="D952" i="1"/>
  <c r="D844" i="1"/>
  <c r="D901" i="1"/>
  <c r="D757" i="1"/>
  <c r="D721" i="1"/>
  <c r="D697" i="1"/>
  <c r="D649" i="1"/>
  <c r="D613" i="1"/>
  <c r="D553" i="1"/>
  <c r="D324" i="1"/>
  <c r="D264" i="1"/>
  <c r="D204" i="1"/>
  <c r="D96" i="1"/>
  <c r="D936" i="1"/>
  <c r="D832" i="1"/>
  <c r="D961" i="1"/>
  <c r="D817" i="1"/>
  <c r="D769" i="1"/>
  <c r="D577" i="1"/>
  <c r="D469" i="1"/>
  <c r="D421" i="1"/>
  <c r="D252" i="1"/>
  <c r="D180" i="1"/>
  <c r="D120" i="1"/>
  <c r="D60" i="1"/>
  <c r="D960" i="1"/>
  <c r="D924" i="1"/>
  <c r="D900" i="1"/>
  <c r="D904" i="1"/>
  <c r="D925" i="1"/>
  <c r="D877" i="1"/>
  <c r="D841" i="1"/>
  <c r="D781" i="1"/>
  <c r="D733" i="1"/>
  <c r="D589" i="1"/>
  <c r="D565" i="1"/>
  <c r="D529" i="1"/>
  <c r="D493" i="1"/>
  <c r="D445" i="1"/>
  <c r="D385" i="1"/>
  <c r="D336" i="1"/>
  <c r="D276" i="1"/>
  <c r="D216" i="1"/>
  <c r="D156" i="1"/>
  <c r="D24" i="1"/>
  <c r="D912" i="1"/>
  <c r="D876" i="1"/>
  <c r="D792" i="1"/>
  <c r="D612" i="1"/>
  <c r="D408" i="1"/>
  <c r="D179" i="1"/>
  <c r="D131" i="1"/>
  <c r="D971" i="1"/>
  <c r="D911" i="1"/>
  <c r="D875" i="1"/>
  <c r="D851" i="1"/>
  <c r="D827" i="1"/>
  <c r="D815" i="1"/>
  <c r="D791" i="1"/>
  <c r="D767" i="1"/>
  <c r="D755" i="1"/>
  <c r="D731" i="1"/>
  <c r="D707" i="1"/>
  <c r="D683" i="1"/>
  <c r="D671" i="1"/>
  <c r="D647" i="1"/>
  <c r="D623" i="1"/>
  <c r="D611" i="1"/>
  <c r="D587" i="1"/>
  <c r="D563" i="1"/>
  <c r="D539" i="1"/>
  <c r="D527" i="1"/>
  <c r="D503" i="1"/>
  <c r="D479" i="1"/>
  <c r="D467" i="1"/>
  <c r="D443" i="1"/>
  <c r="D419" i="1"/>
  <c r="D395" i="1"/>
  <c r="D383" i="1"/>
  <c r="D358" i="1"/>
  <c r="D334" i="1"/>
  <c r="D310" i="1"/>
  <c r="D298" i="1"/>
  <c r="D274" i="1"/>
  <c r="D250" i="1"/>
  <c r="D238" i="1"/>
  <c r="D214" i="1"/>
  <c r="D190" i="1"/>
  <c r="D166" i="1"/>
  <c r="D154" i="1"/>
  <c r="D130" i="1"/>
  <c r="D106" i="1"/>
  <c r="D94" i="1"/>
  <c r="D70" i="1"/>
  <c r="D58" i="1"/>
  <c r="D46" i="1"/>
  <c r="D34" i="1"/>
  <c r="D22" i="1"/>
  <c r="D10" i="1"/>
  <c r="D528" i="1"/>
  <c r="D323" i="1"/>
  <c r="D275" i="1"/>
  <c r="D71" i="1"/>
  <c r="D766" i="1"/>
  <c r="D706" i="1"/>
  <c r="D357" i="1"/>
  <c r="D309" i="1"/>
  <c r="D249" i="1"/>
  <c r="D213" i="1"/>
  <c r="D105" i="1"/>
  <c r="D850" i="1"/>
  <c r="D670" i="1"/>
  <c r="D622" i="1"/>
  <c r="D562" i="1"/>
  <c r="D526" i="1"/>
  <c r="D478" i="1"/>
  <c r="D165" i="1"/>
  <c r="D81" i="1"/>
  <c r="D885" i="1"/>
  <c r="D681" i="1"/>
  <c r="D441" i="1"/>
  <c r="D393" i="1"/>
  <c r="D320" i="1"/>
  <c r="D248" i="1"/>
  <c r="D188" i="1"/>
  <c r="D128" i="1"/>
  <c r="D32" i="1"/>
  <c r="D648" i="1"/>
  <c r="D624" i="1"/>
  <c r="D564" i="1"/>
  <c r="D504" i="1"/>
  <c r="D468" i="1"/>
  <c r="D420" i="1"/>
  <c r="D384" i="1"/>
  <c r="D335" i="1"/>
  <c r="D299" i="1"/>
  <c r="D251" i="1"/>
  <c r="D191" i="1"/>
  <c r="D107" i="1"/>
  <c r="D23" i="1"/>
  <c r="D935" i="1"/>
  <c r="D886" i="1"/>
  <c r="D814" i="1"/>
  <c r="D742" i="1"/>
  <c r="D682" i="1"/>
  <c r="D189" i="1"/>
  <c r="D129" i="1"/>
  <c r="D69" i="1"/>
  <c r="D21" i="1"/>
  <c r="D741" i="1"/>
  <c r="D705" i="1"/>
  <c r="D657" i="1"/>
  <c r="D597" i="1"/>
  <c r="D356" i="1"/>
  <c r="D272" i="1"/>
  <c r="D200" i="1"/>
  <c r="D92" i="1"/>
  <c r="D355" i="1"/>
  <c r="D343" i="1"/>
  <c r="D331" i="1"/>
  <c r="D319" i="1"/>
  <c r="D307" i="1"/>
  <c r="D295" i="1"/>
  <c r="D283" i="1"/>
  <c r="D271" i="1"/>
  <c r="D259" i="1"/>
  <c r="D247" i="1"/>
  <c r="D235" i="1"/>
  <c r="D223" i="1"/>
  <c r="D211" i="1"/>
  <c r="D199" i="1"/>
  <c r="D187" i="1"/>
  <c r="D175" i="1"/>
  <c r="D163" i="1"/>
  <c r="D151" i="1"/>
  <c r="D139" i="1"/>
  <c r="D127" i="1"/>
  <c r="D115" i="1"/>
  <c r="D103" i="1"/>
  <c r="D91" i="1"/>
  <c r="D79" i="1"/>
  <c r="D67" i="1"/>
  <c r="D55" i="1"/>
  <c r="D43" i="1"/>
  <c r="D31" i="1"/>
  <c r="D19" i="1"/>
  <c r="D732" i="1"/>
  <c r="D360" i="1"/>
  <c r="D959" i="1"/>
  <c r="D899" i="1"/>
  <c r="D934" i="1"/>
  <c r="D790" i="1"/>
  <c r="D730" i="1"/>
  <c r="D646" i="1"/>
  <c r="D598" i="1"/>
  <c r="D442" i="1"/>
  <c r="D394" i="1"/>
  <c r="D225" i="1"/>
  <c r="D57" i="1"/>
  <c r="D909" i="1"/>
  <c r="D873" i="1"/>
  <c r="D585" i="1"/>
  <c r="D561" i="1"/>
  <c r="D344" i="1"/>
  <c r="D284" i="1"/>
  <c r="D224" i="1"/>
  <c r="D152" i="1"/>
  <c r="D68" i="1"/>
  <c r="D708" i="1"/>
  <c r="D444" i="1"/>
  <c r="D239" i="1"/>
  <c r="D155" i="1"/>
  <c r="D95" i="1"/>
  <c r="D35" i="1"/>
  <c r="D970" i="1"/>
  <c r="D586" i="1"/>
  <c r="D538" i="1"/>
  <c r="D502" i="1"/>
  <c r="D454" i="1"/>
  <c r="D418" i="1"/>
  <c r="D382" i="1"/>
  <c r="D33" i="1"/>
  <c r="D945" i="1"/>
  <c r="D789" i="1"/>
  <c r="D729" i="1"/>
  <c r="D308" i="1"/>
  <c r="D236" i="1"/>
  <c r="D164" i="1"/>
  <c r="D104" i="1"/>
  <c r="D20" i="1"/>
  <c r="D756" i="1"/>
  <c r="D696" i="1"/>
  <c r="D672" i="1"/>
  <c r="D588" i="1"/>
  <c r="D552" i="1"/>
  <c r="D480" i="1"/>
  <c r="D215" i="1"/>
  <c r="D59" i="1"/>
  <c r="D11" i="1"/>
  <c r="D958" i="1"/>
  <c r="D910" i="1"/>
  <c r="D874" i="1"/>
  <c r="D826" i="1"/>
  <c r="D333" i="1"/>
  <c r="D297" i="1"/>
  <c r="D273" i="1"/>
  <c r="D153" i="1"/>
  <c r="D45" i="1"/>
  <c r="D9" i="1"/>
  <c r="D969" i="1"/>
  <c r="D933" i="1"/>
  <c r="D849" i="1"/>
  <c r="D825" i="1"/>
  <c r="D801" i="1"/>
  <c r="D765" i="1"/>
  <c r="D645" i="1"/>
  <c r="D621" i="1"/>
  <c r="D537" i="1"/>
  <c r="D513" i="1"/>
  <c r="D501" i="1"/>
  <c r="D477" i="1"/>
  <c r="D453" i="1"/>
  <c r="D417" i="1"/>
  <c r="D369" i="1"/>
  <c r="D332" i="1"/>
  <c r="D296" i="1"/>
  <c r="D260" i="1"/>
  <c r="D212" i="1"/>
  <c r="D176" i="1"/>
  <c r="D140" i="1"/>
  <c r="D116" i="1"/>
  <c r="D80" i="1"/>
  <c r="D56" i="1"/>
  <c r="D44" i="1"/>
  <c r="D8" i="1"/>
  <c r="D977" i="1"/>
  <c r="D965" i="1"/>
  <c r="D953" i="1"/>
  <c r="D941" i="1"/>
  <c r="D929" i="1"/>
  <c r="D917" i="1"/>
  <c r="D905" i="1"/>
  <c r="D893" i="1"/>
  <c r="D881" i="1"/>
  <c r="D869" i="1"/>
  <c r="D857" i="1"/>
  <c r="D845" i="1"/>
  <c r="D352" i="1"/>
  <c r="D340" i="1"/>
  <c r="D328" i="1"/>
  <c r="D316" i="1"/>
  <c r="D304" i="1"/>
  <c r="D292" i="1"/>
  <c r="D280" i="1"/>
  <c r="D268" i="1"/>
  <c r="D256" i="1"/>
  <c r="D244" i="1"/>
  <c r="D232" i="1"/>
  <c r="D220" i="1"/>
  <c r="D208" i="1"/>
  <c r="D196" i="1"/>
  <c r="D184" i="1"/>
  <c r="D172" i="1"/>
  <c r="D160" i="1"/>
  <c r="D148" i="1"/>
  <c r="D136" i="1"/>
  <c r="D124" i="1"/>
  <c r="D112" i="1"/>
  <c r="D100" i="1"/>
  <c r="D88" i="1"/>
  <c r="D76" i="1"/>
  <c r="D64" i="1"/>
  <c r="D52" i="1"/>
  <c r="D40" i="1"/>
  <c r="D28" i="1"/>
  <c r="D16" i="1"/>
  <c r="D4" i="1"/>
  <c r="N2" i="1"/>
  <c r="D978" i="1"/>
  <c r="D966" i="1"/>
  <c r="D954" i="1"/>
  <c r="D942" i="1"/>
  <c r="D930" i="1"/>
  <c r="D918" i="1"/>
  <c r="D906" i="1"/>
  <c r="D894" i="1"/>
  <c r="D882" i="1"/>
  <c r="D870" i="1"/>
  <c r="D858" i="1"/>
  <c r="D846" i="1"/>
  <c r="D834" i="1"/>
  <c r="D822" i="1"/>
  <c r="D810" i="1"/>
  <c r="D798" i="1"/>
  <c r="D786" i="1"/>
  <c r="D774" i="1"/>
  <c r="D762" i="1"/>
  <c r="D750" i="1"/>
  <c r="D738" i="1"/>
  <c r="D726" i="1"/>
  <c r="D714" i="1"/>
  <c r="D702" i="1"/>
  <c r="D690" i="1"/>
  <c r="D678" i="1"/>
  <c r="D666" i="1"/>
  <c r="D654" i="1"/>
  <c r="D642" i="1"/>
  <c r="D630" i="1"/>
  <c r="D618" i="1"/>
  <c r="D606" i="1"/>
  <c r="D594" i="1"/>
  <c r="D582" i="1"/>
  <c r="D570" i="1"/>
  <c r="D558" i="1"/>
  <c r="D546" i="1"/>
  <c r="D534" i="1"/>
  <c r="D522" i="1"/>
  <c r="D510" i="1"/>
  <c r="D498" i="1"/>
  <c r="D486" i="1"/>
  <c r="D474" i="1"/>
  <c r="D462" i="1"/>
  <c r="D450" i="1"/>
  <c r="D438" i="1"/>
  <c r="D426" i="1"/>
  <c r="D414" i="1"/>
  <c r="D402" i="1"/>
  <c r="D390" i="1"/>
  <c r="D378" i="1"/>
  <c r="D366" i="1"/>
  <c r="D29" i="1"/>
  <c r="D17" i="1"/>
  <c r="D579" i="1"/>
  <c r="D555" i="1"/>
  <c r="D531" i="1"/>
  <c r="D507" i="1"/>
  <c r="D471" i="1"/>
  <c r="D447" i="1"/>
  <c r="D423" i="1"/>
  <c r="D399" i="1"/>
  <c r="D375" i="1"/>
  <c r="D350" i="1"/>
  <c r="D314" i="1"/>
  <c r="D302" i="1"/>
  <c r="D278" i="1"/>
  <c r="D567" i="1"/>
  <c r="D543" i="1"/>
  <c r="D519" i="1"/>
  <c r="D495" i="1"/>
  <c r="D483" i="1"/>
  <c r="D459" i="1"/>
  <c r="D435" i="1"/>
  <c r="D411" i="1"/>
  <c r="D387" i="1"/>
  <c r="D363" i="1"/>
  <c r="D338" i="1"/>
  <c r="D326" i="1"/>
  <c r="D290" i="1"/>
  <c r="D974" i="1"/>
  <c r="D962" i="1"/>
  <c r="D950" i="1"/>
  <c r="D938" i="1"/>
  <c r="D926" i="1"/>
  <c r="D914" i="1"/>
  <c r="D902" i="1"/>
  <c r="D890" i="1"/>
  <c r="D878" i="1"/>
  <c r="D866" i="1"/>
  <c r="K2" i="1"/>
  <c r="F190" i="1"/>
  <c r="F978" i="1"/>
  <c r="F942" i="1"/>
  <c r="F894" i="1"/>
  <c r="F858" i="1"/>
  <c r="F822" i="1"/>
  <c r="F326" i="1"/>
  <c r="F1001" i="1"/>
  <c r="F325" i="1"/>
  <c r="F1000" i="1"/>
  <c r="F964" i="1"/>
  <c r="F928" i="1"/>
  <c r="F892" i="1"/>
  <c r="F844" i="1"/>
  <c r="F808" i="1"/>
  <c r="F772" i="1"/>
  <c r="F724" i="1"/>
  <c r="F688" i="1"/>
  <c r="F652" i="1"/>
  <c r="F589" i="1"/>
  <c r="F530" i="1"/>
  <c r="F250" i="1"/>
  <c r="F996" i="1"/>
  <c r="F792" i="1"/>
  <c r="F528" i="1"/>
  <c r="F242" i="1"/>
  <c r="F990" i="1"/>
  <c r="F954" i="1"/>
  <c r="F918" i="1"/>
  <c r="F882" i="1"/>
  <c r="F834" i="1"/>
  <c r="F612" i="1"/>
  <c r="F590" i="1"/>
  <c r="F988" i="1"/>
  <c r="F952" i="1"/>
  <c r="F916" i="1"/>
  <c r="F880" i="1"/>
  <c r="F856" i="1"/>
  <c r="F832" i="1"/>
  <c r="F796" i="1"/>
  <c r="F760" i="1"/>
  <c r="F736" i="1"/>
  <c r="F712" i="1"/>
  <c r="F676" i="1"/>
  <c r="F640" i="1"/>
  <c r="F324" i="1"/>
  <c r="F815" i="1"/>
  <c r="F529" i="1"/>
  <c r="F959" i="1"/>
  <c r="F734" i="1"/>
  <c r="F469" i="1"/>
  <c r="F2" i="1"/>
  <c r="F11" i="1"/>
  <c r="F23" i="1"/>
  <c r="F12" i="1"/>
  <c r="F24" i="1"/>
  <c r="F13" i="1"/>
  <c r="F25" i="1"/>
  <c r="F14" i="1"/>
  <c r="F26" i="1"/>
  <c r="F35" i="1"/>
  <c r="F62" i="1"/>
  <c r="F98" i="1"/>
  <c r="F133" i="1"/>
  <c r="F192" i="1"/>
  <c r="F218" i="1"/>
  <c r="F251" i="1"/>
  <c r="F277" i="1"/>
  <c r="F336" i="1"/>
  <c r="F362" i="1"/>
  <c r="F395" i="1"/>
  <c r="F421" i="1"/>
  <c r="F480" i="1"/>
  <c r="F506" i="1"/>
  <c r="F539" i="1"/>
  <c r="F565" i="1"/>
  <c r="F624" i="1"/>
  <c r="F650" i="1"/>
  <c r="F683" i="1"/>
  <c r="F709" i="1"/>
  <c r="F768" i="1"/>
  <c r="F794" i="1"/>
  <c r="F827" i="1"/>
  <c r="F853" i="1"/>
  <c r="F912" i="1"/>
  <c r="F938" i="1"/>
  <c r="F971" i="1"/>
  <c r="F997" i="1"/>
  <c r="F36" i="1"/>
  <c r="F71" i="1"/>
  <c r="F107" i="1"/>
  <c r="F134" i="1"/>
  <c r="F167" i="1"/>
  <c r="F193" i="1"/>
  <c r="F252" i="1"/>
  <c r="F278" i="1"/>
  <c r="F311" i="1"/>
  <c r="F337" i="1"/>
  <c r="F396" i="1"/>
  <c r="F422" i="1"/>
  <c r="F455" i="1"/>
  <c r="F481" i="1"/>
  <c r="F540" i="1"/>
  <c r="F566" i="1"/>
  <c r="F599" i="1"/>
  <c r="F625" i="1"/>
  <c r="F684" i="1"/>
  <c r="F710" i="1"/>
  <c r="F743" i="1"/>
  <c r="F769" i="1"/>
  <c r="F828" i="1"/>
  <c r="F854" i="1"/>
  <c r="F887" i="1"/>
  <c r="F913" i="1"/>
  <c r="F972" i="1"/>
  <c r="F998" i="1"/>
  <c r="F37" i="1"/>
  <c r="F72" i="1"/>
  <c r="F108" i="1"/>
  <c r="F168" i="1"/>
  <c r="F194" i="1"/>
  <c r="F227" i="1"/>
  <c r="F253" i="1"/>
  <c r="F312" i="1"/>
  <c r="F338" i="1"/>
  <c r="F371" i="1"/>
  <c r="F397" i="1"/>
  <c r="F456" i="1"/>
  <c r="F482" i="1"/>
  <c r="F515" i="1"/>
  <c r="F541" i="1"/>
  <c r="F600" i="1"/>
  <c r="F626" i="1"/>
  <c r="F659" i="1"/>
  <c r="F685" i="1"/>
  <c r="F744" i="1"/>
  <c r="F770" i="1"/>
  <c r="F803" i="1"/>
  <c r="F829" i="1"/>
  <c r="F888" i="1"/>
  <c r="F914" i="1"/>
  <c r="F947" i="1"/>
  <c r="F973" i="1"/>
  <c r="F889" i="1"/>
  <c r="F38" i="1"/>
  <c r="F73" i="1"/>
  <c r="F109" i="1"/>
  <c r="F143" i="1"/>
  <c r="F169" i="1"/>
  <c r="F228" i="1"/>
  <c r="F254" i="1"/>
  <c r="F287" i="1"/>
  <c r="F313" i="1"/>
  <c r="F372" i="1"/>
  <c r="F398" i="1"/>
  <c r="F431" i="1"/>
  <c r="F457" i="1"/>
  <c r="F516" i="1"/>
  <c r="F542" i="1"/>
  <c r="F575" i="1"/>
  <c r="F601" i="1"/>
  <c r="F660" i="1"/>
  <c r="F686" i="1"/>
  <c r="F719" i="1"/>
  <c r="F745" i="1"/>
  <c r="F804" i="1"/>
  <c r="F830" i="1"/>
  <c r="F863" i="1"/>
  <c r="F948" i="1"/>
  <c r="F974" i="1"/>
  <c r="F74" i="1"/>
  <c r="F110" i="1"/>
  <c r="F144" i="1"/>
  <c r="F170" i="1"/>
  <c r="F203" i="1"/>
  <c r="F229" i="1"/>
  <c r="F288" i="1"/>
  <c r="F314" i="1"/>
  <c r="F347" i="1"/>
  <c r="F373" i="1"/>
  <c r="F432" i="1"/>
  <c r="F458" i="1"/>
  <c r="F491" i="1"/>
  <c r="F517" i="1"/>
  <c r="F576" i="1"/>
  <c r="F602" i="1"/>
  <c r="F635" i="1"/>
  <c r="F661" i="1"/>
  <c r="F720" i="1"/>
  <c r="F746" i="1"/>
  <c r="F779" i="1"/>
  <c r="F805" i="1"/>
  <c r="F864" i="1"/>
  <c r="F890" i="1"/>
  <c r="F923" i="1"/>
  <c r="F949" i="1"/>
  <c r="F47" i="1"/>
  <c r="F83" i="1"/>
  <c r="F119" i="1"/>
  <c r="F145" i="1"/>
  <c r="F204" i="1"/>
  <c r="F230" i="1"/>
  <c r="F263" i="1"/>
  <c r="F289" i="1"/>
  <c r="F348" i="1"/>
  <c r="F374" i="1"/>
  <c r="F407" i="1"/>
  <c r="F433" i="1"/>
  <c r="F492" i="1"/>
  <c r="F518" i="1"/>
  <c r="F551" i="1"/>
  <c r="F577" i="1"/>
  <c r="F636" i="1"/>
  <c r="F662" i="1"/>
  <c r="F695" i="1"/>
  <c r="F721" i="1"/>
  <c r="F780" i="1"/>
  <c r="F806" i="1"/>
  <c r="F839" i="1"/>
  <c r="F865" i="1"/>
  <c r="F924" i="1"/>
  <c r="F950" i="1"/>
  <c r="F983" i="1"/>
  <c r="F48" i="1"/>
  <c r="F84" i="1"/>
  <c r="F120" i="1"/>
  <c r="F146" i="1"/>
  <c r="F179" i="1"/>
  <c r="F205" i="1"/>
  <c r="F264" i="1"/>
  <c r="F290" i="1"/>
  <c r="F323" i="1"/>
  <c r="F349" i="1"/>
  <c r="F408" i="1"/>
  <c r="F434" i="1"/>
  <c r="F467" i="1"/>
  <c r="F493" i="1"/>
  <c r="F552" i="1"/>
  <c r="F578" i="1"/>
  <c r="F611" i="1"/>
  <c r="F637" i="1"/>
  <c r="F696" i="1"/>
  <c r="F722" i="1"/>
  <c r="F755" i="1"/>
  <c r="F781" i="1"/>
  <c r="F840" i="1"/>
  <c r="F866" i="1"/>
  <c r="F899" i="1"/>
  <c r="F925" i="1"/>
  <c r="F984" i="1"/>
  <c r="F49" i="1"/>
  <c r="F191" i="1"/>
  <c r="F266" i="1"/>
  <c r="F409" i="1"/>
  <c r="F470" i="1"/>
  <c r="F613" i="1"/>
  <c r="F674" i="1"/>
  <c r="F756" i="1"/>
  <c r="F817" i="1"/>
  <c r="F878" i="1"/>
  <c r="F960" i="1"/>
  <c r="F50" i="1"/>
  <c r="F131" i="1"/>
  <c r="F206" i="1"/>
  <c r="F335" i="1"/>
  <c r="F410" i="1"/>
  <c r="F553" i="1"/>
  <c r="F614" i="1"/>
  <c r="F757" i="1"/>
  <c r="F818" i="1"/>
  <c r="F900" i="1"/>
  <c r="F961" i="1"/>
  <c r="F59" i="1"/>
  <c r="F132" i="1"/>
  <c r="F275" i="1"/>
  <c r="F350" i="1"/>
  <c r="F479" i="1"/>
  <c r="F554" i="1"/>
  <c r="F697" i="1"/>
  <c r="F758" i="1"/>
  <c r="F901" i="1"/>
  <c r="F962" i="1"/>
  <c r="F60" i="1"/>
  <c r="F215" i="1"/>
  <c r="F276" i="1"/>
  <c r="F419" i="1"/>
  <c r="F494" i="1"/>
  <c r="F623" i="1"/>
  <c r="F698" i="1"/>
  <c r="F841" i="1"/>
  <c r="F902" i="1"/>
  <c r="F61" i="1"/>
  <c r="F155" i="1"/>
  <c r="F216" i="1"/>
  <c r="F359" i="1"/>
  <c r="F420" i="1"/>
  <c r="F563" i="1"/>
  <c r="F638" i="1"/>
  <c r="F767" i="1"/>
  <c r="F842" i="1"/>
  <c r="F985" i="1"/>
  <c r="F85" i="1"/>
  <c r="F156" i="1"/>
  <c r="F217" i="1"/>
  <c r="F299" i="1"/>
  <c r="F360" i="1"/>
  <c r="F503" i="1"/>
  <c r="F564" i="1"/>
  <c r="F707" i="1"/>
  <c r="F782" i="1"/>
  <c r="F911" i="1"/>
  <c r="F986" i="1"/>
  <c r="F86" i="1"/>
  <c r="F157" i="1"/>
  <c r="F239" i="1"/>
  <c r="F300" i="1"/>
  <c r="F361" i="1"/>
  <c r="F443" i="1"/>
  <c r="F504" i="1"/>
  <c r="F647" i="1"/>
  <c r="F708" i="1"/>
  <c r="F851" i="1"/>
  <c r="F926" i="1"/>
  <c r="F95" i="1"/>
  <c r="F158" i="1"/>
  <c r="F240" i="1"/>
  <c r="F301" i="1"/>
  <c r="F383" i="1"/>
  <c r="F444" i="1"/>
  <c r="F505" i="1"/>
  <c r="F587" i="1"/>
  <c r="F648" i="1"/>
  <c r="F791" i="1"/>
  <c r="F852" i="1"/>
  <c r="F995" i="1"/>
  <c r="F96" i="1"/>
  <c r="F180" i="1"/>
  <c r="F241" i="1"/>
  <c r="F302" i="1"/>
  <c r="F384" i="1"/>
  <c r="F445" i="1"/>
  <c r="F527" i="1"/>
  <c r="F588" i="1"/>
  <c r="F649" i="1"/>
  <c r="F731" i="1"/>
  <c r="F966" i="1"/>
  <c r="F930" i="1"/>
  <c r="F906" i="1"/>
  <c r="F870" i="1"/>
  <c r="F846" i="1"/>
  <c r="F875" i="1"/>
  <c r="F874" i="1"/>
  <c r="F976" i="1"/>
  <c r="F940" i="1"/>
  <c r="F904" i="1"/>
  <c r="F868" i="1"/>
  <c r="F820" i="1"/>
  <c r="F784" i="1"/>
  <c r="F748" i="1"/>
  <c r="F700" i="1"/>
  <c r="F664" i="1"/>
  <c r="F816" i="1"/>
  <c r="F265" i="1"/>
  <c r="F793" i="1"/>
  <c r="F937" i="1"/>
  <c r="F733" i="1"/>
  <c r="F468" i="1"/>
  <c r="F182" i="1"/>
  <c r="F994" i="1"/>
  <c r="F982" i="1"/>
  <c r="F970" i="1"/>
  <c r="F958" i="1"/>
  <c r="F946" i="1"/>
  <c r="F934" i="1"/>
  <c r="F922" i="1"/>
  <c r="F910" i="1"/>
  <c r="F898" i="1"/>
  <c r="F886" i="1"/>
  <c r="F862" i="1"/>
  <c r="F850" i="1"/>
  <c r="F838" i="1"/>
  <c r="F826" i="1"/>
  <c r="F814" i="1"/>
  <c r="F802" i="1"/>
  <c r="F790" i="1"/>
  <c r="F778" i="1"/>
  <c r="F766" i="1"/>
  <c r="F754" i="1"/>
  <c r="F742" i="1"/>
  <c r="F730" i="1"/>
  <c r="F718" i="1"/>
  <c r="F706" i="1"/>
  <c r="F694" i="1"/>
  <c r="F682" i="1"/>
  <c r="F670" i="1"/>
  <c r="F658" i="1"/>
  <c r="F646" i="1"/>
  <c r="F634" i="1"/>
  <c r="F622" i="1"/>
  <c r="F610" i="1"/>
  <c r="F598" i="1"/>
  <c r="F586" i="1"/>
  <c r="F574" i="1"/>
  <c r="F562" i="1"/>
  <c r="F538" i="1"/>
  <c r="F502" i="1"/>
  <c r="F478" i="1"/>
  <c r="F442" i="1"/>
  <c r="F418" i="1"/>
  <c r="F358" i="1"/>
  <c r="F334" i="1"/>
  <c r="F298" i="1"/>
  <c r="F274" i="1"/>
  <c r="F214" i="1"/>
  <c r="F154" i="1"/>
  <c r="F130" i="1"/>
  <c r="F936" i="1"/>
  <c r="F732" i="1"/>
  <c r="F446" i="1"/>
  <c r="F181" i="1"/>
  <c r="F993" i="1"/>
  <c r="F981" i="1"/>
  <c r="F969" i="1"/>
  <c r="F957" i="1"/>
  <c r="F945" i="1"/>
  <c r="F933" i="1"/>
  <c r="F921" i="1"/>
  <c r="F909" i="1"/>
  <c r="F897" i="1"/>
  <c r="F885" i="1"/>
  <c r="F873" i="1"/>
  <c r="F861" i="1"/>
  <c r="F849" i="1"/>
  <c r="F837" i="1"/>
  <c r="F825" i="1"/>
  <c r="F813" i="1"/>
  <c r="F801" i="1"/>
  <c r="F789" i="1"/>
  <c r="F777" i="1"/>
  <c r="F765" i="1"/>
  <c r="F753" i="1"/>
  <c r="F741" i="1"/>
  <c r="F729" i="1"/>
  <c r="F717" i="1"/>
  <c r="F705" i="1"/>
  <c r="F693" i="1"/>
  <c r="F681" i="1"/>
  <c r="F669" i="1"/>
  <c r="F657" i="1"/>
  <c r="F935" i="1"/>
  <c r="F673" i="1"/>
  <c r="F394" i="1"/>
  <c r="F122" i="1"/>
  <c r="F992" i="1"/>
  <c r="F980" i="1"/>
  <c r="F968" i="1"/>
  <c r="F956" i="1"/>
  <c r="F944" i="1"/>
  <c r="F932" i="1"/>
  <c r="F920" i="1"/>
  <c r="F908" i="1"/>
  <c r="F896" i="1"/>
  <c r="F884" i="1"/>
  <c r="F872" i="1"/>
  <c r="F860" i="1"/>
  <c r="F848" i="1"/>
  <c r="F836" i="1"/>
  <c r="F824" i="1"/>
  <c r="F812" i="1"/>
  <c r="F800" i="1"/>
  <c r="F788" i="1"/>
  <c r="F776" i="1"/>
  <c r="F764" i="1"/>
  <c r="F752" i="1"/>
  <c r="F740" i="1"/>
  <c r="F728" i="1"/>
  <c r="F716" i="1"/>
  <c r="F704" i="1"/>
  <c r="F692" i="1"/>
  <c r="F680" i="1"/>
  <c r="F668" i="1"/>
  <c r="F656" i="1"/>
  <c r="F644" i="1"/>
  <c r="F632" i="1"/>
  <c r="F620" i="1"/>
  <c r="F608" i="1"/>
  <c r="F596" i="1"/>
  <c r="F877" i="1"/>
  <c r="F672" i="1"/>
  <c r="F386" i="1"/>
  <c r="F121" i="1"/>
  <c r="F991" i="1"/>
  <c r="F979" i="1"/>
  <c r="F967" i="1"/>
  <c r="F955" i="1"/>
  <c r="F943" i="1"/>
  <c r="F931" i="1"/>
  <c r="F919" i="1"/>
  <c r="F907" i="1"/>
  <c r="F895" i="1"/>
  <c r="F883" i="1"/>
  <c r="F871" i="1"/>
  <c r="F859" i="1"/>
  <c r="F876" i="1"/>
  <c r="F671" i="1"/>
  <c r="F385" i="1"/>
  <c r="F97" i="1"/>
  <c r="F550" i="1"/>
  <c r="F526" i="1"/>
  <c r="F514" i="1"/>
  <c r="F490" i="1"/>
  <c r="F466" i="1"/>
  <c r="F454" i="1"/>
  <c r="F430" i="1"/>
  <c r="F406" i="1"/>
  <c r="F382" i="1"/>
  <c r="F370" i="1"/>
  <c r="F346" i="1"/>
  <c r="F322" i="1"/>
  <c r="F310" i="1"/>
  <c r="F286" i="1"/>
  <c r="F262" i="1"/>
  <c r="F238" i="1"/>
  <c r="F226" i="1"/>
  <c r="F202" i="1"/>
  <c r="F178" i="1"/>
  <c r="F166" i="1"/>
  <c r="F142" i="1"/>
  <c r="F118" i="1"/>
  <c r="F106" i="1"/>
  <c r="F94" i="1"/>
  <c r="F82" i="1"/>
  <c r="F70" i="1"/>
  <c r="F58" i="1"/>
  <c r="F46" i="1"/>
  <c r="F34" i="1"/>
  <c r="F22" i="1"/>
  <c r="F10" i="1"/>
  <c r="F645" i="1"/>
  <c r="F633" i="1"/>
  <c r="F621" i="1"/>
  <c r="F609" i="1"/>
  <c r="F597" i="1"/>
  <c r="F585" i="1"/>
  <c r="F573" i="1"/>
  <c r="F561" i="1"/>
  <c r="F549" i="1"/>
  <c r="F537" i="1"/>
  <c r="F525" i="1"/>
  <c r="F513" i="1"/>
  <c r="F501" i="1"/>
  <c r="F489" i="1"/>
  <c r="F477" i="1"/>
  <c r="F465" i="1"/>
  <c r="F453" i="1"/>
  <c r="F441" i="1"/>
  <c r="F429" i="1"/>
  <c r="F417" i="1"/>
  <c r="F405" i="1"/>
  <c r="F393" i="1"/>
  <c r="F381" i="1"/>
  <c r="F369" i="1"/>
  <c r="F357" i="1"/>
  <c r="F345" i="1"/>
  <c r="F333" i="1"/>
  <c r="F321" i="1"/>
  <c r="F309" i="1"/>
  <c r="F297" i="1"/>
  <c r="F285" i="1"/>
  <c r="F273" i="1"/>
  <c r="F261" i="1"/>
  <c r="F249" i="1"/>
  <c r="F237" i="1"/>
  <c r="F225" i="1"/>
  <c r="F213" i="1"/>
  <c r="F201" i="1"/>
  <c r="F189" i="1"/>
  <c r="F177" i="1"/>
  <c r="F165" i="1"/>
  <c r="F153" i="1"/>
  <c r="F141" i="1"/>
  <c r="F129" i="1"/>
  <c r="F117" i="1"/>
  <c r="F105" i="1"/>
  <c r="F93" i="1"/>
  <c r="F81" i="1"/>
  <c r="F69" i="1"/>
  <c r="F57" i="1"/>
  <c r="F45" i="1"/>
  <c r="F33" i="1"/>
  <c r="F21" i="1"/>
  <c r="F9" i="1"/>
  <c r="F584" i="1"/>
  <c r="F572" i="1"/>
  <c r="F560" i="1"/>
  <c r="F548" i="1"/>
  <c r="F536" i="1"/>
  <c r="F524" i="1"/>
  <c r="F512" i="1"/>
  <c r="F500" i="1"/>
  <c r="F488" i="1"/>
  <c r="F476" i="1"/>
  <c r="F464" i="1"/>
  <c r="F452" i="1"/>
  <c r="F440" i="1"/>
  <c r="F428" i="1"/>
  <c r="F416" i="1"/>
  <c r="F404" i="1"/>
  <c r="F392" i="1"/>
  <c r="F380" i="1"/>
  <c r="F368" i="1"/>
  <c r="F356" i="1"/>
  <c r="F344" i="1"/>
  <c r="F332" i="1"/>
  <c r="F320" i="1"/>
  <c r="F308" i="1"/>
  <c r="F296" i="1"/>
  <c r="F284" i="1"/>
  <c r="F272" i="1"/>
  <c r="F260" i="1"/>
  <c r="F248" i="1"/>
  <c r="F236" i="1"/>
  <c r="F224" i="1"/>
  <c r="F212" i="1"/>
  <c r="F200" i="1"/>
  <c r="F188" i="1"/>
  <c r="F176" i="1"/>
  <c r="F164" i="1"/>
  <c r="F152" i="1"/>
  <c r="F140" i="1"/>
  <c r="F128" i="1"/>
  <c r="F116" i="1"/>
  <c r="F104" i="1"/>
  <c r="F92" i="1"/>
  <c r="F80" i="1"/>
  <c r="F68" i="1"/>
  <c r="F56" i="1"/>
  <c r="F44" i="1"/>
  <c r="F32" i="1"/>
  <c r="F20" i="1"/>
  <c r="F8" i="1"/>
  <c r="F847" i="1"/>
  <c r="F835" i="1"/>
  <c r="F823" i="1"/>
  <c r="F811" i="1"/>
  <c r="F799" i="1"/>
  <c r="F787" i="1"/>
  <c r="F775" i="1"/>
  <c r="F763" i="1"/>
  <c r="F751" i="1"/>
  <c r="F739" i="1"/>
  <c r="F727" i="1"/>
  <c r="F715" i="1"/>
  <c r="F703" i="1"/>
  <c r="F691" i="1"/>
  <c r="F679" i="1"/>
  <c r="F667" i="1"/>
  <c r="F655" i="1"/>
  <c r="F643" i="1"/>
  <c r="F631" i="1"/>
  <c r="F619" i="1"/>
  <c r="F607" i="1"/>
  <c r="F595" i="1"/>
  <c r="F583" i="1"/>
  <c r="F571" i="1"/>
  <c r="F559" i="1"/>
  <c r="F547" i="1"/>
  <c r="F535" i="1"/>
  <c r="F523" i="1"/>
  <c r="F511" i="1"/>
  <c r="F499" i="1"/>
  <c r="F487" i="1"/>
  <c r="F475" i="1"/>
  <c r="F463" i="1"/>
  <c r="F451" i="1"/>
  <c r="F439" i="1"/>
  <c r="F427" i="1"/>
  <c r="F415" i="1"/>
  <c r="F403" i="1"/>
  <c r="F391" i="1"/>
  <c r="F379" i="1"/>
  <c r="F367" i="1"/>
  <c r="F355" i="1"/>
  <c r="F343" i="1"/>
  <c r="F331" i="1"/>
  <c r="F319" i="1"/>
  <c r="F307" i="1"/>
  <c r="F295" i="1"/>
  <c r="F283" i="1"/>
  <c r="F271" i="1"/>
  <c r="F259" i="1"/>
  <c r="F247" i="1"/>
  <c r="F235" i="1"/>
  <c r="F223" i="1"/>
  <c r="F211" i="1"/>
  <c r="F199" i="1"/>
  <c r="F187" i="1"/>
  <c r="F175" i="1"/>
  <c r="F163" i="1"/>
  <c r="F151" i="1"/>
  <c r="F139" i="1"/>
  <c r="F127" i="1"/>
  <c r="F115" i="1"/>
  <c r="F103" i="1"/>
  <c r="F91" i="1"/>
  <c r="F79" i="1"/>
  <c r="F67" i="1"/>
  <c r="F55" i="1"/>
  <c r="F43" i="1"/>
  <c r="F31" i="1"/>
  <c r="F19" i="1"/>
  <c r="F7" i="1"/>
  <c r="F810" i="1"/>
  <c r="F798" i="1"/>
  <c r="F786" i="1"/>
  <c r="F774" i="1"/>
  <c r="F762" i="1"/>
  <c r="F750" i="1"/>
  <c r="F738" i="1"/>
  <c r="F726" i="1"/>
  <c r="F714" i="1"/>
  <c r="F702" i="1"/>
  <c r="F690" i="1"/>
  <c r="F678" i="1"/>
  <c r="F666" i="1"/>
  <c r="F654" i="1"/>
  <c r="F642" i="1"/>
  <c r="F630" i="1"/>
  <c r="F618" i="1"/>
  <c r="F606" i="1"/>
  <c r="F594" i="1"/>
  <c r="F582" i="1"/>
  <c r="F570" i="1"/>
  <c r="F558" i="1"/>
  <c r="F546" i="1"/>
  <c r="F534" i="1"/>
  <c r="F989" i="1"/>
  <c r="F977" i="1"/>
  <c r="F965" i="1"/>
  <c r="F953" i="1"/>
  <c r="F941" i="1"/>
  <c r="F929" i="1"/>
  <c r="F917" i="1"/>
  <c r="F905" i="1"/>
  <c r="F893" i="1"/>
  <c r="F881" i="1"/>
  <c r="F869" i="1"/>
  <c r="F857" i="1"/>
  <c r="F845" i="1"/>
  <c r="F833" i="1"/>
  <c r="F821" i="1"/>
  <c r="F809" i="1"/>
  <c r="F797" i="1"/>
  <c r="F785" i="1"/>
  <c r="F773" i="1"/>
  <c r="F761" i="1"/>
  <c r="F749" i="1"/>
  <c r="F737" i="1"/>
  <c r="F725" i="1"/>
  <c r="F713" i="1"/>
  <c r="F701" i="1"/>
  <c r="F689" i="1"/>
  <c r="F677" i="1"/>
  <c r="F665" i="1"/>
  <c r="F653" i="1"/>
  <c r="F641" i="1"/>
  <c r="F629" i="1"/>
  <c r="F522" i="1"/>
  <c r="F510" i="1"/>
  <c r="F498" i="1"/>
  <c r="F486" i="1"/>
  <c r="F474" i="1"/>
  <c r="F462" i="1"/>
  <c r="F450" i="1"/>
  <c r="F438" i="1"/>
  <c r="F426" i="1"/>
  <c r="F414" i="1"/>
  <c r="F402" i="1"/>
  <c r="F390" i="1"/>
  <c r="F378" i="1"/>
  <c r="F366" i="1"/>
  <c r="F354" i="1"/>
  <c r="F342" i="1"/>
  <c r="F330" i="1"/>
  <c r="F318" i="1"/>
  <c r="F306" i="1"/>
  <c r="F294" i="1"/>
  <c r="F282" i="1"/>
  <c r="F270" i="1"/>
  <c r="F258" i="1"/>
  <c r="F246" i="1"/>
  <c r="F234" i="1"/>
  <c r="F222" i="1"/>
  <c r="F210" i="1"/>
  <c r="F198" i="1"/>
  <c r="F186" i="1"/>
  <c r="F174" i="1"/>
  <c r="F162" i="1"/>
  <c r="F150" i="1"/>
  <c r="F138" i="1"/>
  <c r="F126" i="1"/>
  <c r="F114" i="1"/>
  <c r="F102" i="1"/>
  <c r="F90" i="1"/>
  <c r="F78" i="1"/>
  <c r="F66" i="1"/>
  <c r="F54" i="1"/>
  <c r="F42" i="1"/>
  <c r="F30" i="1"/>
  <c r="F18" i="1"/>
  <c r="F6" i="1"/>
  <c r="F617" i="1"/>
  <c r="F605" i="1"/>
  <c r="F593" i="1"/>
  <c r="F581" i="1"/>
  <c r="F569" i="1"/>
  <c r="F557" i="1"/>
  <c r="F545" i="1"/>
  <c r="F533" i="1"/>
  <c r="F521" i="1"/>
  <c r="F509" i="1"/>
  <c r="F497" i="1"/>
  <c r="F485" i="1"/>
  <c r="F473" i="1"/>
  <c r="F461" i="1"/>
  <c r="F449" i="1"/>
  <c r="F437" i="1"/>
  <c r="F425" i="1"/>
  <c r="F413" i="1"/>
  <c r="F401" i="1"/>
  <c r="F389" i="1"/>
  <c r="F377" i="1"/>
  <c r="F365" i="1"/>
  <c r="F353" i="1"/>
  <c r="F341" i="1"/>
  <c r="F329" i="1"/>
  <c r="F317" i="1"/>
  <c r="F305" i="1"/>
  <c r="F293" i="1"/>
  <c r="F281" i="1"/>
  <c r="F269" i="1"/>
  <c r="F257" i="1"/>
  <c r="F245" i="1"/>
  <c r="F233" i="1"/>
  <c r="F221" i="1"/>
  <c r="F209" i="1"/>
  <c r="F197" i="1"/>
  <c r="F185" i="1"/>
  <c r="F173" i="1"/>
  <c r="F161" i="1"/>
  <c r="F149" i="1"/>
  <c r="F137" i="1"/>
  <c r="F125" i="1"/>
  <c r="F113" i="1"/>
  <c r="F101" i="1"/>
  <c r="F89" i="1"/>
  <c r="F77" i="1"/>
  <c r="F65" i="1"/>
  <c r="F53" i="1"/>
  <c r="F41" i="1"/>
  <c r="F29" i="1"/>
  <c r="F17" i="1"/>
  <c r="F5" i="1"/>
  <c r="F628" i="1"/>
  <c r="F616" i="1"/>
  <c r="F604" i="1"/>
  <c r="F592" i="1"/>
  <c r="F580" i="1"/>
  <c r="F568" i="1"/>
  <c r="F556" i="1"/>
  <c r="F544" i="1"/>
  <c r="F532" i="1"/>
  <c r="F520" i="1"/>
  <c r="F508" i="1"/>
  <c r="F496" i="1"/>
  <c r="F484" i="1"/>
  <c r="F472" i="1"/>
  <c r="F460" i="1"/>
  <c r="F448" i="1"/>
  <c r="F436" i="1"/>
  <c r="F424" i="1"/>
  <c r="F412" i="1"/>
  <c r="F400" i="1"/>
  <c r="F388" i="1"/>
  <c r="F376" i="1"/>
  <c r="F364" i="1"/>
  <c r="F352" i="1"/>
  <c r="F340" i="1"/>
  <c r="F328" i="1"/>
  <c r="F316" i="1"/>
  <c r="F304" i="1"/>
  <c r="F292" i="1"/>
  <c r="F280" i="1"/>
  <c r="F268" i="1"/>
  <c r="F256" i="1"/>
  <c r="F244" i="1"/>
  <c r="F232" i="1"/>
  <c r="F220" i="1"/>
  <c r="F208" i="1"/>
  <c r="F196" i="1"/>
  <c r="F184" i="1"/>
  <c r="F172" i="1"/>
  <c r="F160" i="1"/>
  <c r="F148" i="1"/>
  <c r="F136" i="1"/>
  <c r="F124" i="1"/>
  <c r="F112" i="1"/>
  <c r="F100" i="1"/>
  <c r="F88" i="1"/>
  <c r="F76" i="1"/>
  <c r="F64" i="1"/>
  <c r="F52" i="1"/>
  <c r="F40" i="1"/>
  <c r="F28" i="1"/>
  <c r="F16" i="1"/>
  <c r="F4" i="1"/>
  <c r="F951" i="1"/>
  <c r="F915" i="1"/>
  <c r="F879" i="1"/>
  <c r="F819" i="1"/>
  <c r="F771" i="1"/>
  <c r="F747" i="1"/>
  <c r="F687" i="1"/>
  <c r="F663" i="1"/>
  <c r="F627" i="1"/>
  <c r="F603" i="1"/>
  <c r="F567" i="1"/>
  <c r="F531" i="1"/>
  <c r="F507" i="1"/>
  <c r="F483" i="1"/>
  <c r="F447" i="1"/>
  <c r="F423" i="1"/>
  <c r="F399" i="1"/>
  <c r="F363" i="1"/>
  <c r="F339" i="1"/>
  <c r="F303" i="1"/>
  <c r="F279" i="1"/>
  <c r="F243" i="1"/>
  <c r="F219" i="1"/>
  <c r="F195" i="1"/>
  <c r="F159" i="1"/>
  <c r="F135" i="1"/>
  <c r="F99" i="1"/>
  <c r="F63" i="1"/>
  <c r="F39" i="1"/>
  <c r="F27" i="1"/>
  <c r="F15" i="1"/>
  <c r="F3" i="1"/>
  <c r="F987" i="1"/>
  <c r="F963" i="1"/>
  <c r="F939" i="1"/>
  <c r="F903" i="1"/>
  <c r="F891" i="1"/>
  <c r="F855" i="1"/>
  <c r="F843" i="1"/>
  <c r="F807" i="1"/>
  <c r="F795" i="1"/>
  <c r="F759" i="1"/>
  <c r="F723" i="1"/>
  <c r="F711" i="1"/>
  <c r="F699" i="1"/>
  <c r="F675" i="1"/>
  <c r="F651" i="1"/>
  <c r="F639" i="1"/>
  <c r="F615" i="1"/>
  <c r="F591" i="1"/>
  <c r="F579" i="1"/>
  <c r="F543" i="1"/>
  <c r="F519" i="1"/>
  <c r="F495" i="1"/>
  <c r="F471" i="1"/>
  <c r="F459" i="1"/>
  <c r="F435" i="1"/>
  <c r="F411" i="1"/>
  <c r="F387" i="1"/>
  <c r="F375" i="1"/>
  <c r="F351" i="1"/>
  <c r="F327" i="1"/>
  <c r="F315" i="1"/>
  <c r="F291" i="1"/>
  <c r="F267" i="1"/>
  <c r="F255" i="1"/>
  <c r="F231" i="1"/>
  <c r="F207" i="1"/>
  <c r="F183" i="1"/>
  <c r="F171" i="1"/>
  <c r="F147" i="1"/>
  <c r="F123" i="1"/>
  <c r="F111" i="1"/>
  <c r="F87" i="1"/>
  <c r="F75" i="1"/>
  <c r="F51" i="1"/>
  <c r="F975" i="1"/>
  <c r="F927" i="1"/>
  <c r="F867" i="1"/>
  <c r="F831" i="1"/>
  <c r="F783" i="1"/>
  <c r="F735" i="1"/>
  <c r="F555" i="1"/>
  <c r="F999" i="1"/>
  <c r="D517" i="1"/>
  <c r="D277" i="1"/>
  <c r="D218" i="1"/>
  <c r="D158" i="1"/>
  <c r="D50" i="1"/>
  <c r="D601" i="1"/>
  <c r="D157" i="1"/>
  <c r="D98" i="1"/>
  <c r="D49" i="1"/>
  <c r="D782" i="1"/>
  <c r="D686" i="1"/>
  <c r="D590" i="1"/>
  <c r="D494" i="1"/>
  <c r="D398" i="1"/>
  <c r="D325" i="1"/>
  <c r="D266" i="1"/>
  <c r="D206" i="1"/>
  <c r="D48" i="1"/>
  <c r="D685" i="1"/>
  <c r="D397" i="1"/>
  <c r="D205" i="1"/>
  <c r="D146" i="1"/>
  <c r="D86" i="1"/>
  <c r="D38" i="1"/>
  <c r="D481" i="1"/>
  <c r="D254" i="1"/>
  <c r="D144" i="1"/>
  <c r="D85" i="1"/>
  <c r="D37" i="1"/>
  <c r="D854" i="1"/>
  <c r="D758" i="1"/>
  <c r="D662" i="1"/>
  <c r="D566" i="1"/>
  <c r="D470" i="1"/>
  <c r="D374" i="1"/>
  <c r="D312" i="1"/>
  <c r="D253" i="1"/>
  <c r="D194" i="1"/>
  <c r="D134" i="1"/>
  <c r="D84" i="1"/>
  <c r="D661" i="1"/>
  <c r="D373" i="1"/>
  <c r="D133" i="1"/>
  <c r="D74" i="1"/>
  <c r="D26" i="1"/>
  <c r="D457" i="1"/>
  <c r="D301" i="1"/>
  <c r="D242" i="1"/>
  <c r="D182" i="1"/>
  <c r="D73" i="1"/>
  <c r="D25" i="1"/>
  <c r="D830" i="1"/>
  <c r="D734" i="1"/>
  <c r="D638" i="1"/>
  <c r="D542" i="1"/>
  <c r="D446" i="1"/>
  <c r="D181" i="1"/>
  <c r="D122" i="1"/>
  <c r="D541" i="1"/>
  <c r="D349" i="1"/>
  <c r="D230" i="1"/>
  <c r="D62" i="1"/>
  <c r="D14" i="1"/>
  <c r="D625" i="1"/>
  <c r="D288" i="1"/>
  <c r="D229" i="1"/>
  <c r="D170" i="1"/>
  <c r="D110" i="1"/>
  <c r="D61" i="1"/>
  <c r="D13" i="1"/>
  <c r="D806" i="1"/>
  <c r="D710" i="1"/>
  <c r="D614" i="1"/>
  <c r="D518" i="1"/>
  <c r="D422" i="1"/>
  <c r="D228" i="1"/>
  <c r="D168" i="1"/>
  <c r="D109" i="1"/>
  <c r="D948" i="1"/>
  <c r="D828" i="1"/>
  <c r="D83" i="1"/>
  <c r="D908" i="1"/>
  <c r="D812" i="1"/>
  <c r="D728" i="1"/>
  <c r="D620" i="1"/>
  <c r="D524" i="1"/>
  <c r="D452" i="1"/>
  <c r="D380" i="1"/>
  <c r="D7" i="1"/>
  <c r="D921" i="1"/>
  <c r="D897" i="1"/>
  <c r="D777" i="1"/>
  <c r="D753" i="1"/>
  <c r="D633" i="1"/>
  <c r="D609" i="1"/>
  <c r="D489" i="1"/>
  <c r="D465" i="1"/>
  <c r="D345" i="1"/>
  <c r="D321" i="1"/>
  <c r="D201" i="1"/>
  <c r="D177" i="1"/>
  <c r="D804" i="1"/>
  <c r="D684" i="1"/>
  <c r="D347" i="1"/>
  <c r="D932" i="1"/>
  <c r="D884" i="1"/>
  <c r="D824" i="1"/>
  <c r="D752" i="1"/>
  <c r="D692" i="1"/>
  <c r="D644" i="1"/>
  <c r="D572" i="1"/>
  <c r="D512" i="1"/>
  <c r="D476" i="1"/>
  <c r="D392" i="1"/>
  <c r="D368" i="1"/>
  <c r="D658" i="1"/>
  <c r="D346" i="1"/>
  <c r="D202" i="1"/>
  <c r="D967" i="1"/>
  <c r="D919" i="1"/>
  <c r="D871" i="1"/>
  <c r="D823" i="1"/>
  <c r="D775" i="1"/>
  <c r="D715" i="1"/>
  <c r="D667" i="1"/>
  <c r="D631" i="1"/>
  <c r="D559" i="1"/>
  <c r="D499" i="1"/>
  <c r="D439" i="1"/>
  <c r="D403" i="1"/>
  <c r="D342" i="1"/>
  <c r="D294" i="1"/>
  <c r="D222" i="1"/>
  <c r="D174" i="1"/>
  <c r="D138" i="1"/>
  <c r="D102" i="1"/>
  <c r="D42" i="1"/>
  <c r="D329" i="1"/>
  <c r="D293" i="1"/>
  <c r="D233" i="1"/>
  <c r="D197" i="1"/>
  <c r="D137" i="1"/>
  <c r="D77" i="1"/>
  <c r="V5" i="1"/>
  <c r="D5" i="1"/>
  <c r="D842" i="1"/>
  <c r="D818" i="1"/>
  <c r="D794" i="1"/>
  <c r="D770" i="1"/>
  <c r="D746" i="1"/>
  <c r="D722" i="1"/>
  <c r="D698" i="1"/>
  <c r="D674" i="1"/>
  <c r="D650" i="1"/>
  <c r="D626" i="1"/>
  <c r="D602" i="1"/>
  <c r="D578" i="1"/>
  <c r="D554" i="1"/>
  <c r="D530" i="1"/>
  <c r="D506" i="1"/>
  <c r="D482" i="1"/>
  <c r="D458" i="1"/>
  <c r="D434" i="1"/>
  <c r="D410" i="1"/>
  <c r="D386" i="1"/>
  <c r="D362" i="1"/>
  <c r="D660" i="1"/>
  <c r="D540" i="1"/>
  <c r="D227" i="1"/>
  <c r="D203" i="1"/>
  <c r="D920" i="1"/>
  <c r="D836" i="1"/>
  <c r="D740" i="1"/>
  <c r="D656" i="1"/>
  <c r="D560" i="1"/>
  <c r="D464" i="1"/>
  <c r="D943" i="1"/>
  <c r="D859" i="1"/>
  <c r="D787" i="1"/>
  <c r="D703" i="1"/>
  <c r="D607" i="1"/>
  <c r="D523" i="1"/>
  <c r="D451" i="1"/>
  <c r="D367" i="1"/>
  <c r="D282" i="1"/>
  <c r="D210" i="1"/>
  <c r="D126" i="1"/>
  <c r="D66" i="1"/>
  <c r="D18" i="1"/>
  <c r="D353" i="1"/>
  <c r="D281" i="1"/>
  <c r="D209" i="1"/>
  <c r="D113" i="1"/>
  <c r="D809" i="1"/>
  <c r="D773" i="1"/>
  <c r="D725" i="1"/>
  <c r="D713" i="1"/>
  <c r="D653" i="1"/>
  <c r="D605" i="1"/>
  <c r="D557" i="1"/>
  <c r="D497" i="1"/>
  <c r="D437" i="1"/>
  <c r="D337" i="1"/>
  <c r="D313" i="1"/>
  <c r="D289" i="1"/>
  <c r="D265" i="1"/>
  <c r="D241" i="1"/>
  <c r="D217" i="1"/>
  <c r="D193" i="1"/>
  <c r="D169" i="1"/>
  <c r="D145" i="1"/>
  <c r="D121" i="1"/>
  <c r="D97" i="1"/>
  <c r="D972" i="1"/>
  <c r="D372" i="1"/>
  <c r="D980" i="1"/>
  <c r="D896" i="1"/>
  <c r="D800" i="1"/>
  <c r="D716" i="1"/>
  <c r="D608" i="1"/>
  <c r="D536" i="1"/>
  <c r="D428" i="1"/>
  <c r="D634" i="1"/>
  <c r="D955" i="1"/>
  <c r="D883" i="1"/>
  <c r="D811" i="1"/>
  <c r="D751" i="1"/>
  <c r="D679" i="1"/>
  <c r="D595" i="1"/>
  <c r="D547" i="1"/>
  <c r="D475" i="1"/>
  <c r="D391" i="1"/>
  <c r="D318" i="1"/>
  <c r="D258" i="1"/>
  <c r="D198" i="1"/>
  <c r="D150" i="1"/>
  <c r="D54" i="1"/>
  <c r="D305" i="1"/>
  <c r="D245" i="1"/>
  <c r="D173" i="1"/>
  <c r="D125" i="1"/>
  <c r="D53" i="1"/>
  <c r="D833" i="1"/>
  <c r="D797" i="1"/>
  <c r="D749" i="1"/>
  <c r="D701" i="1"/>
  <c r="D665" i="1"/>
  <c r="D617" i="1"/>
  <c r="D569" i="1"/>
  <c r="D521" i="1"/>
  <c r="D473" i="1"/>
  <c r="D425" i="1"/>
  <c r="D389" i="1"/>
  <c r="D27" i="1"/>
  <c r="D888" i="1"/>
  <c r="D864" i="1"/>
  <c r="D744" i="1"/>
  <c r="D720" i="1"/>
  <c r="D600" i="1"/>
  <c r="D576" i="1"/>
  <c r="D456" i="1"/>
  <c r="D432" i="1"/>
  <c r="D944" i="1"/>
  <c r="D860" i="1"/>
  <c r="D764" i="1"/>
  <c r="D668" i="1"/>
  <c r="D584" i="1"/>
  <c r="D488" i="1"/>
  <c r="D404" i="1"/>
  <c r="D895" i="1"/>
  <c r="D799" i="1"/>
  <c r="D727" i="1"/>
  <c r="D655" i="1"/>
  <c r="D583" i="1"/>
  <c r="D511" i="1"/>
  <c r="D427" i="1"/>
  <c r="D354" i="1"/>
  <c r="D270" i="1"/>
  <c r="D186" i="1"/>
  <c r="D90" i="1"/>
  <c r="D317" i="1"/>
  <c r="D221" i="1"/>
  <c r="D149" i="1"/>
  <c r="D65" i="1"/>
  <c r="D821" i="1"/>
  <c r="D761" i="1"/>
  <c r="D677" i="1"/>
  <c r="D629" i="1"/>
  <c r="D581" i="1"/>
  <c r="D533" i="1"/>
  <c r="D485" i="1"/>
  <c r="D449" i="1"/>
  <c r="D401" i="1"/>
  <c r="D377" i="1"/>
  <c r="D75" i="1"/>
  <c r="N3" i="1"/>
  <c r="V3" i="1" s="1"/>
  <c r="D3" i="1"/>
  <c r="D431" i="1"/>
  <c r="D311" i="1"/>
  <c r="D287" i="1"/>
  <c r="D143" i="1"/>
  <c r="D47" i="1"/>
  <c r="D956" i="1"/>
  <c r="D848" i="1"/>
  <c r="D776" i="1"/>
  <c r="D680" i="1"/>
  <c r="D596" i="1"/>
  <c r="D500" i="1"/>
  <c r="D416" i="1"/>
  <c r="D514" i="1"/>
  <c r="D979" i="1"/>
  <c r="D907" i="1"/>
  <c r="D835" i="1"/>
  <c r="D739" i="1"/>
  <c r="D643" i="1"/>
  <c r="D571" i="1"/>
  <c r="D487" i="1"/>
  <c r="D415" i="1"/>
  <c r="D330" i="1"/>
  <c r="D246" i="1"/>
  <c r="D114" i="1"/>
  <c r="D30" i="1"/>
  <c r="D6" i="1"/>
  <c r="D341" i="1"/>
  <c r="D257" i="1"/>
  <c r="D161" i="1"/>
  <c r="D89" i="1"/>
  <c r="D41" i="1"/>
  <c r="D785" i="1"/>
  <c r="D737" i="1"/>
  <c r="D689" i="1"/>
  <c r="D641" i="1"/>
  <c r="D593" i="1"/>
  <c r="D545" i="1"/>
  <c r="D509" i="1"/>
  <c r="D461" i="1"/>
  <c r="D413" i="1"/>
  <c r="D365" i="1"/>
  <c r="D63" i="1"/>
  <c r="D574" i="1"/>
  <c r="D550" i="1"/>
  <c r="D430" i="1"/>
  <c r="D406" i="1"/>
  <c r="D286" i="1"/>
  <c r="D262" i="1"/>
  <c r="D142" i="1"/>
  <c r="D118" i="1"/>
  <c r="D516" i="1"/>
  <c r="D396" i="1"/>
  <c r="D371" i="1"/>
  <c r="D968" i="1"/>
  <c r="D872" i="1"/>
  <c r="D788" i="1"/>
  <c r="D704" i="1"/>
  <c r="D632" i="1"/>
  <c r="D548" i="1"/>
  <c r="D440" i="1"/>
  <c r="D490" i="1"/>
  <c r="D370" i="1"/>
  <c r="D931" i="1"/>
  <c r="D847" i="1"/>
  <c r="D763" i="1"/>
  <c r="D691" i="1"/>
  <c r="D619" i="1"/>
  <c r="D535" i="1"/>
  <c r="D463" i="1"/>
  <c r="D379" i="1"/>
  <c r="D306" i="1"/>
  <c r="D234" i="1"/>
  <c r="D162" i="1"/>
  <c r="D78" i="1"/>
  <c r="D269" i="1"/>
  <c r="D185" i="1"/>
  <c r="D101" i="1"/>
  <c r="D87" i="1"/>
  <c r="D51" i="1"/>
  <c r="D39" i="1"/>
  <c r="D15" i="1"/>
  <c r="D981" i="1"/>
  <c r="D861" i="1"/>
  <c r="D837" i="1"/>
  <c r="D717" i="1"/>
  <c r="D693" i="1"/>
  <c r="D573" i="1"/>
  <c r="D549" i="1"/>
  <c r="D429" i="1"/>
  <c r="D405" i="1"/>
  <c r="D261" i="1"/>
  <c r="D117" i="1"/>
  <c r="D2" i="1"/>
  <c r="Q4" i="1"/>
  <c r="K986" i="1"/>
  <c r="V986" i="1" s="1"/>
  <c r="K959" i="1"/>
  <c r="K602" i="1"/>
  <c r="K456" i="1"/>
  <c r="V456" i="1" s="1"/>
  <c r="K386" i="1"/>
  <c r="K214" i="1"/>
  <c r="V214" i="1" s="1"/>
  <c r="K144" i="1"/>
  <c r="K417" i="1"/>
  <c r="Q417" i="1" s="1"/>
  <c r="K190" i="1"/>
  <c r="K962" i="1"/>
  <c r="V962" i="1" s="1"/>
  <c r="K405" i="1"/>
  <c r="Q405" i="1" s="1"/>
  <c r="K154" i="1"/>
  <c r="K842" i="1"/>
  <c r="V842" i="1" s="1"/>
  <c r="K385" i="1"/>
  <c r="K142" i="1"/>
  <c r="V142" i="1" s="1"/>
  <c r="K818" i="1"/>
  <c r="Q818" i="1" s="1"/>
  <c r="K333" i="1"/>
  <c r="K95" i="1"/>
  <c r="V95" i="1" s="1"/>
  <c r="K815" i="1"/>
  <c r="V815" i="1" s="1"/>
  <c r="K321" i="1"/>
  <c r="V321" i="1" s="1"/>
  <c r="K94" i="1"/>
  <c r="K674" i="1"/>
  <c r="K309" i="1"/>
  <c r="V309" i="1" s="1"/>
  <c r="K82" i="1"/>
  <c r="K650" i="1"/>
  <c r="Q650" i="1" s="1"/>
  <c r="K285" i="1"/>
  <c r="K47" i="1"/>
  <c r="K649" i="1"/>
  <c r="V649" i="1" s="1"/>
  <c r="K273" i="1"/>
  <c r="V273" i="1" s="1"/>
  <c r="K46" i="1"/>
  <c r="K191" i="1"/>
  <c r="K626" i="1"/>
  <c r="K215" i="1"/>
  <c r="K34" i="1"/>
  <c r="V34" i="1" s="1"/>
  <c r="K105" i="1"/>
  <c r="W105" i="1" s="1"/>
  <c r="K153" i="1"/>
  <c r="V153" i="1" s="1"/>
  <c r="K961" i="1"/>
  <c r="V961" i="1" s="1"/>
  <c r="K817" i="1"/>
  <c r="V817" i="1" s="1"/>
  <c r="K213" i="1"/>
  <c r="K45" i="1"/>
  <c r="K960" i="1"/>
  <c r="K816" i="1"/>
  <c r="K648" i="1"/>
  <c r="K393" i="1"/>
  <c r="V393" i="1" s="1"/>
  <c r="K297" i="1"/>
  <c r="V297" i="1" s="1"/>
  <c r="K202" i="1"/>
  <c r="V202" i="1" s="1"/>
  <c r="K143" i="1"/>
  <c r="Q143" i="1" s="1"/>
  <c r="K93" i="1"/>
  <c r="K35" i="1"/>
  <c r="Q35" i="1" s="1"/>
  <c r="K938" i="1"/>
  <c r="K794" i="1"/>
  <c r="V794" i="1" s="1"/>
  <c r="K141" i="1"/>
  <c r="K81" i="1"/>
  <c r="K33" i="1"/>
  <c r="V33" i="1" s="1"/>
  <c r="K914" i="1"/>
  <c r="K770" i="1"/>
  <c r="K578" i="1"/>
  <c r="K384" i="1"/>
  <c r="V384" i="1" s="1"/>
  <c r="K261" i="1"/>
  <c r="V261" i="1" s="1"/>
  <c r="K189" i="1"/>
  <c r="K130" i="1"/>
  <c r="K72" i="1"/>
  <c r="K23" i="1"/>
  <c r="K890" i="1"/>
  <c r="V890" i="1" s="1"/>
  <c r="K746" i="1"/>
  <c r="K554" i="1"/>
  <c r="K381" i="1"/>
  <c r="K249" i="1"/>
  <c r="K178" i="1"/>
  <c r="K129" i="1"/>
  <c r="K71" i="1"/>
  <c r="K22" i="1"/>
  <c r="V22" i="1" s="1"/>
  <c r="K889" i="1"/>
  <c r="K745" i="1"/>
  <c r="V745" i="1" s="1"/>
  <c r="K553" i="1"/>
  <c r="V553" i="1" s="1"/>
  <c r="K369" i="1"/>
  <c r="Q369" i="1" s="1"/>
  <c r="K237" i="1"/>
  <c r="K177" i="1"/>
  <c r="Q177" i="1" s="1"/>
  <c r="K119" i="1"/>
  <c r="K70" i="1"/>
  <c r="K21" i="1"/>
  <c r="K888" i="1"/>
  <c r="Q888" i="1" s="1"/>
  <c r="K744" i="1"/>
  <c r="Q744" i="1" s="1"/>
  <c r="K552" i="1"/>
  <c r="K357" i="1"/>
  <c r="V357" i="1" s="1"/>
  <c r="K225" i="1"/>
  <c r="V225" i="1" s="1"/>
  <c r="K167" i="1"/>
  <c r="K118" i="1"/>
  <c r="Q118" i="1" s="1"/>
  <c r="K69" i="1"/>
  <c r="K11" i="1"/>
  <c r="K887" i="1"/>
  <c r="K722" i="1"/>
  <c r="Q722" i="1" s="1"/>
  <c r="K458" i="1"/>
  <c r="K345" i="1"/>
  <c r="Q345" i="1" s="1"/>
  <c r="K217" i="1"/>
  <c r="W217" i="1" s="1"/>
  <c r="K166" i="1"/>
  <c r="V166" i="1" s="1"/>
  <c r="K117" i="1"/>
  <c r="W117" i="1" s="1"/>
  <c r="K58" i="1"/>
  <c r="K10" i="1"/>
  <c r="Q10" i="1" s="1"/>
  <c r="K866" i="1"/>
  <c r="V866" i="1" s="1"/>
  <c r="K698" i="1"/>
  <c r="V698" i="1" s="1"/>
  <c r="K457" i="1"/>
  <c r="V457" i="1" s="1"/>
  <c r="K336" i="1"/>
  <c r="K216" i="1"/>
  <c r="K165" i="1"/>
  <c r="K106" i="1"/>
  <c r="K57" i="1"/>
  <c r="K9" i="1"/>
  <c r="V9" i="1" s="1"/>
  <c r="J470" i="1"/>
  <c r="K470" i="1"/>
  <c r="J147" i="1"/>
  <c r="K147" i="1"/>
  <c r="J63" i="1"/>
  <c r="K63" i="1"/>
  <c r="J901" i="1"/>
  <c r="K901" i="1"/>
  <c r="J829" i="1"/>
  <c r="K829" i="1"/>
  <c r="J757" i="1"/>
  <c r="K757" i="1"/>
  <c r="J541" i="1"/>
  <c r="K541" i="1"/>
  <c r="Q541" i="1" s="1"/>
  <c r="J277" i="1"/>
  <c r="K277" i="1"/>
  <c r="Q277" i="1" s="1"/>
  <c r="J206" i="1"/>
  <c r="K206" i="1"/>
  <c r="J158" i="1"/>
  <c r="K158" i="1"/>
  <c r="J110" i="1"/>
  <c r="K110" i="1"/>
  <c r="Q110" i="1" s="1"/>
  <c r="J38" i="1"/>
  <c r="K38" i="1"/>
  <c r="V38" i="1" s="1"/>
  <c r="K98" i="1"/>
  <c r="V98" i="1" s="1"/>
  <c r="J852" i="1"/>
  <c r="K852" i="1"/>
  <c r="J780" i="1"/>
  <c r="K780" i="1"/>
  <c r="J732" i="1"/>
  <c r="K732" i="1"/>
  <c r="J660" i="1"/>
  <c r="K660" i="1"/>
  <c r="Q660" i="1" s="1"/>
  <c r="J636" i="1"/>
  <c r="K636" i="1"/>
  <c r="J540" i="1"/>
  <c r="K540" i="1"/>
  <c r="V540" i="1" s="1"/>
  <c r="J228" i="1"/>
  <c r="K228" i="1"/>
  <c r="V228" i="1" s="1"/>
  <c r="J85" i="1"/>
  <c r="K85" i="1"/>
  <c r="Q85" i="1" s="1"/>
  <c r="K530" i="1"/>
  <c r="J971" i="1"/>
  <c r="K971" i="1"/>
  <c r="J635" i="1"/>
  <c r="K635" i="1"/>
  <c r="J551" i="1"/>
  <c r="K551" i="1"/>
  <c r="J467" i="1"/>
  <c r="K467" i="1"/>
  <c r="V467" i="1" s="1"/>
  <c r="J383" i="1"/>
  <c r="K383" i="1"/>
  <c r="V383" i="1" s="1"/>
  <c r="J299" i="1"/>
  <c r="K299" i="1"/>
  <c r="Q299" i="1" s="1"/>
  <c r="J239" i="1"/>
  <c r="K239" i="1"/>
  <c r="J84" i="1"/>
  <c r="K84" i="1"/>
  <c r="J12" i="1"/>
  <c r="K12" i="1"/>
  <c r="K720" i="1"/>
  <c r="K96" i="1"/>
  <c r="J946" i="1"/>
  <c r="K946" i="1"/>
  <c r="J850" i="1"/>
  <c r="K850" i="1"/>
  <c r="J802" i="1"/>
  <c r="K802" i="1"/>
  <c r="V802" i="1" s="1"/>
  <c r="J742" i="1"/>
  <c r="K742" i="1"/>
  <c r="V742" i="1" s="1"/>
  <c r="J694" i="1"/>
  <c r="K694" i="1"/>
  <c r="J670" i="1"/>
  <c r="K670" i="1"/>
  <c r="J634" i="1"/>
  <c r="K634" i="1"/>
  <c r="Q634" i="1" s="1"/>
  <c r="J562" i="1"/>
  <c r="K562" i="1"/>
  <c r="V562" i="1" s="1"/>
  <c r="K936" i="1"/>
  <c r="K864" i="1"/>
  <c r="K792" i="1"/>
  <c r="K719" i="1"/>
  <c r="K624" i="1"/>
  <c r="V624" i="1" s="1"/>
  <c r="K528" i="1"/>
  <c r="V528" i="1" s="1"/>
  <c r="K432" i="1"/>
  <c r="Q432" i="1" s="1"/>
  <c r="K312" i="1"/>
  <c r="Q312" i="1" s="1"/>
  <c r="K24" i="1"/>
  <c r="J494" i="1"/>
  <c r="K494" i="1"/>
  <c r="J278" i="1"/>
  <c r="K278" i="1"/>
  <c r="J230" i="1"/>
  <c r="K230" i="1"/>
  <c r="V230" i="1" s="1"/>
  <c r="J159" i="1"/>
  <c r="K159" i="1"/>
  <c r="V159" i="1" s="1"/>
  <c r="J123" i="1"/>
  <c r="K123" i="1"/>
  <c r="J87" i="1"/>
  <c r="K87" i="1"/>
  <c r="J15" i="1"/>
  <c r="K15" i="1"/>
  <c r="J973" i="1"/>
  <c r="K973" i="1"/>
  <c r="J949" i="1"/>
  <c r="K949" i="1"/>
  <c r="J925" i="1"/>
  <c r="K925" i="1"/>
  <c r="V925" i="1" s="1"/>
  <c r="J877" i="1"/>
  <c r="K877" i="1"/>
  <c r="J637" i="1"/>
  <c r="K637" i="1"/>
  <c r="Q637" i="1" s="1"/>
  <c r="J589" i="1"/>
  <c r="K589" i="1"/>
  <c r="J421" i="1"/>
  <c r="K421" i="1"/>
  <c r="J397" i="1"/>
  <c r="K397" i="1"/>
  <c r="Q397" i="1" s="1"/>
  <c r="J349" i="1"/>
  <c r="K349" i="1"/>
  <c r="V349" i="1" s="1"/>
  <c r="J229" i="1"/>
  <c r="K229" i="1"/>
  <c r="Q229" i="1" s="1"/>
  <c r="J62" i="1"/>
  <c r="K62" i="1"/>
  <c r="V62" i="1" s="1"/>
  <c r="J996" i="1"/>
  <c r="K996" i="1"/>
  <c r="J684" i="1"/>
  <c r="K684" i="1"/>
  <c r="V684" i="1" s="1"/>
  <c r="J564" i="1"/>
  <c r="K564" i="1"/>
  <c r="J468" i="1"/>
  <c r="K468" i="1"/>
  <c r="J396" i="1"/>
  <c r="K396" i="1"/>
  <c r="Q396" i="1" s="1"/>
  <c r="J348" i="1"/>
  <c r="K348" i="1"/>
  <c r="J300" i="1"/>
  <c r="K300" i="1"/>
  <c r="J252" i="1"/>
  <c r="K252" i="1"/>
  <c r="J109" i="1"/>
  <c r="K109" i="1"/>
  <c r="Q109" i="1" s="1"/>
  <c r="J61" i="1"/>
  <c r="K61" i="1"/>
  <c r="V61" i="1" s="1"/>
  <c r="K434" i="1"/>
  <c r="K26" i="1"/>
  <c r="J995" i="1"/>
  <c r="K995" i="1"/>
  <c r="J899" i="1"/>
  <c r="K899" i="1"/>
  <c r="J875" i="1"/>
  <c r="K875" i="1"/>
  <c r="J827" i="1"/>
  <c r="K827" i="1"/>
  <c r="J803" i="1"/>
  <c r="K803" i="1"/>
  <c r="J755" i="1"/>
  <c r="K755" i="1"/>
  <c r="V755" i="1" s="1"/>
  <c r="J707" i="1"/>
  <c r="K707" i="1"/>
  <c r="V707" i="1" s="1"/>
  <c r="J647" i="1"/>
  <c r="K647" i="1"/>
  <c r="V647" i="1" s="1"/>
  <c r="J599" i="1"/>
  <c r="K599" i="1"/>
  <c r="Q599" i="1" s="1"/>
  <c r="J539" i="1"/>
  <c r="K539" i="1"/>
  <c r="V539" i="1" s="1"/>
  <c r="J503" i="1"/>
  <c r="K503" i="1"/>
  <c r="J431" i="1"/>
  <c r="K431" i="1"/>
  <c r="Q431" i="1" s="1"/>
  <c r="J371" i="1"/>
  <c r="K371" i="1"/>
  <c r="J323" i="1"/>
  <c r="K323" i="1"/>
  <c r="J275" i="1"/>
  <c r="K275" i="1"/>
  <c r="J180" i="1"/>
  <c r="K180" i="1"/>
  <c r="J132" i="1"/>
  <c r="K132" i="1"/>
  <c r="J108" i="1"/>
  <c r="K108" i="1"/>
  <c r="J60" i="1"/>
  <c r="K60" i="1"/>
  <c r="K793" i="1"/>
  <c r="K433" i="1"/>
  <c r="K313" i="1"/>
  <c r="Q313" i="1" s="1"/>
  <c r="K25" i="1"/>
  <c r="Q25" i="1" s="1"/>
  <c r="J970" i="1"/>
  <c r="K970" i="1"/>
  <c r="J934" i="1"/>
  <c r="K934" i="1"/>
  <c r="J874" i="1"/>
  <c r="K874" i="1"/>
  <c r="V874" i="1" s="1"/>
  <c r="J826" i="1"/>
  <c r="K826" i="1"/>
  <c r="V826" i="1" s="1"/>
  <c r="J778" i="1"/>
  <c r="K778" i="1"/>
  <c r="V778" i="1" s="1"/>
  <c r="J718" i="1"/>
  <c r="K718" i="1"/>
  <c r="J682" i="1"/>
  <c r="K682" i="1"/>
  <c r="V682" i="1" s="1"/>
  <c r="J658" i="1"/>
  <c r="K658" i="1"/>
  <c r="Q658" i="1" s="1"/>
  <c r="J574" i="1"/>
  <c r="K574" i="1"/>
  <c r="V574" i="1" s="1"/>
  <c r="K362" i="1"/>
  <c r="V362" i="1" s="1"/>
  <c r="K935" i="1"/>
  <c r="K863" i="1"/>
  <c r="K791" i="1"/>
  <c r="K506" i="1"/>
  <c r="V506" i="1" s="1"/>
  <c r="K361" i="1"/>
  <c r="K242" i="1"/>
  <c r="Q242" i="1" s="1"/>
  <c r="K194" i="1"/>
  <c r="V194" i="1" s="1"/>
  <c r="K122" i="1"/>
  <c r="V122" i="1" s="1"/>
  <c r="K50" i="1"/>
  <c r="J542" i="1"/>
  <c r="K542" i="1"/>
  <c r="J374" i="1"/>
  <c r="K374" i="1"/>
  <c r="V374" i="1" s="1"/>
  <c r="J183" i="1"/>
  <c r="K183" i="1"/>
  <c r="J99" i="1"/>
  <c r="K99" i="1"/>
  <c r="J3" i="1"/>
  <c r="J781" i="1"/>
  <c r="K781" i="1"/>
  <c r="V781" i="1" s="1"/>
  <c r="J613" i="1"/>
  <c r="K613" i="1"/>
  <c r="J445" i="1"/>
  <c r="K445" i="1"/>
  <c r="V445" i="1" s="1"/>
  <c r="J373" i="1"/>
  <c r="K373" i="1"/>
  <c r="J86" i="1"/>
  <c r="K86" i="1"/>
  <c r="J14" i="1"/>
  <c r="K14" i="1"/>
  <c r="V14" i="1" s="1"/>
  <c r="K170" i="1"/>
  <c r="J444" i="1"/>
  <c r="K444" i="1"/>
  <c r="J372" i="1"/>
  <c r="K372" i="1"/>
  <c r="Q372" i="1" s="1"/>
  <c r="J324" i="1"/>
  <c r="K324" i="1"/>
  <c r="K721" i="1"/>
  <c r="V721" i="1" s="1"/>
  <c r="K264" i="1"/>
  <c r="J923" i="1"/>
  <c r="K923" i="1"/>
  <c r="J731" i="1"/>
  <c r="K731" i="1"/>
  <c r="V731" i="1" s="1"/>
  <c r="J659" i="1"/>
  <c r="K659" i="1"/>
  <c r="J587" i="1"/>
  <c r="K587" i="1"/>
  <c r="J491" i="1"/>
  <c r="K491" i="1"/>
  <c r="J395" i="1"/>
  <c r="K395" i="1"/>
  <c r="V395" i="1" s="1"/>
  <c r="J311" i="1"/>
  <c r="K311" i="1"/>
  <c r="Q311" i="1" s="1"/>
  <c r="J227" i="1"/>
  <c r="K227" i="1"/>
  <c r="Q227" i="1" s="1"/>
  <c r="J36" i="1"/>
  <c r="K36" i="1"/>
  <c r="V36" i="1" s="1"/>
  <c r="K937" i="1"/>
  <c r="K168" i="1"/>
  <c r="Q168" i="1" s="1"/>
  <c r="J910" i="1"/>
  <c r="K910" i="1"/>
  <c r="V910" i="1" s="1"/>
  <c r="J790" i="1"/>
  <c r="K790" i="1"/>
  <c r="J646" i="1"/>
  <c r="K646" i="1"/>
  <c r="K697" i="1"/>
  <c r="V697" i="1" s="1"/>
  <c r="K601" i="1"/>
  <c r="Q601" i="1" s="1"/>
  <c r="K505" i="1"/>
  <c r="V505" i="1" s="1"/>
  <c r="K410" i="1"/>
  <c r="Q410" i="1" s="1"/>
  <c r="K360" i="1"/>
  <c r="W360" i="1" s="1"/>
  <c r="K241" i="1"/>
  <c r="Q241" i="1" s="1"/>
  <c r="K193" i="1"/>
  <c r="Q193" i="1" s="1"/>
  <c r="K121" i="1"/>
  <c r="Q121" i="1" s="1"/>
  <c r="K49" i="1"/>
  <c r="Q49" i="1" s="1"/>
  <c r="J446" i="1"/>
  <c r="K446" i="1"/>
  <c r="V446" i="1" s="1"/>
  <c r="J398" i="1"/>
  <c r="K398" i="1"/>
  <c r="V398" i="1" s="1"/>
  <c r="J302" i="1"/>
  <c r="K302" i="1"/>
  <c r="V302" i="1" s="1"/>
  <c r="J207" i="1"/>
  <c r="K207" i="1"/>
  <c r="V207" i="1" s="1"/>
  <c r="J111" i="1"/>
  <c r="K111" i="1"/>
  <c r="J27" i="1"/>
  <c r="K27" i="1"/>
  <c r="J997" i="1"/>
  <c r="K997" i="1"/>
  <c r="V997" i="1" s="1"/>
  <c r="J685" i="1"/>
  <c r="K685" i="1"/>
  <c r="V685" i="1" s="1"/>
  <c r="J469" i="1"/>
  <c r="K469" i="1"/>
  <c r="J301" i="1"/>
  <c r="K301" i="1"/>
  <c r="J134" i="1"/>
  <c r="K134" i="1"/>
  <c r="V134" i="1" s="1"/>
  <c r="K265" i="1"/>
  <c r="Q265" i="1" s="1"/>
  <c r="J828" i="1"/>
  <c r="K828" i="1"/>
  <c r="V828" i="1" s="1"/>
  <c r="J756" i="1"/>
  <c r="K756" i="1"/>
  <c r="J708" i="1"/>
  <c r="K708" i="1"/>
  <c r="J612" i="1"/>
  <c r="K612" i="1"/>
  <c r="J181" i="1"/>
  <c r="K181" i="1"/>
  <c r="Q181" i="1" s="1"/>
  <c r="K97" i="1"/>
  <c r="Q97" i="1" s="1"/>
  <c r="J671" i="1"/>
  <c r="K671" i="1"/>
  <c r="V671" i="1" s="1"/>
  <c r="J563" i="1"/>
  <c r="K563" i="1"/>
  <c r="J455" i="1"/>
  <c r="K455" i="1"/>
  <c r="V455" i="1" s="1"/>
  <c r="J347" i="1"/>
  <c r="K347" i="1"/>
  <c r="Q347" i="1" s="1"/>
  <c r="J251" i="1"/>
  <c r="K251" i="1"/>
  <c r="J994" i="1"/>
  <c r="K994" i="1"/>
  <c r="J886" i="1"/>
  <c r="K886" i="1"/>
  <c r="J766" i="1"/>
  <c r="K766" i="1"/>
  <c r="V766" i="1" s="1"/>
  <c r="J622" i="1"/>
  <c r="K622" i="1"/>
  <c r="V622" i="1" s="1"/>
  <c r="K985" i="1"/>
  <c r="V985" i="1" s="1"/>
  <c r="K913" i="1"/>
  <c r="K841" i="1"/>
  <c r="K769" i="1"/>
  <c r="V769" i="1" s="1"/>
  <c r="K696" i="1"/>
  <c r="K600" i="1"/>
  <c r="Q600" i="1" s="1"/>
  <c r="K504" i="1"/>
  <c r="K409" i="1"/>
  <c r="V409" i="1" s="1"/>
  <c r="K290" i="1"/>
  <c r="V290" i="1" s="1"/>
  <c r="K240" i="1"/>
  <c r="K192" i="1"/>
  <c r="K120" i="1"/>
  <c r="K48" i="1"/>
  <c r="J350" i="1"/>
  <c r="K350" i="1"/>
  <c r="V350" i="1" s="1"/>
  <c r="J135" i="1"/>
  <c r="K135" i="1"/>
  <c r="J39" i="1"/>
  <c r="K39" i="1"/>
  <c r="J948" i="1"/>
  <c r="K948" i="1"/>
  <c r="J588" i="1"/>
  <c r="K588" i="1"/>
  <c r="J516" i="1"/>
  <c r="K516" i="1"/>
  <c r="Q516" i="1" s="1"/>
  <c r="J276" i="1"/>
  <c r="K276" i="1"/>
  <c r="J205" i="1"/>
  <c r="K205" i="1"/>
  <c r="Q205" i="1" s="1"/>
  <c r="J133" i="1"/>
  <c r="K133" i="1"/>
  <c r="Q133" i="1" s="1"/>
  <c r="J37" i="1"/>
  <c r="K37" i="1"/>
  <c r="V37" i="1" s="1"/>
  <c r="J743" i="1"/>
  <c r="K743" i="1"/>
  <c r="V743" i="1" s="1"/>
  <c r="J623" i="1"/>
  <c r="K623" i="1"/>
  <c r="J515" i="1"/>
  <c r="K515" i="1"/>
  <c r="J407" i="1"/>
  <c r="K407" i="1"/>
  <c r="J862" i="1"/>
  <c r="K862" i="1"/>
  <c r="J754" i="1"/>
  <c r="K754" i="1"/>
  <c r="V754" i="1" s="1"/>
  <c r="J610" i="1"/>
  <c r="K610" i="1"/>
  <c r="J558" i="1"/>
  <c r="K558" i="1"/>
  <c r="V558" i="1" s="1"/>
  <c r="K984" i="1"/>
  <c r="V984" i="1" s="1"/>
  <c r="K912" i="1"/>
  <c r="V912" i="1" s="1"/>
  <c r="K840" i="1"/>
  <c r="K768" i="1"/>
  <c r="V768" i="1" s="1"/>
  <c r="K482" i="1"/>
  <c r="K408" i="1"/>
  <c r="V408" i="1" s="1"/>
  <c r="K289" i="1"/>
  <c r="Q289" i="1" s="1"/>
  <c r="J518" i="1"/>
  <c r="K518" i="1"/>
  <c r="J422" i="1"/>
  <c r="K422" i="1"/>
  <c r="J195" i="1"/>
  <c r="K195" i="1"/>
  <c r="Q195" i="1" s="1"/>
  <c r="J51" i="1"/>
  <c r="K51" i="1"/>
  <c r="J853" i="1"/>
  <c r="K853" i="1"/>
  <c r="J805" i="1"/>
  <c r="K805" i="1"/>
  <c r="J733" i="1"/>
  <c r="K733" i="1"/>
  <c r="J661" i="1"/>
  <c r="K661" i="1"/>
  <c r="V661" i="1" s="1"/>
  <c r="J517" i="1"/>
  <c r="K517" i="1"/>
  <c r="J325" i="1"/>
  <c r="K325" i="1"/>
  <c r="Q325" i="1" s="1"/>
  <c r="J253" i="1"/>
  <c r="K253" i="1"/>
  <c r="V253" i="1" s="1"/>
  <c r="J924" i="1"/>
  <c r="K924" i="1"/>
  <c r="J876" i="1"/>
  <c r="K876" i="1"/>
  <c r="J804" i="1"/>
  <c r="K804" i="1"/>
  <c r="V804" i="1" s="1"/>
  <c r="J157" i="1"/>
  <c r="K157" i="1"/>
  <c r="Q157" i="1" s="1"/>
  <c r="K169" i="1"/>
  <c r="Q169" i="1" s="1"/>
  <c r="J947" i="1"/>
  <c r="K947" i="1"/>
  <c r="J851" i="1"/>
  <c r="K851" i="1"/>
  <c r="J779" i="1"/>
  <c r="K779" i="1"/>
  <c r="V779" i="1" s="1"/>
  <c r="J683" i="1"/>
  <c r="K683" i="1"/>
  <c r="V683" i="1" s="1"/>
  <c r="J575" i="1"/>
  <c r="K575" i="1"/>
  <c r="J443" i="1"/>
  <c r="K443" i="1"/>
  <c r="V443" i="1" s="1"/>
  <c r="J359" i="1"/>
  <c r="K359" i="1"/>
  <c r="J287" i="1"/>
  <c r="K287" i="1"/>
  <c r="Q287" i="1" s="1"/>
  <c r="K865" i="1"/>
  <c r="K529" i="1"/>
  <c r="J982" i="1"/>
  <c r="K982" i="1"/>
  <c r="V982" i="1" s="1"/>
  <c r="J922" i="1"/>
  <c r="K922" i="1"/>
  <c r="J838" i="1"/>
  <c r="K838" i="1"/>
  <c r="J730" i="1"/>
  <c r="K730" i="1"/>
  <c r="J586" i="1"/>
  <c r="K586" i="1"/>
  <c r="K983" i="1"/>
  <c r="K911" i="1"/>
  <c r="K839" i="1"/>
  <c r="K767" i="1"/>
  <c r="K673" i="1"/>
  <c r="V673" i="1" s="1"/>
  <c r="K577" i="1"/>
  <c r="K481" i="1"/>
  <c r="Q481" i="1" s="1"/>
  <c r="K338" i="1"/>
  <c r="Q338" i="1" s="1"/>
  <c r="K288" i="1"/>
  <c r="Q288" i="1" s="1"/>
  <c r="K146" i="1"/>
  <c r="K74" i="1"/>
  <c r="J326" i="1"/>
  <c r="K326" i="1"/>
  <c r="J254" i="1"/>
  <c r="K254" i="1"/>
  <c r="J171" i="1"/>
  <c r="K171" i="1"/>
  <c r="J75" i="1"/>
  <c r="K75" i="1"/>
  <c r="V75" i="1" s="1"/>
  <c r="K266" i="1"/>
  <c r="J709" i="1"/>
  <c r="K709" i="1"/>
  <c r="J565" i="1"/>
  <c r="K565" i="1"/>
  <c r="V565" i="1" s="1"/>
  <c r="J493" i="1"/>
  <c r="K493" i="1"/>
  <c r="V493" i="1" s="1"/>
  <c r="J182" i="1"/>
  <c r="K182" i="1"/>
  <c r="J972" i="1"/>
  <c r="K972" i="1"/>
  <c r="Q972" i="1" s="1"/>
  <c r="J900" i="1"/>
  <c r="K900" i="1"/>
  <c r="J492" i="1"/>
  <c r="K492" i="1"/>
  <c r="J420" i="1"/>
  <c r="K420" i="1"/>
  <c r="V420" i="1" s="1"/>
  <c r="J13" i="1"/>
  <c r="K13" i="1"/>
  <c r="V13" i="1" s="1"/>
  <c r="K314" i="1"/>
  <c r="J695" i="1"/>
  <c r="K695" i="1"/>
  <c r="V695" i="1" s="1"/>
  <c r="J611" i="1"/>
  <c r="K611" i="1"/>
  <c r="V611" i="1" s="1"/>
  <c r="J527" i="1"/>
  <c r="K527" i="1"/>
  <c r="J479" i="1"/>
  <c r="K479" i="1"/>
  <c r="J419" i="1"/>
  <c r="K419" i="1"/>
  <c r="V419" i="1" s="1"/>
  <c r="J335" i="1"/>
  <c r="K335" i="1"/>
  <c r="J263" i="1"/>
  <c r="K263" i="1"/>
  <c r="V263" i="1" s="1"/>
  <c r="J204" i="1"/>
  <c r="K204" i="1"/>
  <c r="J156" i="1"/>
  <c r="K156" i="1"/>
  <c r="V156" i="1" s="1"/>
  <c r="K625" i="1"/>
  <c r="V625" i="1" s="1"/>
  <c r="J958" i="1"/>
  <c r="K958" i="1"/>
  <c r="J898" i="1"/>
  <c r="K898" i="1"/>
  <c r="J814" i="1"/>
  <c r="K814" i="1"/>
  <c r="J706" i="1"/>
  <c r="K706" i="1"/>
  <c r="V706" i="1" s="1"/>
  <c r="J598" i="1"/>
  <c r="K598" i="1"/>
  <c r="V598" i="1" s="1"/>
  <c r="K672" i="1"/>
  <c r="V672" i="1" s="1"/>
  <c r="K576" i="1"/>
  <c r="V576" i="1" s="1"/>
  <c r="K480" i="1"/>
  <c r="K337" i="1"/>
  <c r="Q337" i="1" s="1"/>
  <c r="K218" i="1"/>
  <c r="K145" i="1"/>
  <c r="Q145" i="1" s="1"/>
  <c r="K73" i="1"/>
  <c r="V73" i="1" s="1"/>
  <c r="K502" i="1"/>
  <c r="K430" i="1"/>
  <c r="V430" i="1" s="1"/>
  <c r="K334" i="1"/>
  <c r="K286" i="1"/>
  <c r="Q286" i="1" s="1"/>
  <c r="J980" i="1"/>
  <c r="K980" i="1"/>
  <c r="V980" i="1" s="1"/>
  <c r="J932" i="1"/>
  <c r="K932" i="1"/>
  <c r="V932" i="1" s="1"/>
  <c r="J884" i="1"/>
  <c r="K884" i="1"/>
  <c r="V884" i="1" s="1"/>
  <c r="J860" i="1"/>
  <c r="K860" i="1"/>
  <c r="Q860" i="1" s="1"/>
  <c r="J800" i="1"/>
  <c r="K800" i="1"/>
  <c r="J776" i="1"/>
  <c r="K776" i="1"/>
  <c r="J752" i="1"/>
  <c r="K752" i="1"/>
  <c r="J740" i="1"/>
  <c r="K740" i="1"/>
  <c r="V740" i="1" s="1"/>
  <c r="J692" i="1"/>
  <c r="K692" i="1"/>
  <c r="J656" i="1"/>
  <c r="K656" i="1"/>
  <c r="Q656" i="1" s="1"/>
  <c r="J608" i="1"/>
  <c r="K608" i="1"/>
  <c r="J584" i="1"/>
  <c r="K584" i="1"/>
  <c r="K981" i="1"/>
  <c r="Q981" i="1" s="1"/>
  <c r="K957" i="1"/>
  <c r="K933" i="1"/>
  <c r="V933" i="1" s="1"/>
  <c r="K909" i="1"/>
  <c r="K885" i="1"/>
  <c r="K861" i="1"/>
  <c r="Q861" i="1" s="1"/>
  <c r="K837" i="1"/>
  <c r="W837" i="1" s="1"/>
  <c r="K813" i="1"/>
  <c r="K789" i="1"/>
  <c r="V789" i="1" s="1"/>
  <c r="K765" i="1"/>
  <c r="K741" i="1"/>
  <c r="K717" i="1"/>
  <c r="Q717" i="1" s="1"/>
  <c r="K693" i="1"/>
  <c r="W693" i="1" s="1"/>
  <c r="K669" i="1"/>
  <c r="V669" i="1" s="1"/>
  <c r="K645" i="1"/>
  <c r="Q645" i="1" s="1"/>
  <c r="K621" i="1"/>
  <c r="V621" i="1" s="1"/>
  <c r="K597" i="1"/>
  <c r="K573" i="1"/>
  <c r="Q573" i="1" s="1"/>
  <c r="K549" i="1"/>
  <c r="Q549" i="1" s="1"/>
  <c r="K525" i="1"/>
  <c r="V525" i="1" s="1"/>
  <c r="K501" i="1"/>
  <c r="K477" i="1"/>
  <c r="K453" i="1"/>
  <c r="Q453" i="1" s="1"/>
  <c r="K429" i="1"/>
  <c r="W429" i="1" s="1"/>
  <c r="J872" i="1"/>
  <c r="K872" i="1"/>
  <c r="V872" i="1" s="1"/>
  <c r="J788" i="1"/>
  <c r="K788" i="1"/>
  <c r="J704" i="1"/>
  <c r="K704" i="1"/>
  <c r="V704" i="1" s="1"/>
  <c r="J668" i="1"/>
  <c r="K668" i="1"/>
  <c r="J572" i="1"/>
  <c r="K572" i="1"/>
  <c r="V572" i="1" s="1"/>
  <c r="J991" i="1"/>
  <c r="K991" i="1"/>
  <c r="J979" i="1"/>
  <c r="K979" i="1"/>
  <c r="J967" i="1"/>
  <c r="K967" i="1"/>
  <c r="V967" i="1" s="1"/>
  <c r="J955" i="1"/>
  <c r="K955" i="1"/>
  <c r="V955" i="1" s="1"/>
  <c r="J943" i="1"/>
  <c r="K943" i="1"/>
  <c r="J931" i="1"/>
  <c r="K931" i="1"/>
  <c r="J919" i="1"/>
  <c r="K919" i="1"/>
  <c r="J907" i="1"/>
  <c r="K907" i="1"/>
  <c r="Q907" i="1" s="1"/>
  <c r="J895" i="1"/>
  <c r="K895" i="1"/>
  <c r="J883" i="1"/>
  <c r="K883" i="1"/>
  <c r="J871" i="1"/>
  <c r="K871" i="1"/>
  <c r="J859" i="1"/>
  <c r="K859" i="1"/>
  <c r="V859" i="1" s="1"/>
  <c r="J847" i="1"/>
  <c r="K847" i="1"/>
  <c r="J835" i="1"/>
  <c r="K835" i="1"/>
  <c r="J823" i="1"/>
  <c r="K823" i="1"/>
  <c r="V823" i="1" s="1"/>
  <c r="J811" i="1"/>
  <c r="K811" i="1"/>
  <c r="V811" i="1" s="1"/>
  <c r="J799" i="1"/>
  <c r="K799" i="1"/>
  <c r="V799" i="1" s="1"/>
  <c r="J787" i="1"/>
  <c r="K787" i="1"/>
  <c r="V787" i="1" s="1"/>
  <c r="J775" i="1"/>
  <c r="K775" i="1"/>
  <c r="J763" i="1"/>
  <c r="K763" i="1"/>
  <c r="V763" i="1" s="1"/>
  <c r="J751" i="1"/>
  <c r="K751" i="1"/>
  <c r="J739" i="1"/>
  <c r="K739" i="1"/>
  <c r="Q739" i="1" s="1"/>
  <c r="J727" i="1"/>
  <c r="K727" i="1"/>
  <c r="J715" i="1"/>
  <c r="K715" i="1"/>
  <c r="J703" i="1"/>
  <c r="K703" i="1"/>
  <c r="J691" i="1"/>
  <c r="K691" i="1"/>
  <c r="J679" i="1"/>
  <c r="K679" i="1"/>
  <c r="V679" i="1" s="1"/>
  <c r="J667" i="1"/>
  <c r="K667" i="1"/>
  <c r="J655" i="1"/>
  <c r="K655" i="1"/>
  <c r="J643" i="1"/>
  <c r="K643" i="1"/>
  <c r="J631" i="1"/>
  <c r="K631" i="1"/>
  <c r="J619" i="1"/>
  <c r="K619" i="1"/>
  <c r="V619" i="1" s="1"/>
  <c r="J607" i="1"/>
  <c r="K607" i="1"/>
  <c r="J595" i="1"/>
  <c r="K595" i="1"/>
  <c r="V595" i="1" s="1"/>
  <c r="J583" i="1"/>
  <c r="K583" i="1"/>
  <c r="J571" i="1"/>
  <c r="K571" i="1"/>
  <c r="V571" i="1" s="1"/>
  <c r="J559" i="1"/>
  <c r="K559" i="1"/>
  <c r="J548" i="1"/>
  <c r="K548" i="1"/>
  <c r="J536" i="1"/>
  <c r="K536" i="1"/>
  <c r="J524" i="1"/>
  <c r="K524" i="1"/>
  <c r="V524" i="1" s="1"/>
  <c r="J512" i="1"/>
  <c r="K512" i="1"/>
  <c r="V512" i="1" s="1"/>
  <c r="J500" i="1"/>
  <c r="K500" i="1"/>
  <c r="J488" i="1"/>
  <c r="K488" i="1"/>
  <c r="J476" i="1"/>
  <c r="K476" i="1"/>
  <c r="J464" i="1"/>
  <c r="K464" i="1"/>
  <c r="J452" i="1"/>
  <c r="K452" i="1"/>
  <c r="V452" i="1" s="1"/>
  <c r="J440" i="1"/>
  <c r="K440" i="1"/>
  <c r="J428" i="1"/>
  <c r="K428" i="1"/>
  <c r="J416" i="1"/>
  <c r="K416" i="1"/>
  <c r="J404" i="1"/>
  <c r="K404" i="1"/>
  <c r="J392" i="1"/>
  <c r="K392" i="1"/>
  <c r="J380" i="1"/>
  <c r="K380" i="1"/>
  <c r="V380" i="1" s="1"/>
  <c r="J368" i="1"/>
  <c r="K368" i="1"/>
  <c r="V368" i="1" s="1"/>
  <c r="J356" i="1"/>
  <c r="K356" i="1"/>
  <c r="J344" i="1"/>
  <c r="K344" i="1"/>
  <c r="Q344" i="1" s="1"/>
  <c r="J332" i="1"/>
  <c r="K332" i="1"/>
  <c r="J320" i="1"/>
  <c r="K320" i="1"/>
  <c r="V320" i="1" s="1"/>
  <c r="J308" i="1"/>
  <c r="K308" i="1"/>
  <c r="J296" i="1"/>
  <c r="K296" i="1"/>
  <c r="Q296" i="1" s="1"/>
  <c r="J284" i="1"/>
  <c r="K284" i="1"/>
  <c r="J272" i="1"/>
  <c r="K272" i="1"/>
  <c r="J260" i="1"/>
  <c r="K260" i="1"/>
  <c r="J248" i="1"/>
  <c r="K248" i="1"/>
  <c r="J236" i="1"/>
  <c r="K236" i="1"/>
  <c r="V236" i="1" s="1"/>
  <c r="J224" i="1"/>
  <c r="K224" i="1"/>
  <c r="V224" i="1" s="1"/>
  <c r="K998" i="1"/>
  <c r="K974" i="1"/>
  <c r="Q974" i="1" s="1"/>
  <c r="K950" i="1"/>
  <c r="V950" i="1" s="1"/>
  <c r="K926" i="1"/>
  <c r="V926" i="1" s="1"/>
  <c r="K902" i="1"/>
  <c r="K878" i="1"/>
  <c r="K854" i="1"/>
  <c r="K830" i="1"/>
  <c r="K806" i="1"/>
  <c r="V806" i="1" s="1"/>
  <c r="K782" i="1"/>
  <c r="K758" i="1"/>
  <c r="V758" i="1" s="1"/>
  <c r="K734" i="1"/>
  <c r="K710" i="1"/>
  <c r="K686" i="1"/>
  <c r="V686" i="1" s="1"/>
  <c r="K662" i="1"/>
  <c r="K638" i="1"/>
  <c r="V638" i="1" s="1"/>
  <c r="K614" i="1"/>
  <c r="K590" i="1"/>
  <c r="Q590" i="1" s="1"/>
  <c r="K566" i="1"/>
  <c r="J944" i="1"/>
  <c r="K944" i="1"/>
  <c r="J848" i="1"/>
  <c r="K848" i="1"/>
  <c r="J764" i="1"/>
  <c r="K764" i="1"/>
  <c r="J728" i="1"/>
  <c r="K728" i="1"/>
  <c r="V728" i="1" s="1"/>
  <c r="J680" i="1"/>
  <c r="K680" i="1"/>
  <c r="J596" i="1"/>
  <c r="K596" i="1"/>
  <c r="J560" i="1"/>
  <c r="K560" i="1"/>
  <c r="V560" i="1" s="1"/>
  <c r="J990" i="1"/>
  <c r="K990" i="1"/>
  <c r="J978" i="1"/>
  <c r="K978" i="1"/>
  <c r="V978" i="1" s="1"/>
  <c r="J966" i="1"/>
  <c r="K966" i="1"/>
  <c r="J954" i="1"/>
  <c r="K954" i="1"/>
  <c r="J942" i="1"/>
  <c r="K942" i="1"/>
  <c r="J930" i="1"/>
  <c r="K930" i="1"/>
  <c r="J918" i="1"/>
  <c r="K918" i="1"/>
  <c r="V918" i="1" s="1"/>
  <c r="J906" i="1"/>
  <c r="K906" i="1"/>
  <c r="V906" i="1" s="1"/>
  <c r="J894" i="1"/>
  <c r="K894" i="1"/>
  <c r="V894" i="1" s="1"/>
  <c r="J882" i="1"/>
  <c r="K882" i="1"/>
  <c r="J870" i="1"/>
  <c r="K870" i="1"/>
  <c r="V870" i="1" s="1"/>
  <c r="J858" i="1"/>
  <c r="K858" i="1"/>
  <c r="J846" i="1"/>
  <c r="K846" i="1"/>
  <c r="J834" i="1"/>
  <c r="K834" i="1"/>
  <c r="J822" i="1"/>
  <c r="K822" i="1"/>
  <c r="V822" i="1" s="1"/>
  <c r="J810" i="1"/>
  <c r="K810" i="1"/>
  <c r="V810" i="1" s="1"/>
  <c r="J798" i="1"/>
  <c r="K798" i="1"/>
  <c r="J786" i="1"/>
  <c r="K786" i="1"/>
  <c r="J774" i="1"/>
  <c r="K774" i="1"/>
  <c r="V774" i="1" s="1"/>
  <c r="J762" i="1"/>
  <c r="K762" i="1"/>
  <c r="Q762" i="1" s="1"/>
  <c r="J750" i="1"/>
  <c r="K750" i="1"/>
  <c r="V750" i="1" s="1"/>
  <c r="J738" i="1"/>
  <c r="K738" i="1"/>
  <c r="V738" i="1" s="1"/>
  <c r="J726" i="1"/>
  <c r="K726" i="1"/>
  <c r="Q726" i="1" s="1"/>
  <c r="J714" i="1"/>
  <c r="K714" i="1"/>
  <c r="J702" i="1"/>
  <c r="K702" i="1"/>
  <c r="J690" i="1"/>
  <c r="K690" i="1"/>
  <c r="J678" i="1"/>
  <c r="K678" i="1"/>
  <c r="J666" i="1"/>
  <c r="K666" i="1"/>
  <c r="J654" i="1"/>
  <c r="K654" i="1"/>
  <c r="J642" i="1"/>
  <c r="K642" i="1"/>
  <c r="J630" i="1"/>
  <c r="K630" i="1"/>
  <c r="J618" i="1"/>
  <c r="K618" i="1"/>
  <c r="V618" i="1" s="1"/>
  <c r="J606" i="1"/>
  <c r="K606" i="1"/>
  <c r="J594" i="1"/>
  <c r="K594" i="1"/>
  <c r="J582" i="1"/>
  <c r="K582" i="1"/>
  <c r="J570" i="1"/>
  <c r="K570" i="1"/>
  <c r="V570" i="1" s="1"/>
  <c r="J547" i="1"/>
  <c r="K547" i="1"/>
  <c r="Q547" i="1" s="1"/>
  <c r="J535" i="1"/>
  <c r="K535" i="1"/>
  <c r="V535" i="1" s="1"/>
  <c r="J523" i="1"/>
  <c r="K523" i="1"/>
  <c r="J511" i="1"/>
  <c r="K511" i="1"/>
  <c r="J499" i="1"/>
  <c r="K499" i="1"/>
  <c r="V499" i="1" s="1"/>
  <c r="J487" i="1"/>
  <c r="K487" i="1"/>
  <c r="J475" i="1"/>
  <c r="K475" i="1"/>
  <c r="V475" i="1" s="1"/>
  <c r="J463" i="1"/>
  <c r="K463" i="1"/>
  <c r="J451" i="1"/>
  <c r="K451" i="1"/>
  <c r="V451" i="1" s="1"/>
  <c r="J439" i="1"/>
  <c r="K439" i="1"/>
  <c r="W439" i="1" s="1"/>
  <c r="J427" i="1"/>
  <c r="K427" i="1"/>
  <c r="V427" i="1" s="1"/>
  <c r="J716" i="1"/>
  <c r="K716" i="1"/>
  <c r="V716" i="1" s="1"/>
  <c r="J1001" i="1"/>
  <c r="K1001" i="1"/>
  <c r="V1001" i="1" s="1"/>
  <c r="J989" i="1"/>
  <c r="K989" i="1"/>
  <c r="V989" i="1" s="1"/>
  <c r="J977" i="1"/>
  <c r="K977" i="1"/>
  <c r="Q977" i="1" s="1"/>
  <c r="J965" i="1"/>
  <c r="K965" i="1"/>
  <c r="J953" i="1"/>
  <c r="K953" i="1"/>
  <c r="J941" i="1"/>
  <c r="K941" i="1"/>
  <c r="Q941" i="1" s="1"/>
  <c r="J929" i="1"/>
  <c r="K929" i="1"/>
  <c r="V929" i="1" s="1"/>
  <c r="J917" i="1"/>
  <c r="K917" i="1"/>
  <c r="J905" i="1"/>
  <c r="K905" i="1"/>
  <c r="J893" i="1"/>
  <c r="K893" i="1"/>
  <c r="V893" i="1" s="1"/>
  <c r="J881" i="1"/>
  <c r="K881" i="1"/>
  <c r="J869" i="1"/>
  <c r="K869" i="1"/>
  <c r="V869" i="1" s="1"/>
  <c r="J857" i="1"/>
  <c r="K857" i="1"/>
  <c r="J845" i="1"/>
  <c r="K845" i="1"/>
  <c r="V845" i="1" s="1"/>
  <c r="J833" i="1"/>
  <c r="K833" i="1"/>
  <c r="V833" i="1" s="1"/>
  <c r="J821" i="1"/>
  <c r="K821" i="1"/>
  <c r="J809" i="1"/>
  <c r="K809" i="1"/>
  <c r="V809" i="1" s="1"/>
  <c r="J797" i="1"/>
  <c r="K797" i="1"/>
  <c r="J785" i="1"/>
  <c r="K785" i="1"/>
  <c r="J773" i="1"/>
  <c r="K773" i="1"/>
  <c r="V773" i="1" s="1"/>
  <c r="J761" i="1"/>
  <c r="K761" i="1"/>
  <c r="J749" i="1"/>
  <c r="K749" i="1"/>
  <c r="J737" i="1"/>
  <c r="K737" i="1"/>
  <c r="J725" i="1"/>
  <c r="K725" i="1"/>
  <c r="V725" i="1" s="1"/>
  <c r="J713" i="1"/>
  <c r="K713" i="1"/>
  <c r="J701" i="1"/>
  <c r="K701" i="1"/>
  <c r="J689" i="1"/>
  <c r="K689" i="1"/>
  <c r="J677" i="1"/>
  <c r="K677" i="1"/>
  <c r="V677" i="1" s="1"/>
  <c r="J665" i="1"/>
  <c r="K665" i="1"/>
  <c r="J653" i="1"/>
  <c r="K653" i="1"/>
  <c r="J641" i="1"/>
  <c r="K641" i="1"/>
  <c r="J629" i="1"/>
  <c r="K629" i="1"/>
  <c r="J617" i="1"/>
  <c r="K617" i="1"/>
  <c r="V617" i="1" s="1"/>
  <c r="J605" i="1"/>
  <c r="K605" i="1"/>
  <c r="J593" i="1"/>
  <c r="K593" i="1"/>
  <c r="J581" i="1"/>
  <c r="K581" i="1"/>
  <c r="J569" i="1"/>
  <c r="K569" i="1"/>
  <c r="J546" i="1"/>
  <c r="K546" i="1"/>
  <c r="Q546" i="1" s="1"/>
  <c r="J534" i="1"/>
  <c r="K534" i="1"/>
  <c r="V534" i="1" s="1"/>
  <c r="J522" i="1"/>
  <c r="K522" i="1"/>
  <c r="Q522" i="1" s="1"/>
  <c r="J510" i="1"/>
  <c r="K510" i="1"/>
  <c r="J498" i="1"/>
  <c r="K498" i="1"/>
  <c r="J486" i="1"/>
  <c r="K486" i="1"/>
  <c r="J474" i="1"/>
  <c r="K474" i="1"/>
  <c r="J462" i="1"/>
  <c r="K462" i="1"/>
  <c r="V462" i="1" s="1"/>
  <c r="J450" i="1"/>
  <c r="K450" i="1"/>
  <c r="J438" i="1"/>
  <c r="K438" i="1"/>
  <c r="J426" i="1"/>
  <c r="K426" i="1"/>
  <c r="J414" i="1"/>
  <c r="K414" i="1"/>
  <c r="J402" i="1"/>
  <c r="K402" i="1"/>
  <c r="J390" i="1"/>
  <c r="K390" i="1"/>
  <c r="V390" i="1" s="1"/>
  <c r="J378" i="1"/>
  <c r="K378" i="1"/>
  <c r="V378" i="1" s="1"/>
  <c r="J366" i="1"/>
  <c r="K366" i="1"/>
  <c r="V366" i="1" s="1"/>
  <c r="J354" i="1"/>
  <c r="K354" i="1"/>
  <c r="J342" i="1"/>
  <c r="K342" i="1"/>
  <c r="J330" i="1"/>
  <c r="K330" i="1"/>
  <c r="J318" i="1"/>
  <c r="K318" i="1"/>
  <c r="V318" i="1" s="1"/>
  <c r="J306" i="1"/>
  <c r="K306" i="1"/>
  <c r="V306" i="1" s="1"/>
  <c r="J294" i="1"/>
  <c r="K294" i="1"/>
  <c r="V294" i="1" s="1"/>
  <c r="J282" i="1"/>
  <c r="K282" i="1"/>
  <c r="J270" i="1"/>
  <c r="K270" i="1"/>
  <c r="J258" i="1"/>
  <c r="K258" i="1"/>
  <c r="J246" i="1"/>
  <c r="K246" i="1"/>
  <c r="V246" i="1" s="1"/>
  <c r="J234" i="1"/>
  <c r="K234" i="1"/>
  <c r="J222" i="1"/>
  <c r="K222" i="1"/>
  <c r="J211" i="1"/>
  <c r="K211" i="1"/>
  <c r="J199" i="1"/>
  <c r="K199" i="1"/>
  <c r="J187" i="1"/>
  <c r="K187" i="1"/>
  <c r="J175" i="1"/>
  <c r="K175" i="1"/>
  <c r="Q175" i="1" s="1"/>
  <c r="J163" i="1"/>
  <c r="K163" i="1"/>
  <c r="V163" i="1" s="1"/>
  <c r="J151" i="1"/>
  <c r="K151" i="1"/>
  <c r="J139" i="1"/>
  <c r="K139" i="1"/>
  <c r="V139" i="1" s="1"/>
  <c r="J127" i="1"/>
  <c r="K127" i="1"/>
  <c r="J115" i="1"/>
  <c r="K115" i="1"/>
  <c r="V115" i="1" s="1"/>
  <c r="J103" i="1"/>
  <c r="K103" i="1"/>
  <c r="Q103" i="1" s="1"/>
  <c r="J91" i="1"/>
  <c r="K91" i="1"/>
  <c r="J79" i="1"/>
  <c r="K79" i="1"/>
  <c r="Q79" i="1" s="1"/>
  <c r="J67" i="1"/>
  <c r="K67" i="1"/>
  <c r="V67" i="1" s="1"/>
  <c r="J55" i="1"/>
  <c r="K55" i="1"/>
  <c r="Q55" i="1" s="1"/>
  <c r="K526" i="1"/>
  <c r="V526" i="1" s="1"/>
  <c r="K454" i="1"/>
  <c r="Q454" i="1" s="1"/>
  <c r="K382" i="1"/>
  <c r="V382" i="1" s="1"/>
  <c r="K310" i="1"/>
  <c r="K238" i="1"/>
  <c r="Q238" i="1" s="1"/>
  <c r="J968" i="1"/>
  <c r="K968" i="1"/>
  <c r="J920" i="1"/>
  <c r="K920" i="1"/>
  <c r="J836" i="1"/>
  <c r="K836" i="1"/>
  <c r="J644" i="1"/>
  <c r="K644" i="1"/>
  <c r="V644" i="1" s="1"/>
  <c r="J1000" i="1"/>
  <c r="K1000" i="1"/>
  <c r="J988" i="1"/>
  <c r="K988" i="1"/>
  <c r="J976" i="1"/>
  <c r="K976" i="1"/>
  <c r="J964" i="1"/>
  <c r="K964" i="1"/>
  <c r="J952" i="1"/>
  <c r="K952" i="1"/>
  <c r="Q952" i="1" s="1"/>
  <c r="J940" i="1"/>
  <c r="K940" i="1"/>
  <c r="V940" i="1" s="1"/>
  <c r="J928" i="1"/>
  <c r="K928" i="1"/>
  <c r="V928" i="1" s="1"/>
  <c r="J916" i="1"/>
  <c r="K916" i="1"/>
  <c r="J904" i="1"/>
  <c r="K904" i="1"/>
  <c r="V904" i="1" s="1"/>
  <c r="J892" i="1"/>
  <c r="K892" i="1"/>
  <c r="J880" i="1"/>
  <c r="K880" i="1"/>
  <c r="V880" i="1" s="1"/>
  <c r="J868" i="1"/>
  <c r="K868" i="1"/>
  <c r="V868" i="1" s="1"/>
  <c r="J856" i="1"/>
  <c r="K856" i="1"/>
  <c r="J844" i="1"/>
  <c r="K844" i="1"/>
  <c r="V844" i="1" s="1"/>
  <c r="J832" i="1"/>
  <c r="K832" i="1"/>
  <c r="J820" i="1"/>
  <c r="K820" i="1"/>
  <c r="J808" i="1"/>
  <c r="K808" i="1"/>
  <c r="J796" i="1"/>
  <c r="K796" i="1"/>
  <c r="V796" i="1" s="1"/>
  <c r="J784" i="1"/>
  <c r="K784" i="1"/>
  <c r="V784" i="1" s="1"/>
  <c r="J772" i="1"/>
  <c r="K772" i="1"/>
  <c r="V772" i="1" s="1"/>
  <c r="J760" i="1"/>
  <c r="K760" i="1"/>
  <c r="V760" i="1" s="1"/>
  <c r="J748" i="1"/>
  <c r="K748" i="1"/>
  <c r="V748" i="1" s="1"/>
  <c r="J736" i="1"/>
  <c r="K736" i="1"/>
  <c r="V736" i="1" s="1"/>
  <c r="J724" i="1"/>
  <c r="K724" i="1"/>
  <c r="V724" i="1" s="1"/>
  <c r="J712" i="1"/>
  <c r="K712" i="1"/>
  <c r="J700" i="1"/>
  <c r="K700" i="1"/>
  <c r="J688" i="1"/>
  <c r="K688" i="1"/>
  <c r="V688" i="1" s="1"/>
  <c r="J676" i="1"/>
  <c r="K676" i="1"/>
  <c r="V676" i="1" s="1"/>
  <c r="J664" i="1"/>
  <c r="K664" i="1"/>
  <c r="J652" i="1"/>
  <c r="K652" i="1"/>
  <c r="V652" i="1" s="1"/>
  <c r="J640" i="1"/>
  <c r="K640" i="1"/>
  <c r="Q640" i="1" s="1"/>
  <c r="J628" i="1"/>
  <c r="K628" i="1"/>
  <c r="V628" i="1" s="1"/>
  <c r="J616" i="1"/>
  <c r="K616" i="1"/>
  <c r="J604" i="1"/>
  <c r="K604" i="1"/>
  <c r="J592" i="1"/>
  <c r="K592" i="1"/>
  <c r="J580" i="1"/>
  <c r="K580" i="1"/>
  <c r="V580" i="1" s="1"/>
  <c r="J568" i="1"/>
  <c r="K568" i="1"/>
  <c r="J557" i="1"/>
  <c r="K557" i="1"/>
  <c r="V557" i="1" s="1"/>
  <c r="J545" i="1"/>
  <c r="K545" i="1"/>
  <c r="V545" i="1" s="1"/>
  <c r="J533" i="1"/>
  <c r="K533" i="1"/>
  <c r="V533" i="1" s="1"/>
  <c r="J521" i="1"/>
  <c r="K521" i="1"/>
  <c r="J509" i="1"/>
  <c r="K509" i="1"/>
  <c r="V509" i="1" s="1"/>
  <c r="J497" i="1"/>
  <c r="K497" i="1"/>
  <c r="J485" i="1"/>
  <c r="K485" i="1"/>
  <c r="V485" i="1" s="1"/>
  <c r="J473" i="1"/>
  <c r="K473" i="1"/>
  <c r="Q473" i="1" s="1"/>
  <c r="J461" i="1"/>
  <c r="K461" i="1"/>
  <c r="V461" i="1" s="1"/>
  <c r="J449" i="1"/>
  <c r="K449" i="1"/>
  <c r="Q449" i="1" s="1"/>
  <c r="J437" i="1"/>
  <c r="K437" i="1"/>
  <c r="J425" i="1"/>
  <c r="K425" i="1"/>
  <c r="V425" i="1" s="1"/>
  <c r="J413" i="1"/>
  <c r="K413" i="1"/>
  <c r="V413" i="1" s="1"/>
  <c r="J401" i="1"/>
  <c r="K401" i="1"/>
  <c r="J389" i="1"/>
  <c r="K389" i="1"/>
  <c r="J377" i="1"/>
  <c r="K377" i="1"/>
  <c r="V377" i="1" s="1"/>
  <c r="J365" i="1"/>
  <c r="K365" i="1"/>
  <c r="Q365" i="1" s="1"/>
  <c r="J353" i="1"/>
  <c r="K353" i="1"/>
  <c r="V353" i="1" s="1"/>
  <c r="J341" i="1"/>
  <c r="K341" i="1"/>
  <c r="J329" i="1"/>
  <c r="K329" i="1"/>
  <c r="J317" i="1"/>
  <c r="K317" i="1"/>
  <c r="J305" i="1"/>
  <c r="K305" i="1"/>
  <c r="V305" i="1" s="1"/>
  <c r="J293" i="1"/>
  <c r="K293" i="1"/>
  <c r="V293" i="1" s="1"/>
  <c r="J281" i="1"/>
  <c r="K281" i="1"/>
  <c r="J269" i="1"/>
  <c r="K269" i="1"/>
  <c r="J257" i="1"/>
  <c r="K257" i="1"/>
  <c r="V257" i="1" s="1"/>
  <c r="J245" i="1"/>
  <c r="K245" i="1"/>
  <c r="Q245" i="1" s="1"/>
  <c r="J233" i="1"/>
  <c r="K233" i="1"/>
  <c r="J221" i="1"/>
  <c r="K221" i="1"/>
  <c r="J210" i="1"/>
  <c r="K210" i="1"/>
  <c r="V210" i="1" s="1"/>
  <c r="J198" i="1"/>
  <c r="K198" i="1"/>
  <c r="J186" i="1"/>
  <c r="K186" i="1"/>
  <c r="J174" i="1"/>
  <c r="K174" i="1"/>
  <c r="V174" i="1" s="1"/>
  <c r="J162" i="1"/>
  <c r="K162" i="1"/>
  <c r="J150" i="1"/>
  <c r="K150" i="1"/>
  <c r="V150" i="1" s="1"/>
  <c r="J138" i="1"/>
  <c r="K138" i="1"/>
  <c r="V138" i="1" s="1"/>
  <c r="J126" i="1"/>
  <c r="K126" i="1"/>
  <c r="J114" i="1"/>
  <c r="K114" i="1"/>
  <c r="V114" i="1" s="1"/>
  <c r="J102" i="1"/>
  <c r="K102" i="1"/>
  <c r="J90" i="1"/>
  <c r="K90" i="1"/>
  <c r="Q90" i="1" s="1"/>
  <c r="J78" i="1"/>
  <c r="K78" i="1"/>
  <c r="V78" i="1" s="1"/>
  <c r="J66" i="1"/>
  <c r="K66" i="1"/>
  <c r="Q66" i="1" s="1"/>
  <c r="J54" i="1"/>
  <c r="K54" i="1"/>
  <c r="V54" i="1" s="1"/>
  <c r="J42" i="1"/>
  <c r="K42" i="1"/>
  <c r="Q42" i="1" s="1"/>
  <c r="J30" i="1"/>
  <c r="K30" i="1"/>
  <c r="V30" i="1" s="1"/>
  <c r="J18" i="1"/>
  <c r="K18" i="1"/>
  <c r="V18" i="1" s="1"/>
  <c r="J6" i="1"/>
  <c r="K6" i="1"/>
  <c r="V6" i="1" s="1"/>
  <c r="K203" i="1"/>
  <c r="V203" i="1" s="1"/>
  <c r="K179" i="1"/>
  <c r="V179" i="1" s="1"/>
  <c r="K155" i="1"/>
  <c r="V155" i="1" s="1"/>
  <c r="K131" i="1"/>
  <c r="K107" i="1"/>
  <c r="V107" i="1" s="1"/>
  <c r="K83" i="1"/>
  <c r="V83" i="1" s="1"/>
  <c r="K59" i="1"/>
  <c r="Q59" i="1" s="1"/>
  <c r="K406" i="1"/>
  <c r="Q406" i="1" s="1"/>
  <c r="J992" i="1"/>
  <c r="K992" i="1"/>
  <c r="J896" i="1"/>
  <c r="K896" i="1"/>
  <c r="J812" i="1"/>
  <c r="K812" i="1"/>
  <c r="V812" i="1" s="1"/>
  <c r="J620" i="1"/>
  <c r="K620" i="1"/>
  <c r="J999" i="1"/>
  <c r="K999" i="1"/>
  <c r="V999" i="1" s="1"/>
  <c r="J987" i="1"/>
  <c r="K987" i="1"/>
  <c r="V987" i="1" s="1"/>
  <c r="J975" i="1"/>
  <c r="K975" i="1"/>
  <c r="J963" i="1"/>
  <c r="K963" i="1"/>
  <c r="J951" i="1"/>
  <c r="K951" i="1"/>
  <c r="J939" i="1"/>
  <c r="K939" i="1"/>
  <c r="J927" i="1"/>
  <c r="K927" i="1"/>
  <c r="J915" i="1"/>
  <c r="K915" i="1"/>
  <c r="J903" i="1"/>
  <c r="K903" i="1"/>
  <c r="J891" i="1"/>
  <c r="K891" i="1"/>
  <c r="J879" i="1"/>
  <c r="K879" i="1"/>
  <c r="V879" i="1" s="1"/>
  <c r="J867" i="1"/>
  <c r="K867" i="1"/>
  <c r="J855" i="1"/>
  <c r="K855" i="1"/>
  <c r="J843" i="1"/>
  <c r="K843" i="1"/>
  <c r="J831" i="1"/>
  <c r="K831" i="1"/>
  <c r="J819" i="1"/>
  <c r="K819" i="1"/>
  <c r="J807" i="1"/>
  <c r="K807" i="1"/>
  <c r="J795" i="1"/>
  <c r="K795" i="1"/>
  <c r="Q795" i="1" s="1"/>
  <c r="J783" i="1"/>
  <c r="K783" i="1"/>
  <c r="V783" i="1" s="1"/>
  <c r="J771" i="1"/>
  <c r="K771" i="1"/>
  <c r="V771" i="1" s="1"/>
  <c r="J759" i="1"/>
  <c r="K759" i="1"/>
  <c r="V759" i="1" s="1"/>
  <c r="J747" i="1"/>
  <c r="K747" i="1"/>
  <c r="V747" i="1" s="1"/>
  <c r="J735" i="1"/>
  <c r="K735" i="1"/>
  <c r="J723" i="1"/>
  <c r="K723" i="1"/>
  <c r="J711" i="1"/>
  <c r="K711" i="1"/>
  <c r="V711" i="1" s="1"/>
  <c r="J699" i="1"/>
  <c r="K699" i="1"/>
  <c r="J687" i="1"/>
  <c r="K687" i="1"/>
  <c r="V687" i="1" s="1"/>
  <c r="J675" i="1"/>
  <c r="K675" i="1"/>
  <c r="J663" i="1"/>
  <c r="K663" i="1"/>
  <c r="V663" i="1" s="1"/>
  <c r="J651" i="1"/>
  <c r="K651" i="1"/>
  <c r="J639" i="1"/>
  <c r="K639" i="1"/>
  <c r="J627" i="1"/>
  <c r="K627" i="1"/>
  <c r="V627" i="1" s="1"/>
  <c r="J615" i="1"/>
  <c r="K615" i="1"/>
  <c r="V615" i="1" s="1"/>
  <c r="J603" i="1"/>
  <c r="K603" i="1"/>
  <c r="J591" i="1"/>
  <c r="K591" i="1"/>
  <c r="J579" i="1"/>
  <c r="K579" i="1"/>
  <c r="J567" i="1"/>
  <c r="K567" i="1"/>
  <c r="V567" i="1" s="1"/>
  <c r="J556" i="1"/>
  <c r="K556" i="1"/>
  <c r="J544" i="1"/>
  <c r="K544" i="1"/>
  <c r="J532" i="1"/>
  <c r="K532" i="1"/>
  <c r="V532" i="1" s="1"/>
  <c r="J520" i="1"/>
  <c r="K520" i="1"/>
  <c r="J508" i="1"/>
  <c r="K508" i="1"/>
  <c r="V508" i="1" s="1"/>
  <c r="J496" i="1"/>
  <c r="K496" i="1"/>
  <c r="J484" i="1"/>
  <c r="K484" i="1"/>
  <c r="V484" i="1" s="1"/>
  <c r="J472" i="1"/>
  <c r="K472" i="1"/>
  <c r="V472" i="1" s="1"/>
  <c r="J460" i="1"/>
  <c r="K460" i="1"/>
  <c r="V460" i="1" s="1"/>
  <c r="J448" i="1"/>
  <c r="K448" i="1"/>
  <c r="J436" i="1"/>
  <c r="K436" i="1"/>
  <c r="V436" i="1" s="1"/>
  <c r="J424" i="1"/>
  <c r="K424" i="1"/>
  <c r="J412" i="1"/>
  <c r="K412" i="1"/>
  <c r="V412" i="1" s="1"/>
  <c r="J400" i="1"/>
  <c r="K400" i="1"/>
  <c r="J388" i="1"/>
  <c r="K388" i="1"/>
  <c r="J376" i="1"/>
  <c r="K376" i="1"/>
  <c r="J364" i="1"/>
  <c r="K364" i="1"/>
  <c r="V364" i="1" s="1"/>
  <c r="J352" i="1"/>
  <c r="K352" i="1"/>
  <c r="V352" i="1" s="1"/>
  <c r="J340" i="1"/>
  <c r="K340" i="1"/>
  <c r="V340" i="1" s="1"/>
  <c r="J328" i="1"/>
  <c r="K328" i="1"/>
  <c r="J316" i="1"/>
  <c r="K316" i="1"/>
  <c r="V316" i="1" s="1"/>
  <c r="J304" i="1"/>
  <c r="K304" i="1"/>
  <c r="J292" i="1"/>
  <c r="K292" i="1"/>
  <c r="J280" i="1"/>
  <c r="K280" i="1"/>
  <c r="J268" i="1"/>
  <c r="K268" i="1"/>
  <c r="V268" i="1" s="1"/>
  <c r="J256" i="1"/>
  <c r="K256" i="1"/>
  <c r="Q256" i="1" s="1"/>
  <c r="J244" i="1"/>
  <c r="K244" i="1"/>
  <c r="V244" i="1" s="1"/>
  <c r="J232" i="1"/>
  <c r="K232" i="1"/>
  <c r="Q232" i="1" s="1"/>
  <c r="J220" i="1"/>
  <c r="K220" i="1"/>
  <c r="J209" i="1"/>
  <c r="K209" i="1"/>
  <c r="V209" i="1" s="1"/>
  <c r="J197" i="1"/>
  <c r="K197" i="1"/>
  <c r="J185" i="1"/>
  <c r="K185" i="1"/>
  <c r="V185" i="1" s="1"/>
  <c r="J173" i="1"/>
  <c r="K173" i="1"/>
  <c r="V173" i="1" s="1"/>
  <c r="J161" i="1"/>
  <c r="K161" i="1"/>
  <c r="V161" i="1" s="1"/>
  <c r="J149" i="1"/>
  <c r="K149" i="1"/>
  <c r="Q149" i="1" s="1"/>
  <c r="J137" i="1"/>
  <c r="K137" i="1"/>
  <c r="J125" i="1"/>
  <c r="K125" i="1"/>
  <c r="J113" i="1"/>
  <c r="K113" i="1"/>
  <c r="V113" i="1" s="1"/>
  <c r="J101" i="1"/>
  <c r="K101" i="1"/>
  <c r="V101" i="1" s="1"/>
  <c r="J89" i="1"/>
  <c r="K89" i="1"/>
  <c r="J77" i="1"/>
  <c r="K77" i="1"/>
  <c r="J65" i="1"/>
  <c r="K65" i="1"/>
  <c r="Q65" i="1" s="1"/>
  <c r="J53" i="1"/>
  <c r="K53" i="1"/>
  <c r="J41" i="1"/>
  <c r="K41" i="1"/>
  <c r="V41" i="1" s="1"/>
  <c r="J29" i="1"/>
  <c r="K29" i="1"/>
  <c r="V29" i="1" s="1"/>
  <c r="J17" i="1"/>
  <c r="K17" i="1"/>
  <c r="V17" i="1" s="1"/>
  <c r="J5" i="1"/>
  <c r="K538" i="1"/>
  <c r="K514" i="1"/>
  <c r="V514" i="1" s="1"/>
  <c r="K490" i="1"/>
  <c r="Q490" i="1" s="1"/>
  <c r="K466" i="1"/>
  <c r="K442" i="1"/>
  <c r="K418" i="1"/>
  <c r="V418" i="1" s="1"/>
  <c r="K394" i="1"/>
  <c r="K370" i="1"/>
  <c r="K346" i="1"/>
  <c r="Q346" i="1" s="1"/>
  <c r="K322" i="1"/>
  <c r="K298" i="1"/>
  <c r="V298" i="1" s="1"/>
  <c r="K274" i="1"/>
  <c r="V274" i="1" s="1"/>
  <c r="K250" i="1"/>
  <c r="K226" i="1"/>
  <c r="K550" i="1"/>
  <c r="Q550" i="1" s="1"/>
  <c r="K478" i="1"/>
  <c r="K358" i="1"/>
  <c r="K262" i="1"/>
  <c r="V262" i="1" s="1"/>
  <c r="J956" i="1"/>
  <c r="K956" i="1"/>
  <c r="J908" i="1"/>
  <c r="K908" i="1"/>
  <c r="V908" i="1" s="1"/>
  <c r="J824" i="1"/>
  <c r="K824" i="1"/>
  <c r="J632" i="1"/>
  <c r="K632" i="1"/>
  <c r="Q632" i="1" s="1"/>
  <c r="J555" i="1"/>
  <c r="K555" i="1"/>
  <c r="V555" i="1" s="1"/>
  <c r="J543" i="1"/>
  <c r="K543" i="1"/>
  <c r="J531" i="1"/>
  <c r="K531" i="1"/>
  <c r="V531" i="1" s="1"/>
  <c r="J519" i="1"/>
  <c r="K519" i="1"/>
  <c r="J507" i="1"/>
  <c r="K507" i="1"/>
  <c r="Q507" i="1" s="1"/>
  <c r="J495" i="1"/>
  <c r="K495" i="1"/>
  <c r="V495" i="1" s="1"/>
  <c r="J483" i="1"/>
  <c r="K483" i="1"/>
  <c r="V483" i="1" s="1"/>
  <c r="J471" i="1"/>
  <c r="K471" i="1"/>
  <c r="J459" i="1"/>
  <c r="K459" i="1"/>
  <c r="J447" i="1"/>
  <c r="K447" i="1"/>
  <c r="J435" i="1"/>
  <c r="K435" i="1"/>
  <c r="J423" i="1"/>
  <c r="K423" i="1"/>
  <c r="V423" i="1" s="1"/>
  <c r="J411" i="1"/>
  <c r="K411" i="1"/>
  <c r="J399" i="1"/>
  <c r="K399" i="1"/>
  <c r="J387" i="1"/>
  <c r="K387" i="1"/>
  <c r="J375" i="1"/>
  <c r="K375" i="1"/>
  <c r="J363" i="1"/>
  <c r="K363" i="1"/>
  <c r="Q363" i="1" s="1"/>
  <c r="J351" i="1"/>
  <c r="K351" i="1"/>
  <c r="J339" i="1"/>
  <c r="K339" i="1"/>
  <c r="V339" i="1" s="1"/>
  <c r="J327" i="1"/>
  <c r="K327" i="1"/>
  <c r="J315" i="1"/>
  <c r="K315" i="1"/>
  <c r="V315" i="1" s="1"/>
  <c r="J303" i="1"/>
  <c r="K303" i="1"/>
  <c r="V303" i="1" s="1"/>
  <c r="J291" i="1"/>
  <c r="K291" i="1"/>
  <c r="J279" i="1"/>
  <c r="K279" i="1"/>
  <c r="J267" i="1"/>
  <c r="K267" i="1"/>
  <c r="J255" i="1"/>
  <c r="K255" i="1"/>
  <c r="J243" i="1"/>
  <c r="K243" i="1"/>
  <c r="V243" i="1" s="1"/>
  <c r="J231" i="1"/>
  <c r="K231" i="1"/>
  <c r="J219" i="1"/>
  <c r="K219" i="1"/>
  <c r="J208" i="1"/>
  <c r="K208" i="1"/>
  <c r="V208" i="1" s="1"/>
  <c r="J196" i="1"/>
  <c r="K196" i="1"/>
  <c r="J184" i="1"/>
  <c r="K184" i="1"/>
  <c r="J172" i="1"/>
  <c r="K172" i="1"/>
  <c r="V172" i="1" s="1"/>
  <c r="J160" i="1"/>
  <c r="K160" i="1"/>
  <c r="J148" i="1"/>
  <c r="K148" i="1"/>
  <c r="J136" i="1"/>
  <c r="K136" i="1"/>
  <c r="J124" i="1"/>
  <c r="K124" i="1"/>
  <c r="J112" i="1"/>
  <c r="K112" i="1"/>
  <c r="V112" i="1" s="1"/>
  <c r="J100" i="1"/>
  <c r="K100" i="1"/>
  <c r="J88" i="1"/>
  <c r="K88" i="1"/>
  <c r="J76" i="1"/>
  <c r="K76" i="1"/>
  <c r="V76" i="1" s="1"/>
  <c r="J64" i="1"/>
  <c r="K64" i="1"/>
  <c r="J52" i="1"/>
  <c r="K52" i="1"/>
  <c r="J40" i="1"/>
  <c r="K40" i="1"/>
  <c r="V40" i="1" s="1"/>
  <c r="J28" i="1"/>
  <c r="K28" i="1"/>
  <c r="J16" i="1"/>
  <c r="K16" i="1"/>
  <c r="V16" i="1" s="1"/>
  <c r="J4" i="1"/>
  <c r="K993" i="1"/>
  <c r="K969" i="1"/>
  <c r="V969" i="1" s="1"/>
  <c r="K945" i="1"/>
  <c r="K921" i="1"/>
  <c r="Q921" i="1" s="1"/>
  <c r="K897" i="1"/>
  <c r="Q897" i="1" s="1"/>
  <c r="K873" i="1"/>
  <c r="V873" i="1" s="1"/>
  <c r="K849" i="1"/>
  <c r="K825" i="1"/>
  <c r="Q825" i="1" s="1"/>
  <c r="K801" i="1"/>
  <c r="K777" i="1"/>
  <c r="Q777" i="1" s="1"/>
  <c r="K753" i="1"/>
  <c r="Q753" i="1" s="1"/>
  <c r="K729" i="1"/>
  <c r="K705" i="1"/>
  <c r="K681" i="1"/>
  <c r="K657" i="1"/>
  <c r="K633" i="1"/>
  <c r="V633" i="1" s="1"/>
  <c r="K609" i="1"/>
  <c r="Q609" i="1" s="1"/>
  <c r="K585" i="1"/>
  <c r="V585" i="1" s="1"/>
  <c r="K561" i="1"/>
  <c r="K537" i="1"/>
  <c r="V537" i="1" s="1"/>
  <c r="K513" i="1"/>
  <c r="K489" i="1"/>
  <c r="Q489" i="1" s="1"/>
  <c r="K465" i="1"/>
  <c r="V465" i="1" s="1"/>
  <c r="K441" i="1"/>
  <c r="V441" i="1" s="1"/>
  <c r="K201" i="1"/>
  <c r="Q201" i="1" s="1"/>
  <c r="K212" i="1"/>
  <c r="K200" i="1"/>
  <c r="V200" i="1" s="1"/>
  <c r="K188" i="1"/>
  <c r="K176" i="1"/>
  <c r="K164" i="1"/>
  <c r="K152" i="1"/>
  <c r="K140" i="1"/>
  <c r="K128" i="1"/>
  <c r="V128" i="1" s="1"/>
  <c r="K116" i="1"/>
  <c r="V116" i="1" s="1"/>
  <c r="K104" i="1"/>
  <c r="K92" i="1"/>
  <c r="K80" i="1"/>
  <c r="K68" i="1"/>
  <c r="Q68" i="1" s="1"/>
  <c r="K56" i="1"/>
  <c r="K44" i="1"/>
  <c r="K32" i="1"/>
  <c r="K20" i="1"/>
  <c r="K8" i="1"/>
  <c r="V8" i="1" s="1"/>
  <c r="K415" i="1"/>
  <c r="V415" i="1" s="1"/>
  <c r="K403" i="1"/>
  <c r="K391" i="1"/>
  <c r="V391" i="1" s="1"/>
  <c r="K379" i="1"/>
  <c r="K367" i="1"/>
  <c r="V367" i="1" s="1"/>
  <c r="K355" i="1"/>
  <c r="K343" i="1"/>
  <c r="K331" i="1"/>
  <c r="K319" i="1"/>
  <c r="V319" i="1" s="1"/>
  <c r="K307" i="1"/>
  <c r="K295" i="1"/>
  <c r="K283" i="1"/>
  <c r="K271" i="1"/>
  <c r="K259" i="1"/>
  <c r="V259" i="1" s="1"/>
  <c r="K247" i="1"/>
  <c r="V247" i="1" s="1"/>
  <c r="K235" i="1"/>
  <c r="V235" i="1" s="1"/>
  <c r="K223" i="1"/>
  <c r="K43" i="1"/>
  <c r="K31" i="1"/>
  <c r="V31" i="1" s="1"/>
  <c r="K19" i="1"/>
  <c r="V19" i="1" s="1"/>
  <c r="K7" i="1"/>
  <c r="B14" i="7" l="1"/>
  <c r="B12" i="7"/>
  <c r="J12" i="9"/>
  <c r="P3" i="9"/>
  <c r="E22" i="9"/>
  <c r="E5" i="9"/>
  <c r="E4" i="9"/>
  <c r="E3" i="9"/>
  <c r="E9" i="9"/>
  <c r="E8" i="9"/>
  <c r="E7" i="9"/>
  <c r="E6" i="9"/>
  <c r="W2" i="1"/>
  <c r="B7" i="9"/>
  <c r="B6" i="9"/>
  <c r="P4" i="9"/>
  <c r="V551" i="1"/>
  <c r="V175" i="1"/>
  <c r="V82" i="1"/>
  <c r="V492" i="1"/>
  <c r="V722" i="1"/>
  <c r="V193" i="1"/>
  <c r="V795" i="1"/>
  <c r="Q141" i="1"/>
  <c r="V429" i="1"/>
  <c r="Q407" i="1"/>
  <c r="V739" i="1"/>
  <c r="V636" i="1"/>
  <c r="Q575" i="1"/>
  <c r="V346" i="1"/>
  <c r="V322" i="1"/>
  <c r="V829" i="1"/>
  <c r="V862" i="1"/>
  <c r="Q2" i="1"/>
  <c r="Q106" i="1"/>
  <c r="V21" i="1"/>
  <c r="V178" i="1"/>
  <c r="V410" i="1"/>
  <c r="V266" i="1"/>
  <c r="Q48" i="1"/>
  <c r="V626" i="1"/>
  <c r="V835" i="1"/>
  <c r="V154" i="1"/>
  <c r="Q614" i="1"/>
  <c r="Q342" i="1"/>
  <c r="V713" i="1"/>
  <c r="V785" i="1"/>
  <c r="V857" i="1"/>
  <c r="V848" i="1"/>
  <c r="V494" i="1"/>
  <c r="V516" i="1"/>
  <c r="V729" i="1"/>
  <c r="V690" i="1"/>
  <c r="V192" i="1"/>
  <c r="V149" i="1"/>
  <c r="V898" i="1"/>
  <c r="V237" i="1"/>
  <c r="V960" i="1"/>
  <c r="V411" i="1"/>
  <c r="V944" i="1"/>
  <c r="V440" i="1"/>
  <c r="V581" i="1"/>
  <c r="V283" i="1"/>
  <c r="V184" i="1"/>
  <c r="V498" i="1"/>
  <c r="Q125" i="1"/>
  <c r="V820" i="1"/>
  <c r="V501" i="1"/>
  <c r="Q350" i="1"/>
  <c r="V824" i="1"/>
  <c r="Q949" i="1"/>
  <c r="V376" i="1"/>
  <c r="V601" i="1"/>
  <c r="Q662" i="1"/>
  <c r="V275" i="1"/>
  <c r="V839" i="1"/>
  <c r="V614" i="1"/>
  <c r="V100" i="1"/>
  <c r="V233" i="1"/>
  <c r="V39" i="1"/>
  <c r="V337" i="1"/>
  <c r="V358" i="1"/>
  <c r="V96" i="1"/>
  <c r="V550" i="1"/>
  <c r="Q478" i="1"/>
  <c r="Q730" i="1"/>
  <c r="V587" i="1"/>
  <c r="W206" i="1"/>
  <c r="V433" i="1"/>
  <c r="V996" i="1"/>
  <c r="Q386" i="1"/>
  <c r="V171" i="1"/>
  <c r="Q714" i="1"/>
  <c r="V23" i="1"/>
  <c r="V385" i="1"/>
  <c r="Q933" i="1"/>
  <c r="V709" i="1"/>
  <c r="Q146" i="1"/>
  <c r="V549" i="1"/>
  <c r="V819" i="1"/>
  <c r="V518" i="1"/>
  <c r="Q530" i="1"/>
  <c r="Q760" i="1"/>
  <c r="V882" i="1"/>
  <c r="V841" i="1"/>
  <c r="V609" i="1"/>
  <c r="W651" i="1"/>
  <c r="V631" i="1"/>
  <c r="Q719" i="1"/>
  <c r="V635" i="1"/>
  <c r="Q674" i="1"/>
  <c r="Q542" i="1"/>
  <c r="V976" i="1"/>
  <c r="V612" i="1"/>
  <c r="V761" i="1"/>
  <c r="V92" i="1"/>
  <c r="V448" i="1"/>
  <c r="V520" i="1"/>
  <c r="Q864" i="1"/>
  <c r="V307" i="1"/>
  <c r="V258" i="1"/>
  <c r="V330" i="1"/>
  <c r="V463" i="1"/>
  <c r="W182" i="1"/>
  <c r="V361" i="1"/>
  <c r="V265" i="1"/>
  <c r="V541" i="1"/>
  <c r="V964" i="1"/>
  <c r="Q583" i="1"/>
  <c r="V481" i="1"/>
  <c r="Q124" i="1"/>
  <c r="V66" i="1"/>
  <c r="V988" i="1"/>
  <c r="V606" i="1"/>
  <c r="V620" i="1"/>
  <c r="Q88" i="1"/>
  <c r="V891" i="1"/>
  <c r="V733" i="1"/>
  <c r="V561" i="1"/>
  <c r="V450" i="1"/>
  <c r="V20" i="1"/>
  <c r="Q102" i="1"/>
  <c r="V907" i="1"/>
  <c r="V917" i="1"/>
  <c r="V227" i="1"/>
  <c r="V668" i="1"/>
  <c r="V730" i="1"/>
  <c r="V599" i="1"/>
  <c r="V861" i="1"/>
  <c r="Q197" i="1"/>
  <c r="Q536" i="1"/>
  <c r="V751" i="1"/>
  <c r="Q111" i="1"/>
  <c r="V286" i="1"/>
  <c r="Q654" i="1"/>
  <c r="V546" i="1"/>
  <c r="V927" i="1"/>
  <c r="V616" i="1"/>
  <c r="V645" i="1"/>
  <c r="V670" i="1"/>
  <c r="Q26" i="1"/>
  <c r="Q838" i="1"/>
  <c r="V487" i="1"/>
  <c r="Q688" i="1"/>
  <c r="V260" i="1"/>
  <c r="V577" i="1"/>
  <c r="V827" i="1"/>
  <c r="V792" i="1"/>
  <c r="V654" i="1"/>
  <c r="Q856" i="1"/>
  <c r="V417" i="1"/>
  <c r="V160" i="1"/>
  <c r="V896" i="1"/>
  <c r="V103" i="1"/>
  <c r="V678" i="1"/>
  <c r="V334" i="1"/>
  <c r="V578" i="1"/>
  <c r="V130" i="1"/>
  <c r="Q434" i="1"/>
  <c r="Q712" i="1"/>
  <c r="V284" i="1"/>
  <c r="V231" i="1"/>
  <c r="V129" i="1"/>
  <c r="V226" i="1"/>
  <c r="V681" i="1"/>
  <c r="Q746" i="1"/>
  <c r="V85" i="1"/>
  <c r="V50" i="1"/>
  <c r="Q913" i="1"/>
  <c r="Q734" i="1"/>
  <c r="Q801" i="1"/>
  <c r="Q315" i="1"/>
  <c r="V486" i="1"/>
  <c r="V27" i="1"/>
  <c r="V489" i="1"/>
  <c r="V347" i="1"/>
  <c r="V152" i="1"/>
  <c r="V87" i="1"/>
  <c r="V843" i="1"/>
  <c r="V317" i="1"/>
  <c r="V604" i="1"/>
  <c r="Q909" i="1"/>
  <c r="Q479" i="1"/>
  <c r="V482" i="1"/>
  <c r="Q470" i="1"/>
  <c r="V140" i="1"/>
  <c r="V404" i="1"/>
  <c r="V613" i="1"/>
  <c r="V12" i="1"/>
  <c r="V280" i="1"/>
  <c r="V77" i="1"/>
  <c r="Q559" i="1"/>
  <c r="Q131" i="1"/>
  <c r="V198" i="1"/>
  <c r="Q847" i="1"/>
  <c r="Q661" i="1"/>
  <c r="V971" i="1"/>
  <c r="Q158" i="1"/>
  <c r="V216" i="1"/>
  <c r="V887" i="1"/>
  <c r="V168" i="1"/>
  <c r="V864" i="1"/>
  <c r="Q379" i="1"/>
  <c r="Q502" i="1"/>
  <c r="Q899" i="1"/>
  <c r="V583" i="1"/>
  <c r="V831" i="1"/>
  <c r="V327" i="1"/>
  <c r="V600" i="1"/>
  <c r="Q368" i="1"/>
  <c r="V86" i="1"/>
  <c r="V392" i="1"/>
  <c r="V959" i="1"/>
  <c r="Q953" i="1"/>
  <c r="V403" i="1"/>
  <c r="Q7" i="1"/>
  <c r="V832" i="1"/>
  <c r="V332" i="1"/>
  <c r="Q985" i="1"/>
  <c r="Q520" i="1"/>
  <c r="V468" i="1"/>
  <c r="V182" i="1"/>
  <c r="V569" i="1"/>
  <c r="Q595" i="1"/>
  <c r="Q142" i="1"/>
  <c r="Q675" i="1"/>
  <c r="Q151" i="1"/>
  <c r="V270" i="1"/>
  <c r="V559" i="1"/>
  <c r="V885" i="1"/>
  <c r="Q798" i="1"/>
  <c r="V64" i="1"/>
  <c r="Q32" i="1"/>
  <c r="V665" i="1"/>
  <c r="V657" i="1"/>
  <c r="Q378" i="1"/>
  <c r="V965" i="1"/>
  <c r="Q272" i="1"/>
  <c r="V919" i="1"/>
  <c r="V219" i="1"/>
  <c r="V854" i="1"/>
  <c r="V979" i="1"/>
  <c r="V133" i="1"/>
  <c r="Q310" i="1"/>
  <c r="V89" i="1"/>
  <c r="Q210" i="1"/>
  <c r="V281" i="1"/>
  <c r="V931" i="1"/>
  <c r="Q901" i="1"/>
  <c r="V249" i="1"/>
  <c r="Q998" i="1"/>
  <c r="Q252" i="1"/>
  <c r="V232" i="1"/>
  <c r="Q630" i="1"/>
  <c r="Q561" i="1"/>
  <c r="V229" i="1"/>
  <c r="Q196" i="1"/>
  <c r="V162" i="1"/>
  <c r="Q836" i="1"/>
  <c r="Q471" i="1"/>
  <c r="V211" i="1"/>
  <c r="V642" i="1"/>
  <c r="V935" i="1"/>
  <c r="V60" i="1"/>
  <c r="Q62" i="1"/>
  <c r="V952" i="1"/>
  <c r="Q221" i="1"/>
  <c r="Q727" i="1"/>
  <c r="Q513" i="1"/>
  <c r="Q881" i="1"/>
  <c r="Q772" i="1"/>
  <c r="V712" i="1"/>
  <c r="V946" i="1"/>
  <c r="Q56" i="1"/>
  <c r="V515" i="1"/>
  <c r="V803" i="1"/>
  <c r="V88" i="1"/>
  <c r="V939" i="1"/>
  <c r="V369" i="1"/>
  <c r="Q945" i="1"/>
  <c r="Q723" i="1"/>
  <c r="V867" i="1"/>
  <c r="V80" i="1"/>
  <c r="Q993" i="1"/>
  <c r="V291" i="1"/>
  <c r="V905" i="1"/>
  <c r="V523" i="1"/>
  <c r="Q970" i="1"/>
  <c r="V106" i="1"/>
  <c r="V634" i="1"/>
  <c r="V834" i="1"/>
  <c r="V767" i="1"/>
  <c r="Q923" i="1"/>
  <c r="Q421" i="1"/>
  <c r="Q278" i="1"/>
  <c r="V336" i="1"/>
  <c r="V416" i="1"/>
  <c r="V473" i="1"/>
  <c r="W295" i="1"/>
  <c r="W788" i="1"/>
  <c r="Q853" i="1"/>
  <c r="Q58" i="1"/>
  <c r="V510" i="1"/>
  <c r="Q135" i="1"/>
  <c r="V696" i="1"/>
  <c r="Q715" i="1"/>
  <c r="V653" i="1"/>
  <c r="V188" i="1"/>
  <c r="V903" i="1"/>
  <c r="Q983" i="1"/>
  <c r="V934" i="1"/>
  <c r="V776" i="1"/>
  <c r="Q377" i="1"/>
  <c r="Q594" i="1"/>
  <c r="Q54" i="1"/>
  <c r="Q148" i="1"/>
  <c r="Q708" i="1"/>
  <c r="Q180" i="1"/>
  <c r="V215" i="1"/>
  <c r="V897" i="1"/>
  <c r="Q764" i="1"/>
  <c r="Q254" i="1"/>
  <c r="Q812" i="1"/>
  <c r="Q692" i="1"/>
  <c r="V719" i="1"/>
  <c r="V710" i="1"/>
  <c r="V125" i="1"/>
  <c r="V920" i="1"/>
  <c r="Q464" i="1"/>
  <c r="Q285" i="1"/>
  <c r="V941" i="1"/>
  <c r="Q475" i="1"/>
  <c r="Q52" i="1"/>
  <c r="Q555" i="1"/>
  <c r="Q593" i="1"/>
  <c r="Q988" i="1"/>
  <c r="Q398" i="1"/>
  <c r="Q548" i="1"/>
  <c r="Q691" i="1"/>
  <c r="Q163" i="1"/>
  <c r="Q36" i="1"/>
  <c r="V536" i="1"/>
  <c r="V279" i="1"/>
  <c r="Q91" i="1"/>
  <c r="Q129" i="1"/>
  <c r="V454" i="1"/>
  <c r="Q171" i="1"/>
  <c r="Q70" i="1"/>
  <c r="V35" i="1"/>
  <c r="V117" i="1"/>
  <c r="V204" i="1"/>
  <c r="Q517" i="1"/>
  <c r="V381" i="1"/>
  <c r="V801" i="1"/>
  <c r="V726" i="1"/>
  <c r="V552" i="1"/>
  <c r="Q460" i="1"/>
  <c r="V143" i="1"/>
  <c r="Q92" i="1"/>
  <c r="Q848" i="1"/>
  <c r="Q529" i="1"/>
  <c r="Q819" i="1"/>
  <c r="V312" i="1"/>
  <c r="V338" i="1"/>
  <c r="V431" i="1"/>
  <c r="Q271" i="1"/>
  <c r="V544" i="1"/>
  <c r="V886" i="1"/>
  <c r="V289" i="1"/>
  <c r="Q382" i="1"/>
  <c r="V335" i="1"/>
  <c r="Q28" i="1"/>
  <c r="V414" i="1"/>
  <c r="Q282" i="1"/>
  <c r="Q426" i="1"/>
  <c r="V252" i="1"/>
  <c r="V838" i="1"/>
  <c r="W696" i="1"/>
  <c r="V637" i="1"/>
  <c r="Q122" i="1"/>
  <c r="V201" i="1"/>
  <c r="Q999" i="1"/>
  <c r="V469" i="1"/>
  <c r="Q718" i="1"/>
  <c r="V949" i="1"/>
  <c r="V547" i="1"/>
  <c r="W963" i="1"/>
  <c r="Q6" i="1"/>
  <c r="Q440" i="1"/>
  <c r="V655" i="1"/>
  <c r="V693" i="1"/>
  <c r="Q702" i="1"/>
  <c r="Q647" i="1"/>
  <c r="V780" i="1"/>
  <c r="V137" i="1"/>
  <c r="V304" i="1"/>
  <c r="V328" i="1"/>
  <c r="V667" i="1"/>
  <c r="Q255" i="1"/>
  <c r="V945" i="1"/>
  <c r="V708" i="1"/>
  <c r="V191" i="1"/>
  <c r="Q139" i="1"/>
  <c r="Q786" i="1"/>
  <c r="V491" i="1"/>
  <c r="V852" i="1"/>
  <c r="V386" i="1"/>
  <c r="Q41" i="1"/>
  <c r="V662" i="1"/>
  <c r="Q731" i="1"/>
  <c r="Q831" i="1"/>
  <c r="Q924" i="1"/>
  <c r="Q283" i="1"/>
  <c r="V176" i="1"/>
  <c r="V566" i="1"/>
  <c r="V863" i="1"/>
  <c r="W327" i="1"/>
  <c r="V543" i="1"/>
  <c r="Q280" i="1"/>
  <c r="Q619" i="1"/>
  <c r="V752" i="1"/>
  <c r="Q38" i="1"/>
  <c r="V136" i="1"/>
  <c r="Q71" i="1"/>
  <c r="V70" i="1"/>
  <c r="Q857" i="1"/>
  <c r="V790" i="1"/>
  <c r="Q480" i="1"/>
  <c r="Q93" i="1"/>
  <c r="V902" i="1"/>
  <c r="Q579" i="1"/>
  <c r="Q557" i="1"/>
  <c r="Q584" i="1"/>
  <c r="V325" i="1"/>
  <c r="Q493" i="1"/>
  <c r="Q266" i="1"/>
  <c r="Q218" i="1"/>
  <c r="V71" i="1"/>
  <c r="V282" i="1"/>
  <c r="V421" i="1"/>
  <c r="Q942" i="1"/>
  <c r="V947" i="1"/>
  <c r="Q850" i="1"/>
  <c r="Q459" i="1"/>
  <c r="Q804" i="1"/>
  <c r="V256" i="1"/>
  <c r="V401" i="1"/>
  <c r="Q957" i="1"/>
  <c r="Q672" i="1"/>
  <c r="V478" i="1"/>
  <c r="V397" i="1"/>
  <c r="Q641" i="1"/>
  <c r="Q442" i="1"/>
  <c r="V351" i="1"/>
  <c r="Q698" i="1"/>
  <c r="V538" i="1"/>
  <c r="Q824" i="1"/>
  <c r="Q827" i="1"/>
  <c r="V564" i="1"/>
  <c r="Q178" i="1"/>
  <c r="V691" i="1"/>
  <c r="Q306" i="1"/>
  <c r="Q212" i="1"/>
  <c r="Q292" i="1"/>
  <c r="V643" i="1"/>
  <c r="Q465" i="1"/>
  <c r="V573" i="1"/>
  <c r="V899" i="1"/>
  <c r="V956" i="1"/>
  <c r="V529" i="1"/>
  <c r="V426" i="1"/>
  <c r="Q870" i="1"/>
  <c r="Q768" i="1"/>
  <c r="W733" i="1"/>
  <c r="Q456" i="1"/>
  <c r="Q203" i="1"/>
  <c r="V530" i="1"/>
  <c r="Q830" i="1"/>
  <c r="Q307" i="1"/>
  <c r="V737" i="1"/>
  <c r="Q755" i="1"/>
  <c r="Q877" i="1"/>
  <c r="Q914" i="1"/>
  <c r="Q314" i="1"/>
  <c r="Q616" i="1"/>
  <c r="Q51" i="1"/>
  <c r="Q251" i="1"/>
  <c r="V1000" i="1"/>
  <c r="V875" i="1"/>
  <c r="Q11" i="1"/>
  <c r="Q648" i="1"/>
  <c r="V632" i="1"/>
  <c r="V439" i="1"/>
  <c r="V590" i="1"/>
  <c r="V788" i="1"/>
  <c r="Q293" i="1"/>
  <c r="Q387" i="1"/>
  <c r="V793" i="1"/>
  <c r="Q954" i="1"/>
  <c r="V132" i="1"/>
  <c r="Q31" i="1"/>
  <c r="V131" i="1"/>
  <c r="V126" i="1"/>
  <c r="Q198" i="1"/>
  <c r="V488" i="1"/>
  <c r="V991" i="1"/>
  <c r="Q781" i="1"/>
  <c r="V135" i="1"/>
  <c r="V399" i="1"/>
  <c r="W607" i="1"/>
  <c r="Q467" i="1"/>
  <c r="V447" i="1"/>
  <c r="Q200" i="1"/>
  <c r="Q677" i="1"/>
  <c r="V821" i="1"/>
  <c r="Q882" i="1"/>
  <c r="W276" i="1"/>
  <c r="Q355" i="1"/>
  <c r="Q462" i="1"/>
  <c r="Q689" i="1"/>
  <c r="Q728" i="1"/>
  <c r="Q922" i="1"/>
  <c r="Q623" i="1"/>
  <c r="V170" i="1"/>
  <c r="V94" i="1"/>
  <c r="Q576" i="1"/>
  <c r="Q828" i="1"/>
  <c r="Q223" i="1"/>
  <c r="W765" i="1"/>
  <c r="W800" i="1"/>
  <c r="W120" i="1"/>
  <c r="Q239" i="1"/>
  <c r="V640" i="1"/>
  <c r="Q538" i="1"/>
  <c r="V924" i="1"/>
  <c r="Q150" i="1"/>
  <c r="V169" i="1"/>
  <c r="V853" i="1"/>
  <c r="Q820" i="1"/>
  <c r="V800" i="1"/>
  <c r="V121" i="1"/>
  <c r="Q308" i="1"/>
  <c r="Q389" i="1"/>
  <c r="Q596" i="1"/>
  <c r="Q108" i="1"/>
  <c r="W889" i="1"/>
  <c r="Q264" i="1"/>
  <c r="V680" i="1"/>
  <c r="V55" i="1"/>
  <c r="Q44" i="1"/>
  <c r="Q209" i="1"/>
  <c r="Q329" i="1"/>
  <c r="V878" i="1"/>
  <c r="V970" i="1"/>
  <c r="Q784" i="1"/>
  <c r="Q411" i="1"/>
  <c r="Q965" i="1"/>
  <c r="V251" i="1"/>
  <c r="Q700" i="1"/>
  <c r="W703" i="1"/>
  <c r="Q505" i="1"/>
  <c r="Q259" i="1"/>
  <c r="V311" i="1"/>
  <c r="V223" i="1"/>
  <c r="Q395" i="1"/>
  <c r="V345" i="1"/>
  <c r="V91" i="1"/>
  <c r="Q336" i="1"/>
  <c r="V453" i="1"/>
  <c r="Q107" i="1"/>
  <c r="Q447" i="1"/>
  <c r="Q501" i="1"/>
  <c r="Q814" i="1"/>
  <c r="Q982" i="1"/>
  <c r="V513" i="1"/>
  <c r="Q75" i="1"/>
  <c r="V744" i="1"/>
  <c r="Q466" i="1"/>
  <c r="V435" i="1"/>
  <c r="Q160" i="1"/>
  <c r="Q474" i="1"/>
  <c r="V701" i="1"/>
  <c r="Q767" i="1"/>
  <c r="Q732" i="1"/>
  <c r="Q29" i="1"/>
  <c r="Q63" i="1"/>
  <c r="Y569" i="1"/>
  <c r="Q709" i="1"/>
  <c r="Q130" i="1"/>
  <c r="V694" i="1"/>
  <c r="Q620" i="1"/>
  <c r="Q84" i="1"/>
  <c r="Q126" i="1"/>
  <c r="Q43" i="1"/>
  <c r="Q274" i="1"/>
  <c r="Q966" i="1"/>
  <c r="V165" i="1"/>
  <c r="Q458" i="1"/>
  <c r="V449" i="1"/>
  <c r="V287" i="1"/>
  <c r="Q367" i="1"/>
  <c r="Q425" i="1"/>
  <c r="V356" i="1"/>
  <c r="V715" i="1"/>
  <c r="Q626" i="1"/>
  <c r="W419" i="1"/>
  <c r="Q701" i="1"/>
  <c r="V860" i="1"/>
  <c r="Q852" i="1"/>
  <c r="Q729" i="1"/>
  <c r="V591" i="1"/>
  <c r="Q402" i="1"/>
  <c r="Q834" i="1"/>
  <c r="Q973" i="1"/>
  <c r="Q381" i="1"/>
  <c r="Q817" i="1"/>
  <c r="Q833" i="1"/>
  <c r="V32" i="1"/>
  <c r="V901" i="1"/>
  <c r="Q390" i="1"/>
  <c r="V674" i="1"/>
  <c r="Q216" i="1"/>
  <c r="Y3" i="1"/>
  <c r="V407" i="1"/>
  <c r="V110" i="1"/>
  <c r="Q509" i="1"/>
  <c r="Q652" i="1"/>
  <c r="Q457" i="1"/>
  <c r="Q611" i="1"/>
  <c r="V93" i="1"/>
  <c r="V272" i="1"/>
  <c r="Q3" i="1"/>
  <c r="V702" i="1"/>
  <c r="V146" i="1"/>
  <c r="V58" i="1"/>
  <c r="Q979" i="1"/>
  <c r="Q176" i="1"/>
  <c r="V394" i="1"/>
  <c r="Q615" i="1"/>
  <c r="Q710" i="1"/>
  <c r="Q334" i="1"/>
  <c r="Q152" i="1"/>
  <c r="Q570" i="1"/>
  <c r="Q420" i="1"/>
  <c r="Q602" i="1"/>
  <c r="Q448" i="1"/>
  <c r="V177" i="1"/>
  <c r="V470" i="1"/>
  <c r="Q422" i="1"/>
  <c r="Q670" i="1"/>
  <c r="Q587" i="1"/>
  <c r="W194" i="1"/>
  <c r="V700" i="1"/>
  <c r="Q629" i="1"/>
  <c r="W247" i="1"/>
  <c r="V221" i="1"/>
  <c r="Q724" i="1"/>
  <c r="Q868" i="1"/>
  <c r="Q526" i="1"/>
  <c r="W296" i="1"/>
  <c r="Q512" i="1"/>
  <c r="Q655" i="1"/>
  <c r="W871" i="1"/>
  <c r="W254" i="1"/>
  <c r="Q554" i="1"/>
  <c r="Q46" i="1"/>
  <c r="V474" i="1"/>
  <c r="Q140" i="1"/>
  <c r="V913" i="1"/>
  <c r="Q531" i="1"/>
  <c r="Q1001" i="1"/>
  <c r="W779" i="1"/>
  <c r="Q778" i="1"/>
  <c r="Q81" i="1"/>
  <c r="Q763" i="1"/>
  <c r="Q208" i="1"/>
  <c r="Q929" i="1"/>
  <c r="Q635" i="1"/>
  <c r="Q686" i="1"/>
  <c r="V542" i="1"/>
  <c r="Q170" i="1"/>
  <c r="Q112" i="1"/>
  <c r="Q498" i="1"/>
  <c r="Q581" i="1"/>
  <c r="Q797" i="1"/>
  <c r="Q944" i="1"/>
  <c r="Q586" i="1"/>
  <c r="Q24" i="1"/>
  <c r="Q167" i="1"/>
  <c r="V762" i="1"/>
  <c r="V818" i="1"/>
  <c r="V271" i="1"/>
  <c r="Q606" i="1"/>
  <c r="Q697" i="1"/>
  <c r="Q863" i="1"/>
  <c r="W197" i="1"/>
  <c r="Q627" i="1"/>
  <c r="Q174" i="1"/>
  <c r="Q248" i="1"/>
  <c r="Y689" i="1"/>
  <c r="Y11" i="1"/>
  <c r="V396" i="1"/>
  <c r="Q214" i="1"/>
  <c r="V805" i="1"/>
  <c r="Q809" i="1"/>
  <c r="W123" i="1"/>
  <c r="Y214" i="1"/>
  <c r="Q376" i="1"/>
  <c r="Q211" i="1"/>
  <c r="Q423" i="1"/>
  <c r="V836" i="1"/>
  <c r="V658" i="1"/>
  <c r="Y773" i="1"/>
  <c r="Y471" i="1"/>
  <c r="Y910" i="1"/>
  <c r="Y456" i="1"/>
  <c r="Y922" i="1"/>
  <c r="Y212" i="1"/>
  <c r="Y107" i="1"/>
  <c r="Y664" i="1"/>
  <c r="V11" i="1"/>
  <c r="Y171" i="1"/>
  <c r="Y257" i="1"/>
  <c r="Y31" i="1"/>
  <c r="Y624" i="1"/>
  <c r="Y362" i="1"/>
  <c r="Y423" i="1"/>
  <c r="Y147" i="1"/>
  <c r="Y430" i="1"/>
  <c r="Y716" i="1"/>
  <c r="Y893" i="1"/>
  <c r="V497" i="1"/>
  <c r="Q568" i="1"/>
  <c r="Q500" i="1"/>
  <c r="V500" i="1"/>
  <c r="W455" i="1"/>
  <c r="V81" i="1"/>
  <c r="V466" i="1"/>
  <c r="Q523" i="1"/>
  <c r="V44" i="1"/>
  <c r="V877" i="1"/>
  <c r="Q721" i="1"/>
  <c r="Y507" i="1"/>
  <c r="Y663" i="1"/>
  <c r="Y819" i="1"/>
  <c r="Y975" i="1"/>
  <c r="Y364" i="1"/>
  <c r="Y182" i="1"/>
  <c r="Y54" i="1"/>
  <c r="Y270" i="1"/>
  <c r="Y427" i="1"/>
  <c r="Y583" i="1"/>
  <c r="Y871" i="1"/>
  <c r="Y491" i="1"/>
  <c r="Y269" i="1"/>
  <c r="Y414" i="1"/>
  <c r="Y726" i="1"/>
  <c r="Y918" i="1"/>
  <c r="Y538" i="1"/>
  <c r="Y553" i="1"/>
  <c r="Y635" i="1"/>
  <c r="Y848" i="1"/>
  <c r="Y419" i="1"/>
  <c r="Y55" i="1"/>
  <c r="Y740" i="1"/>
  <c r="Y361" i="1"/>
  <c r="Y56" i="1"/>
  <c r="Y344" i="1"/>
  <c r="Y633" i="1"/>
  <c r="Y598" i="1"/>
  <c r="Y625" i="1"/>
  <c r="Y527" i="1"/>
  <c r="Y335" i="1"/>
  <c r="Y828" i="1"/>
  <c r="Y217" i="1"/>
  <c r="Y865" i="1"/>
  <c r="Y818" i="1"/>
  <c r="Y758" i="1"/>
  <c r="Y434" i="1"/>
  <c r="Y889" i="1"/>
  <c r="Y437" i="1"/>
  <c r="Y916" i="1"/>
  <c r="Y304" i="1"/>
  <c r="Y797" i="1"/>
  <c r="Y711" i="1"/>
  <c r="Y291" i="1"/>
  <c r="Y198" i="1"/>
  <c r="Y41" i="1"/>
  <c r="Y582" i="1"/>
  <c r="Y454" i="1"/>
  <c r="Y813" i="1"/>
  <c r="Y913" i="1"/>
  <c r="Y652" i="1"/>
  <c r="Y88" i="1"/>
  <c r="Q613" i="1"/>
  <c r="Y739" i="1"/>
  <c r="Y298" i="1"/>
  <c r="Y21" i="1"/>
  <c r="Y984" i="1"/>
  <c r="Y501" i="1"/>
  <c r="Y24" i="1"/>
  <c r="Y612" i="1"/>
  <c r="Y289" i="1"/>
  <c r="Q57" i="1"/>
  <c r="V57" i="1"/>
  <c r="Y879" i="1"/>
  <c r="Y327" i="1"/>
  <c r="Y6" i="1"/>
  <c r="Y943" i="1"/>
  <c r="Y53" i="1"/>
  <c r="Y850" i="1"/>
  <c r="Y431" i="1"/>
  <c r="Y58" i="1"/>
  <c r="Y468" i="1"/>
  <c r="Y617" i="1"/>
  <c r="Q341" i="1"/>
  <c r="Y213" i="1"/>
  <c r="Y383" i="1"/>
  <c r="Y566" i="1"/>
  <c r="Y148" i="1"/>
  <c r="Y735" i="1"/>
  <c r="Y38" i="1"/>
  <c r="Y574" i="1"/>
  <c r="Y225" i="1"/>
  <c r="Y190" i="1"/>
  <c r="Y480" i="1"/>
  <c r="Y449" i="1"/>
  <c r="V144" i="1"/>
  <c r="Q144" i="1"/>
  <c r="Q202" i="1"/>
  <c r="Y350" i="1"/>
  <c r="Y435" i="1"/>
  <c r="Y591" i="1"/>
  <c r="Y747" i="1"/>
  <c r="Y903" i="1"/>
  <c r="Y219" i="1"/>
  <c r="Y520" i="1"/>
  <c r="Y183" i="1"/>
  <c r="Y326" i="1"/>
  <c r="Y78" i="1"/>
  <c r="Y318" i="1"/>
  <c r="Y511" i="1"/>
  <c r="Y679" i="1"/>
  <c r="Y967" i="1"/>
  <c r="Y552" i="1"/>
  <c r="Y185" i="1"/>
  <c r="Y426" i="1"/>
  <c r="Y738" i="1"/>
  <c r="Y45" i="1"/>
  <c r="Y970" i="1"/>
  <c r="Y235" i="1"/>
  <c r="Y872" i="1"/>
  <c r="Y309" i="1"/>
  <c r="Y163" i="1"/>
  <c r="Y764" i="1"/>
  <c r="Y285" i="1"/>
  <c r="Y152" i="1"/>
  <c r="Y645" i="1"/>
  <c r="Y683" i="1"/>
  <c r="Y250" i="1"/>
  <c r="Y35" i="1"/>
  <c r="Y504" i="1"/>
  <c r="Y13" i="1"/>
  <c r="Y506" i="1"/>
  <c r="Y592" i="1"/>
  <c r="Y892" i="1"/>
  <c r="Y665" i="1"/>
  <c r="Y160" i="1"/>
  <c r="Y653" i="1"/>
  <c r="Y391" i="1"/>
  <c r="Y870" i="1"/>
  <c r="Y12" i="1"/>
  <c r="Y371" i="1"/>
  <c r="Y781" i="1"/>
  <c r="Y401" i="1"/>
  <c r="Y795" i="1"/>
  <c r="Y460" i="1"/>
  <c r="Y584" i="1"/>
  <c r="Y517" i="1"/>
  <c r="Y112" i="1"/>
  <c r="Y723" i="1"/>
  <c r="Y655" i="1"/>
  <c r="Y606" i="1"/>
  <c r="Y608" i="1"/>
  <c r="Y397" i="1"/>
  <c r="Y500" i="1"/>
  <c r="Y130" i="1"/>
  <c r="Y998" i="1"/>
  <c r="Y651" i="1"/>
  <c r="Y751" i="1"/>
  <c r="Y524" i="1"/>
  <c r="Y224" i="1"/>
  <c r="Y904" i="1"/>
  <c r="V264" i="1"/>
  <c r="Y63" i="1"/>
  <c r="Y258" i="1"/>
  <c r="Y824" i="1"/>
  <c r="Y140" i="1"/>
  <c r="Y868" i="1"/>
  <c r="Q115" i="1"/>
  <c r="Q99" i="1"/>
  <c r="V99" i="1"/>
  <c r="V732" i="1"/>
  <c r="V764" i="1"/>
  <c r="Y363" i="1"/>
  <c r="Y519" i="1"/>
  <c r="Y675" i="1"/>
  <c r="Y831" i="1"/>
  <c r="Y99" i="1"/>
  <c r="Y388" i="1"/>
  <c r="V942" i="1"/>
  <c r="Y90" i="1"/>
  <c r="Y342" i="1"/>
  <c r="Y439" i="1"/>
  <c r="Y595" i="1"/>
  <c r="Y883" i="1"/>
  <c r="Y634" i="1"/>
  <c r="Y101" i="1"/>
  <c r="Y438" i="1"/>
  <c r="Y750" i="1"/>
  <c r="Y930" i="1"/>
  <c r="Y622" i="1"/>
  <c r="Y589" i="1"/>
  <c r="Y259" i="1"/>
  <c r="Y896" i="1"/>
  <c r="Y455" i="1"/>
  <c r="Y175" i="1"/>
  <c r="Y788" i="1"/>
  <c r="Y733" i="1"/>
  <c r="Y68" i="1"/>
  <c r="Y356" i="1"/>
  <c r="Y657" i="1"/>
  <c r="Y658" i="1"/>
  <c r="Y649" i="1"/>
  <c r="Y394" i="1"/>
  <c r="Y359" i="1"/>
  <c r="Y852" i="1"/>
  <c r="Y277" i="1"/>
  <c r="Y901" i="1"/>
  <c r="Y962" i="1"/>
  <c r="Y902" i="1"/>
  <c r="Y638" i="1"/>
  <c r="Y473" i="1"/>
  <c r="Y772" i="1"/>
  <c r="Y328" i="1"/>
  <c r="Y821" i="1"/>
  <c r="Y39" i="1"/>
  <c r="Y303" i="1"/>
  <c r="Y329" i="1"/>
  <c r="Y923" i="1"/>
  <c r="Y756" i="1"/>
  <c r="Y316" i="1"/>
  <c r="Y951" i="1"/>
  <c r="Y222" i="1"/>
  <c r="Y288" i="1"/>
  <c r="Y996" i="1"/>
  <c r="Y341" i="1"/>
  <c r="Y513" i="1"/>
  <c r="Y425" i="1"/>
  <c r="V584" i="1"/>
  <c r="Y807" i="1"/>
  <c r="Y571" i="1"/>
  <c r="Y702" i="1"/>
  <c r="Y492" i="1"/>
  <c r="Y36" i="1"/>
  <c r="Y609" i="1"/>
  <c r="Y108" i="1"/>
  <c r="Y131" i="1"/>
  <c r="Y61" i="1"/>
  <c r="Y881" i="1"/>
  <c r="Y891" i="1"/>
  <c r="Y955" i="1"/>
  <c r="Y934" i="1"/>
  <c r="Y621" i="1"/>
  <c r="Y23" i="1"/>
  <c r="Y180" i="1"/>
  <c r="Q519" i="1"/>
  <c r="V519" i="1"/>
  <c r="V756" i="1"/>
  <c r="V646" i="1"/>
  <c r="V459" i="1"/>
  <c r="Q918" i="1"/>
  <c r="V183" i="1"/>
  <c r="Q183" i="1"/>
  <c r="V333" i="1"/>
  <c r="Q76" i="1"/>
  <c r="Y447" i="1"/>
  <c r="Y603" i="1"/>
  <c r="Y759" i="1"/>
  <c r="Y999" i="1"/>
  <c r="Y243" i="1"/>
  <c r="Y544" i="1"/>
  <c r="Y448" i="1"/>
  <c r="Y102" i="1"/>
  <c r="Y367" i="1"/>
  <c r="Y523" i="1"/>
  <c r="Y799" i="1"/>
  <c r="Y197" i="1"/>
  <c r="Y450" i="1"/>
  <c r="Y846" i="1"/>
  <c r="Y370" i="1"/>
  <c r="Y959" i="1"/>
  <c r="Y283" i="1"/>
  <c r="Y920" i="1"/>
  <c r="Y730" i="1"/>
  <c r="Y199" i="1"/>
  <c r="Y812" i="1"/>
  <c r="Y647" i="1"/>
  <c r="Y272" i="1"/>
  <c r="Y873" i="1"/>
  <c r="Y336" i="1"/>
  <c r="Y310" i="1"/>
  <c r="Y215" i="1"/>
  <c r="Y708" i="1"/>
  <c r="Y793" i="1"/>
  <c r="Y73" i="1"/>
  <c r="Y794" i="1"/>
  <c r="Y736" i="1"/>
  <c r="Y256" i="1"/>
  <c r="Y184" i="1"/>
  <c r="Y677" i="1"/>
  <c r="Y823" i="1"/>
  <c r="Y971" i="1"/>
  <c r="Y489" i="1"/>
  <c r="Y457" i="1"/>
  <c r="Y559" i="1"/>
  <c r="Y245" i="1"/>
  <c r="Y476" i="1"/>
  <c r="Y530" i="1"/>
  <c r="Q450" i="1"/>
  <c r="Y315" i="1"/>
  <c r="Y660" i="1"/>
  <c r="Y64" i="1"/>
  <c r="Y963" i="1"/>
  <c r="Y415" i="1"/>
  <c r="Y601" i="1"/>
  <c r="Y280" i="1"/>
  <c r="Q894" i="1"/>
  <c r="Y496" i="1"/>
  <c r="Y499" i="1"/>
  <c r="Y173" i="1"/>
  <c r="Y9" i="1"/>
  <c r="Y641" i="1"/>
  <c r="V437" i="1"/>
  <c r="V943" i="1"/>
  <c r="Q370" i="1"/>
  <c r="V370" i="1"/>
  <c r="Q147" i="1"/>
  <c r="V922" i="1"/>
  <c r="Y375" i="1"/>
  <c r="Y531" i="1"/>
  <c r="Y687" i="1"/>
  <c r="Y927" i="1"/>
  <c r="Y111" i="1"/>
  <c r="Y412" i="1"/>
  <c r="Y14" i="1"/>
  <c r="Y114" i="1"/>
  <c r="Y451" i="1"/>
  <c r="Y607" i="1"/>
  <c r="Y895" i="1"/>
  <c r="Y113" i="1"/>
  <c r="Y462" i="1"/>
  <c r="Y942" i="1"/>
  <c r="Y646" i="1"/>
  <c r="Y673" i="1"/>
  <c r="Y307" i="1"/>
  <c r="Y861" i="1"/>
  <c r="Y709" i="1"/>
  <c r="Y223" i="1"/>
  <c r="Y705" i="1"/>
  <c r="Y719" i="1"/>
  <c r="Y80" i="1"/>
  <c r="Y369" i="1"/>
  <c r="Y909" i="1"/>
  <c r="Y706" i="1"/>
  <c r="Y94" i="1"/>
  <c r="Y442" i="1"/>
  <c r="Y384" i="1"/>
  <c r="Y876" i="1"/>
  <c r="Y878" i="1"/>
  <c r="Y374" i="1"/>
  <c r="Y554" i="1"/>
  <c r="Y169" i="1"/>
  <c r="Y497" i="1"/>
  <c r="Y796" i="1"/>
  <c r="Y533" i="1"/>
  <c r="Y122" i="1"/>
  <c r="Y560" i="1"/>
  <c r="Y452" i="1"/>
  <c r="Y93" i="1"/>
  <c r="Y421" i="1"/>
  <c r="Y251" i="1"/>
  <c r="V937" i="1"/>
  <c r="Q937" i="1"/>
  <c r="Y639" i="1"/>
  <c r="Y177" i="1"/>
  <c r="Y849" i="1"/>
  <c r="Y33" i="1"/>
  <c r="Y809" i="1"/>
  <c r="Y567" i="1"/>
  <c r="Y51" i="1"/>
  <c r="Y990" i="1"/>
  <c r="Y128" i="1"/>
  <c r="Y817" i="1"/>
  <c r="V269" i="1"/>
  <c r="Y495" i="1"/>
  <c r="Y246" i="1"/>
  <c r="Y348" i="1"/>
  <c r="Y334" i="1"/>
  <c r="Y479" i="1"/>
  <c r="Y97" i="1"/>
  <c r="Y667" i="1"/>
  <c r="Y43" i="1"/>
  <c r="Q231" i="1"/>
  <c r="Q990" i="1"/>
  <c r="V990" i="1"/>
  <c r="Q687" i="1"/>
  <c r="Q811" i="1"/>
  <c r="Q865" i="1"/>
  <c r="Q373" i="1"/>
  <c r="V373" i="1"/>
  <c r="Q869" i="1"/>
  <c r="Q930" i="1"/>
  <c r="V930" i="1"/>
  <c r="Q958" i="1"/>
  <c r="V851" i="1"/>
  <c r="Q910" i="1"/>
  <c r="Q87" i="1"/>
  <c r="Q991" i="1"/>
  <c r="V65" i="1"/>
  <c r="Y459" i="1"/>
  <c r="Y615" i="1"/>
  <c r="Y855" i="1"/>
  <c r="Y15" i="1"/>
  <c r="Y267" i="1"/>
  <c r="Y568" i="1"/>
  <c r="Y472" i="1"/>
  <c r="Y302" i="1"/>
  <c r="Y126" i="1"/>
  <c r="Y379" i="1"/>
  <c r="Y535" i="1"/>
  <c r="Y811" i="1"/>
  <c r="Y218" i="1"/>
  <c r="Y29" i="1"/>
  <c r="Y317" i="1"/>
  <c r="Y558" i="1"/>
  <c r="Y858" i="1"/>
  <c r="Y418" i="1"/>
  <c r="Y995" i="1"/>
  <c r="Y343" i="1"/>
  <c r="Y897" i="1"/>
  <c r="Y790" i="1"/>
  <c r="Y247" i="1"/>
  <c r="Y741" i="1"/>
  <c r="Y731" i="1"/>
  <c r="Y780" i="1"/>
  <c r="Y284" i="1"/>
  <c r="Y465" i="1"/>
  <c r="Y945" i="1"/>
  <c r="Y385" i="1"/>
  <c r="Y924" i="1"/>
  <c r="Y178" i="1"/>
  <c r="Y239" i="1"/>
  <c r="Y732" i="1"/>
  <c r="Y877" i="1"/>
  <c r="Y133" i="1"/>
  <c r="Y854" i="1"/>
  <c r="Y748" i="1"/>
  <c r="Y292" i="1"/>
  <c r="Y196" i="1"/>
  <c r="Y867" i="1"/>
  <c r="Y969" i="1"/>
  <c r="Y296" i="1"/>
  <c r="Y938" i="1"/>
  <c r="Y28" i="1"/>
  <c r="V496" i="1"/>
  <c r="Q207" i="1"/>
  <c r="Y399" i="1"/>
  <c r="Y159" i="1"/>
  <c r="Y594" i="1"/>
  <c r="Y600" i="1"/>
  <c r="Y49" i="1"/>
  <c r="Y40" i="1"/>
  <c r="V666" i="1"/>
  <c r="Y234" i="1"/>
  <c r="Y487" i="1"/>
  <c r="Y983" i="1"/>
  <c r="Y132" i="1"/>
  <c r="Q775" i="1"/>
  <c r="Y632" i="1"/>
  <c r="Y929" i="1"/>
  <c r="Y579" i="1"/>
  <c r="Y714" i="1"/>
  <c r="W683" i="1"/>
  <c r="Q388" i="1"/>
  <c r="Q100" i="1"/>
  <c r="Q127" i="1"/>
  <c r="V323" i="1"/>
  <c r="Q975" i="1"/>
  <c r="V975" i="1"/>
  <c r="V521" i="1"/>
  <c r="Q883" i="1"/>
  <c r="V883" i="1"/>
  <c r="V326" i="1"/>
  <c r="W383" i="1"/>
  <c r="Q487" i="1"/>
  <c r="W858" i="1"/>
  <c r="Q806" i="1"/>
  <c r="V597" i="1"/>
  <c r="Q228" i="1"/>
  <c r="Q553" i="1"/>
  <c r="Q20" i="1"/>
  <c r="Q164" i="1"/>
  <c r="V164" i="1"/>
  <c r="Q53" i="1"/>
  <c r="W268" i="1"/>
  <c r="Q556" i="1"/>
  <c r="V699" i="1"/>
  <c r="Q392" i="1"/>
  <c r="Q751" i="1"/>
  <c r="Q895" i="1"/>
  <c r="Q969" i="1"/>
  <c r="Q636" i="1"/>
  <c r="Y50" i="1"/>
  <c r="Y26" i="1"/>
  <c r="Y526" i="1"/>
  <c r="Y146" i="1"/>
  <c r="Y322" i="1"/>
  <c r="Y86" i="1"/>
  <c r="Y290" i="1"/>
  <c r="Y254" i="1"/>
  <c r="Y230" i="1"/>
  <c r="Y179" i="1"/>
  <c r="Y170" i="1"/>
  <c r="Y948" i="1"/>
  <c r="Y110" i="1"/>
  <c r="Y314" i="1"/>
  <c r="Y744" i="1"/>
  <c r="Y118" i="1"/>
  <c r="Y119" i="1"/>
  <c r="Y120" i="1"/>
  <c r="Y142" i="1"/>
  <c r="Y143" i="1"/>
  <c r="Y194" i="1"/>
  <c r="Y949" i="1"/>
  <c r="Y950" i="1"/>
  <c r="Y550" i="1"/>
  <c r="Y973" i="1"/>
  <c r="Y202" i="1"/>
  <c r="Y406" i="1"/>
  <c r="Y610" i="1"/>
  <c r="Y814" i="1"/>
  <c r="Y746" i="1"/>
  <c r="Y203" i="1"/>
  <c r="Y407" i="1"/>
  <c r="Y611" i="1"/>
  <c r="Y542" i="1"/>
  <c r="Y754" i="1"/>
  <c r="Y755" i="1"/>
  <c r="Y204" i="1"/>
  <c r="Y408" i="1"/>
  <c r="Y958" i="1"/>
  <c r="Y262" i="1"/>
  <c r="Y466" i="1"/>
  <c r="Y670" i="1"/>
  <c r="Y888" i="1"/>
  <c r="Y541" i="1"/>
  <c r="Y263" i="1"/>
  <c r="Y467" i="1"/>
  <c r="Y685" i="1"/>
  <c r="Y264" i="1"/>
  <c r="Y286" i="1"/>
  <c r="Y694" i="1"/>
  <c r="Y745" i="1"/>
  <c r="Y551" i="1"/>
  <c r="Y490" i="1"/>
  <c r="Y898" i="1"/>
  <c r="Y323" i="1"/>
  <c r="Y338" i="1"/>
  <c r="Y346" i="1"/>
  <c r="Y347" i="1"/>
  <c r="Y1000" i="1"/>
  <c r="Y880" i="1"/>
  <c r="Y688" i="1"/>
  <c r="Y16" i="1"/>
  <c r="Y832" i="1"/>
  <c r="Y724" i="1"/>
  <c r="Y640" i="1"/>
  <c r="Y769" i="1"/>
  <c r="Y722" i="1"/>
  <c r="Y325" i="1"/>
  <c r="Y770" i="1"/>
  <c r="Y313" i="1"/>
  <c r="Y997" i="1"/>
  <c r="Y805" i="1"/>
  <c r="Y842" i="1"/>
  <c r="Y494" i="1"/>
  <c r="Y157" i="1"/>
  <c r="Y806" i="1"/>
  <c r="Y48" i="1"/>
  <c r="Y529" i="1"/>
  <c r="Y851" i="1"/>
  <c r="Y166" i="1"/>
  <c r="Y321" i="1"/>
  <c r="Y863" i="1"/>
  <c r="Y825" i="1"/>
  <c r="Y597" i="1"/>
  <c r="Y453" i="1"/>
  <c r="Y637" i="1"/>
  <c r="Y960" i="1"/>
  <c r="Y599" i="1"/>
  <c r="Y874" i="1"/>
  <c r="Y153" i="1"/>
  <c r="Y980" i="1"/>
  <c r="Y692" i="1"/>
  <c r="Y404" i="1"/>
  <c r="Y151" i="1"/>
  <c r="Y840" i="1"/>
  <c r="Y445" i="1"/>
  <c r="Y837" i="1"/>
  <c r="Y800" i="1"/>
  <c r="Y512" i="1"/>
  <c r="Y211" i="1"/>
  <c r="Y227" i="1"/>
  <c r="Y834" i="1"/>
  <c r="Y690" i="1"/>
  <c r="Y546" i="1"/>
  <c r="Y402" i="1"/>
  <c r="Y287" i="1"/>
  <c r="Y74" i="1"/>
  <c r="Y354" i="1"/>
  <c r="Y210" i="1"/>
  <c r="Y66" i="1"/>
  <c r="Y158" i="1"/>
  <c r="Y580" i="1"/>
  <c r="Y424" i="1"/>
  <c r="Y279" i="1"/>
  <c r="Y123" i="1"/>
  <c r="Y965" i="1"/>
  <c r="Y749" i="1"/>
  <c r="Y629" i="1"/>
  <c r="Y509" i="1"/>
  <c r="Y389" i="1"/>
  <c r="Y268" i="1"/>
  <c r="Y136" i="1"/>
  <c r="Y890" i="1"/>
  <c r="Y761" i="1"/>
  <c r="Y581" i="1"/>
  <c r="Y413" i="1"/>
  <c r="Y232" i="1"/>
  <c r="Y857" i="1"/>
  <c r="Y458" i="1"/>
  <c r="Y109" i="1"/>
  <c r="Y866" i="1"/>
  <c r="Y301" i="1"/>
  <c r="Y830" i="1"/>
  <c r="Y937" i="1"/>
  <c r="Y602" i="1"/>
  <c r="Y816" i="1"/>
  <c r="Y684" i="1"/>
  <c r="Y564" i="1"/>
  <c r="Y444" i="1"/>
  <c r="Y311" i="1"/>
  <c r="Y191" i="1"/>
  <c r="Y71" i="1"/>
  <c r="Y767" i="1"/>
  <c r="Y106" i="1"/>
  <c r="Y720" i="1"/>
  <c r="Y565" i="1"/>
  <c r="Y300" i="1"/>
  <c r="Y887" i="1"/>
  <c r="Y70" i="1"/>
  <c r="Y357" i="1"/>
  <c r="Y789" i="1"/>
  <c r="Y585" i="1"/>
  <c r="Y441" i="1"/>
  <c r="Y332" i="1"/>
  <c r="Y260" i="1"/>
  <c r="Y188" i="1"/>
  <c r="Y116" i="1"/>
  <c r="Y44" i="1"/>
  <c r="Y576" i="1"/>
  <c r="Y956" i="1"/>
  <c r="Y668" i="1"/>
  <c r="Y380" i="1"/>
  <c r="Y139" i="1"/>
  <c r="Y779" i="1"/>
  <c r="Y587" i="1"/>
  <c r="Y34" i="1"/>
  <c r="Y237" i="1"/>
  <c r="Y801" i="1"/>
  <c r="Y776" i="1"/>
  <c r="Y488" i="1"/>
  <c r="Y187" i="1"/>
  <c r="Y84" i="1"/>
  <c r="Y481" i="1"/>
  <c r="Y911" i="1"/>
  <c r="Y154" i="1"/>
  <c r="Y826" i="1"/>
  <c r="Y514" i="1"/>
  <c r="Y333" i="1"/>
  <c r="Y117" i="1"/>
  <c r="Y978" i="1"/>
  <c r="Y906" i="1"/>
  <c r="Y822" i="1"/>
  <c r="Y678" i="1"/>
  <c r="Y534" i="1"/>
  <c r="Y390" i="1"/>
  <c r="Y305" i="1"/>
  <c r="Y233" i="1"/>
  <c r="Y161" i="1"/>
  <c r="Y89" i="1"/>
  <c r="Y17" i="1"/>
  <c r="Y144" i="1"/>
  <c r="Y19" i="1"/>
  <c r="Y931" i="1"/>
  <c r="Y859" i="1"/>
  <c r="Y787" i="1"/>
  <c r="Y715" i="1"/>
  <c r="Y643" i="1"/>
  <c r="Y976" i="1"/>
  <c r="Y856" i="1"/>
  <c r="Y686" i="1"/>
  <c r="Y988" i="1"/>
  <c r="Y808" i="1"/>
  <c r="Y712" i="1"/>
  <c r="Y628" i="1"/>
  <c r="Y626" i="1"/>
  <c r="Y698" i="1"/>
  <c r="Y265" i="1"/>
  <c r="Y829" i="1"/>
  <c r="Y578" i="1"/>
  <c r="Y253" i="1"/>
  <c r="Y985" i="1"/>
  <c r="Y989" i="1"/>
  <c r="Y782" i="1"/>
  <c r="Y446" i="1"/>
  <c r="Y85" i="1"/>
  <c r="Y398" i="1"/>
  <c r="Y324" i="1"/>
  <c r="Y671" i="1"/>
  <c r="Y82" i="1"/>
  <c r="Y249" i="1"/>
  <c r="Y659" i="1"/>
  <c r="Y753" i="1"/>
  <c r="Y573" i="1"/>
  <c r="Y429" i="1"/>
  <c r="Y515" i="1"/>
  <c r="Y900" i="1"/>
  <c r="Y443" i="1"/>
  <c r="Y586" i="1"/>
  <c r="Y69" i="1"/>
  <c r="Y932" i="1"/>
  <c r="Y644" i="1"/>
  <c r="Y355" i="1"/>
  <c r="Y115" i="1"/>
  <c r="Y718" i="1"/>
  <c r="Y240" i="1"/>
  <c r="Y765" i="1"/>
  <c r="Y752" i="1"/>
  <c r="Y464" i="1"/>
  <c r="Y127" i="1"/>
  <c r="Y810" i="1"/>
  <c r="Y666" i="1"/>
  <c r="Y522" i="1"/>
  <c r="Y378" i="1"/>
  <c r="Y83" i="1"/>
  <c r="Y330" i="1"/>
  <c r="Y186" i="1"/>
  <c r="Y42" i="1"/>
  <c r="Y556" i="1"/>
  <c r="Y400" i="1"/>
  <c r="Y255" i="1"/>
  <c r="Y87" i="1"/>
  <c r="Y917" i="1"/>
  <c r="Y737" i="1"/>
  <c r="Y605" i="1"/>
  <c r="Y485" i="1"/>
  <c r="Y365" i="1"/>
  <c r="Y244" i="1"/>
  <c r="Y124" i="1"/>
  <c r="Y482" i="1"/>
  <c r="Y725" i="1"/>
  <c r="Y557" i="1"/>
  <c r="Y377" i="1"/>
  <c r="Y208" i="1"/>
  <c r="Y974" i="1"/>
  <c r="Y410" i="1"/>
  <c r="Y37" i="1"/>
  <c r="Y710" i="1"/>
  <c r="Y241" i="1"/>
  <c r="Y972" i="1"/>
  <c r="Y792" i="1"/>
  <c r="Y672" i="1"/>
  <c r="Y540" i="1"/>
  <c r="Y420" i="1"/>
  <c r="Y299" i="1"/>
  <c r="Y167" i="1"/>
  <c r="Y59" i="1"/>
  <c r="Y707" i="1"/>
  <c r="Y577" i="1"/>
  <c r="Y505" i="1"/>
  <c r="Y252" i="1"/>
  <c r="Y815" i="1"/>
  <c r="Y22" i="1"/>
  <c r="Y273" i="1"/>
  <c r="Y717" i="1"/>
  <c r="Y561" i="1"/>
  <c r="Y417" i="1"/>
  <c r="Y320" i="1"/>
  <c r="Y248" i="1"/>
  <c r="Y176" i="1"/>
  <c r="Y104" i="1"/>
  <c r="Y32" i="1"/>
  <c r="Y433" i="1"/>
  <c r="Y993" i="1"/>
  <c r="Y908" i="1"/>
  <c r="Y620" i="1"/>
  <c r="Y331" i="1"/>
  <c r="Y103" i="1"/>
  <c r="Y636" i="1"/>
  <c r="Y539" i="1"/>
  <c r="Y994" i="1"/>
  <c r="Y165" i="1"/>
  <c r="Y729" i="1"/>
  <c r="Y728" i="1"/>
  <c r="Y440" i="1"/>
  <c r="Y982" i="1"/>
  <c r="Y757" i="1"/>
  <c r="Y216" i="1"/>
  <c r="Y875" i="1"/>
  <c r="Y46" i="1"/>
  <c r="Y802" i="1"/>
  <c r="Y502" i="1"/>
  <c r="Y297" i="1"/>
  <c r="Y81" i="1"/>
  <c r="Y966" i="1"/>
  <c r="Y894" i="1"/>
  <c r="Y798" i="1"/>
  <c r="Y654" i="1"/>
  <c r="Y510" i="1"/>
  <c r="Y366" i="1"/>
  <c r="Y293" i="1"/>
  <c r="Y221" i="1"/>
  <c r="Y149" i="1"/>
  <c r="Y77" i="1"/>
  <c r="Y5" i="1"/>
  <c r="Y991" i="1"/>
  <c r="Y919" i="1"/>
  <c r="Y847" i="1"/>
  <c r="Y775" i="1"/>
  <c r="Y703" i="1"/>
  <c r="Y631" i="1"/>
  <c r="Y964" i="1"/>
  <c r="Y844" i="1"/>
  <c r="Y952" i="1"/>
  <c r="Y784" i="1"/>
  <c r="Y700" i="1"/>
  <c r="Y616" i="1"/>
  <c r="Y853" i="1"/>
  <c r="Y953" i="1"/>
  <c r="Y662" i="1"/>
  <c r="Y205" i="1"/>
  <c r="Y1001" i="1"/>
  <c r="Y518" i="1"/>
  <c r="Y181" i="1"/>
  <c r="Y961" i="1"/>
  <c r="Y905" i="1"/>
  <c r="Y734" i="1"/>
  <c r="Y386" i="1"/>
  <c r="Y25" i="1"/>
  <c r="Y613" i="1"/>
  <c r="Y947" i="1"/>
  <c r="Y276" i="1"/>
  <c r="Y864" i="1"/>
  <c r="Y623" i="1"/>
  <c r="Y886" i="1"/>
  <c r="Y189" i="1"/>
  <c r="Y516" i="1"/>
  <c r="Y693" i="1"/>
  <c r="Y549" i="1"/>
  <c r="Y405" i="1"/>
  <c r="Y372" i="1"/>
  <c r="Y935" i="1"/>
  <c r="Y395" i="1"/>
  <c r="Y562" i="1"/>
  <c r="Y957" i="1"/>
  <c r="Y884" i="1"/>
  <c r="Y596" i="1"/>
  <c r="Y319" i="1"/>
  <c r="Y91" i="1"/>
  <c r="Y575" i="1"/>
  <c r="Y156" i="1"/>
  <c r="Y992" i="1"/>
  <c r="Y704" i="1"/>
  <c r="Y416" i="1"/>
  <c r="Y839" i="1"/>
  <c r="Y786" i="1"/>
  <c r="Y642" i="1"/>
  <c r="Y498" i="1"/>
  <c r="Y899" i="1"/>
  <c r="Y278" i="1"/>
  <c r="Y306" i="1"/>
  <c r="Y162" i="1"/>
  <c r="Y30" i="1"/>
  <c r="Y360" i="1"/>
  <c r="Y532" i="1"/>
  <c r="Y376" i="1"/>
  <c r="Y231" i="1"/>
  <c r="Y27" i="1"/>
  <c r="Y206" i="1"/>
  <c r="Y869" i="1"/>
  <c r="Y713" i="1"/>
  <c r="Y593" i="1"/>
  <c r="Y461" i="1"/>
  <c r="Y340" i="1"/>
  <c r="Y220" i="1"/>
  <c r="Y100" i="1"/>
  <c r="Y941" i="1"/>
  <c r="Y701" i="1"/>
  <c r="Y521" i="1"/>
  <c r="Y352" i="1"/>
  <c r="Y172" i="1"/>
  <c r="Y914" i="1"/>
  <c r="Y349" i="1"/>
  <c r="Y977" i="1"/>
  <c r="Y674" i="1"/>
  <c r="Y193" i="1"/>
  <c r="Y912" i="1"/>
  <c r="Y768" i="1"/>
  <c r="Y648" i="1"/>
  <c r="Y528" i="1"/>
  <c r="Y396" i="1"/>
  <c r="Y275" i="1"/>
  <c r="Y155" i="1"/>
  <c r="Y47" i="1"/>
  <c r="Y804" i="1"/>
  <c r="Y358" i="1"/>
  <c r="Y803" i="1"/>
  <c r="Y373" i="1"/>
  <c r="Y469" i="1"/>
  <c r="Y192" i="1"/>
  <c r="Y743" i="1"/>
  <c r="Y742" i="1"/>
  <c r="Y201" i="1"/>
  <c r="Y681" i="1"/>
  <c r="Y537" i="1"/>
  <c r="Y393" i="1"/>
  <c r="Y308" i="1"/>
  <c r="Y236" i="1"/>
  <c r="Y164" i="1"/>
  <c r="Y92" i="1"/>
  <c r="Y20" i="1"/>
  <c r="Y168" i="1"/>
  <c r="Y921" i="1"/>
  <c r="Y860" i="1"/>
  <c r="Y572" i="1"/>
  <c r="Y295" i="1"/>
  <c r="Y79" i="1"/>
  <c r="Y493" i="1"/>
  <c r="Y503" i="1"/>
  <c r="Y946" i="1"/>
  <c r="Y105" i="1"/>
  <c r="Y968" i="1"/>
  <c r="Y680" i="1"/>
  <c r="Y392" i="1"/>
  <c r="Y778" i="1"/>
  <c r="Y697" i="1"/>
  <c r="Y60" i="1"/>
  <c r="Y827" i="1"/>
  <c r="Y10" i="1"/>
  <c r="Y766" i="1"/>
  <c r="Y478" i="1"/>
  <c r="Y261" i="1"/>
  <c r="Y57" i="1"/>
  <c r="Y954" i="1"/>
  <c r="Y882" i="1"/>
  <c r="Y774" i="1"/>
  <c r="Y630" i="1"/>
  <c r="Y486" i="1"/>
  <c r="Y353" i="1"/>
  <c r="Y281" i="1"/>
  <c r="Y209" i="1"/>
  <c r="Y137" i="1"/>
  <c r="Y65" i="1"/>
  <c r="Y838" i="1"/>
  <c r="Y134" i="1"/>
  <c r="Y979" i="1"/>
  <c r="Y907" i="1"/>
  <c r="Y835" i="1"/>
  <c r="Y763" i="1"/>
  <c r="Y691" i="1"/>
  <c r="Y619" i="1"/>
  <c r="Y547" i="1"/>
  <c r="Y475" i="1"/>
  <c r="Y403" i="1"/>
  <c r="Y294" i="1"/>
  <c r="Y150" i="1"/>
  <c r="Y242" i="1"/>
  <c r="Y484" i="1"/>
  <c r="Y339" i="1"/>
  <c r="Y195" i="1"/>
  <c r="Y75" i="1"/>
  <c r="Y987" i="1"/>
  <c r="Y915" i="1"/>
  <c r="Y843" i="1"/>
  <c r="Y771" i="1"/>
  <c r="Y699" i="1"/>
  <c r="Y627" i="1"/>
  <c r="Y555" i="1"/>
  <c r="Y483" i="1"/>
  <c r="Y411" i="1"/>
  <c r="Y62" i="1"/>
  <c r="Y76" i="1"/>
  <c r="Y940" i="1"/>
  <c r="Y820" i="1"/>
  <c r="Y928" i="1"/>
  <c r="Y760" i="1"/>
  <c r="Y676" i="1"/>
  <c r="Y604" i="1"/>
  <c r="Y841" i="1"/>
  <c r="Y845" i="1"/>
  <c r="Y650" i="1"/>
  <c r="Y145" i="1"/>
  <c r="Y833" i="1"/>
  <c r="Y470" i="1"/>
  <c r="Y121" i="1"/>
  <c r="Y925" i="1"/>
  <c r="Y986" i="1"/>
  <c r="Y590" i="1"/>
  <c r="Y337" i="1"/>
  <c r="Y409" i="1"/>
  <c r="Y661" i="1"/>
  <c r="Y72" i="1"/>
  <c r="Y721" i="1"/>
  <c r="Y563" i="1"/>
  <c r="Y682" i="1"/>
  <c r="Y129" i="1"/>
  <c r="Y312" i="1"/>
  <c r="Y669" i="1"/>
  <c r="Y525" i="1"/>
  <c r="Y381" i="1"/>
  <c r="Y8" i="1"/>
  <c r="Y791" i="1"/>
  <c r="Y226" i="1"/>
  <c r="Y345" i="1"/>
  <c r="Y885" i="1"/>
  <c r="Y836" i="1"/>
  <c r="Y548" i="1"/>
  <c r="Y271" i="1"/>
  <c r="Y67" i="1"/>
  <c r="Y432" i="1"/>
  <c r="Y96" i="1"/>
  <c r="Y944" i="1"/>
  <c r="Y656" i="1"/>
  <c r="Y368" i="1"/>
  <c r="Y696" i="1"/>
  <c r="Y762" i="1"/>
  <c r="Y618" i="1"/>
  <c r="Y474" i="1"/>
  <c r="Y695" i="1"/>
  <c r="Y7" i="1"/>
  <c r="Y282" i="1"/>
  <c r="Y138" i="1"/>
  <c r="Y18" i="1"/>
  <c r="Y98" i="1"/>
  <c r="Y508" i="1"/>
  <c r="Y351" i="1"/>
  <c r="Y207" i="1"/>
  <c r="Y266" i="1"/>
  <c r="Q173" i="1"/>
  <c r="Y387" i="1"/>
  <c r="Y543" i="1"/>
  <c r="Y783" i="1"/>
  <c r="Y939" i="1"/>
  <c r="Y135" i="1"/>
  <c r="Y436" i="1"/>
  <c r="Y174" i="1"/>
  <c r="Y463" i="1"/>
  <c r="Y727" i="1"/>
  <c r="V285" i="1"/>
  <c r="Y125" i="1"/>
  <c r="Y570" i="1"/>
  <c r="Y141" i="1"/>
  <c r="Y274" i="1"/>
  <c r="Y536" i="1"/>
  <c r="Y933" i="1"/>
  <c r="Y228" i="1"/>
  <c r="Y428" i="1"/>
  <c r="Y777" i="1"/>
  <c r="Y862" i="1"/>
  <c r="Y200" i="1"/>
  <c r="Y477" i="1"/>
  <c r="Y981" i="1"/>
  <c r="Y936" i="1"/>
  <c r="Y238" i="1"/>
  <c r="Y382" i="1"/>
  <c r="Y95" i="1"/>
  <c r="Y588" i="1"/>
  <c r="Y926" i="1"/>
  <c r="Y422" i="1"/>
  <c r="Y614" i="1"/>
  <c r="Y229" i="1"/>
  <c r="Y52" i="1"/>
  <c r="Y785" i="1"/>
  <c r="Y4" i="1"/>
  <c r="Y545" i="1"/>
  <c r="V765" i="1"/>
  <c r="Q978" i="1"/>
  <c r="Q116" i="1"/>
  <c r="Q971" i="1"/>
  <c r="Q569" i="1"/>
  <c r="Q790" i="1"/>
  <c r="Q16" i="1"/>
  <c r="Q219" i="1"/>
  <c r="V24" i="1"/>
  <c r="V242" i="1"/>
  <c r="V777" i="1"/>
  <c r="V239" i="1"/>
  <c r="Q104" i="1"/>
  <c r="W480" i="1"/>
  <c r="Q188" i="1"/>
  <c r="V84" i="1"/>
  <c r="Q802" i="1"/>
  <c r="Q316" i="1"/>
  <c r="W184" i="1"/>
  <c r="W560" i="1"/>
  <c r="W504" i="1"/>
  <c r="V428" i="1"/>
  <c r="V958" i="1"/>
  <c r="Q281" i="1"/>
  <c r="V458" i="1"/>
  <c r="V402" i="1"/>
  <c r="V957" i="1"/>
  <c r="Q885" i="1"/>
  <c r="Q484" i="1"/>
  <c r="Q771" i="1"/>
  <c r="V814" i="1"/>
  <c r="V108" i="1"/>
  <c r="Q566" i="1"/>
  <c r="V993" i="1"/>
  <c r="W992" i="1"/>
  <c r="W808" i="1"/>
  <c r="Q793" i="1"/>
  <c r="Q30" i="1"/>
  <c r="Q225" i="1"/>
  <c r="Q787" i="1"/>
  <c r="W267" i="1"/>
  <c r="Q427" i="1"/>
  <c r="Q986" i="1"/>
  <c r="Q651" i="1"/>
  <c r="V288" i="1"/>
  <c r="V830" i="1"/>
  <c r="V43" i="1"/>
  <c r="V238" i="1"/>
  <c r="Q243" i="1"/>
  <c r="Q849" i="1"/>
  <c r="W412" i="1"/>
  <c r="Q263" i="1"/>
  <c r="Q339" i="1"/>
  <c r="Q483" i="1"/>
  <c r="W222" i="1"/>
  <c r="Q366" i="1"/>
  <c r="Q665" i="1"/>
  <c r="Q737" i="1"/>
  <c r="Q499" i="1"/>
  <c r="W798" i="1"/>
  <c r="Q696" i="1"/>
  <c r="Q874" i="1"/>
  <c r="Q357" i="1"/>
  <c r="Q319" i="1"/>
  <c r="V424" i="1"/>
  <c r="Q639" i="1"/>
  <c r="Q855" i="1"/>
  <c r="Q927" i="1"/>
  <c r="Q186" i="1"/>
  <c r="W260" i="1"/>
  <c r="W835" i="1"/>
  <c r="W840" i="1"/>
  <c r="Q769" i="1"/>
  <c r="Q189" i="1"/>
  <c r="W584" i="1"/>
  <c r="Q414" i="1"/>
  <c r="V248" i="1"/>
  <c r="V181" i="1"/>
  <c r="Q375" i="1"/>
  <c r="W351" i="1"/>
  <c r="Q444" i="1"/>
  <c r="W624" i="1"/>
  <c r="Q608" i="1"/>
  <c r="V586" i="1"/>
  <c r="Q172" i="1"/>
  <c r="V205" i="1"/>
  <c r="V548" i="1"/>
  <c r="Q668" i="1"/>
  <c r="W508" i="1"/>
  <c r="Q416" i="1"/>
  <c r="V825" i="1"/>
  <c r="V507" i="1"/>
  <c r="V389" i="1"/>
  <c r="V167" i="1"/>
  <c r="Q23" i="1"/>
  <c r="V241" i="1"/>
  <c r="V775" i="1"/>
  <c r="W56" i="1"/>
  <c r="Q657" i="1"/>
  <c r="Q234" i="1"/>
  <c r="W443" i="1"/>
  <c r="W343" i="1"/>
  <c r="Q916" i="1"/>
  <c r="Q705" i="1"/>
  <c r="Q617" i="1"/>
  <c r="Q822" i="1"/>
  <c r="Q792" i="1"/>
  <c r="V97" i="1"/>
  <c r="V277" i="1"/>
  <c r="V871" i="1"/>
  <c r="Q925" i="1"/>
  <c r="V856" i="1"/>
  <c r="V59" i="1"/>
  <c r="V837" i="1"/>
  <c r="Q482" i="1"/>
  <c r="V675" i="1"/>
  <c r="V53" i="1"/>
  <c r="Q496" i="1"/>
  <c r="W711" i="1"/>
  <c r="V42" i="1"/>
  <c r="Q114" i="1"/>
  <c r="W976" i="1"/>
  <c r="Q878" i="1"/>
  <c r="Q476" i="1"/>
  <c r="Q669" i="1"/>
  <c r="W752" i="1"/>
  <c r="Q527" i="1"/>
  <c r="W551" i="1"/>
  <c r="W757" i="1"/>
  <c r="Q9" i="1"/>
  <c r="Q552" i="1"/>
  <c r="Q604" i="1"/>
  <c r="Q399" i="1"/>
  <c r="V51" i="1"/>
  <c r="Q567" i="1"/>
  <c r="V79" i="1"/>
  <c r="V186" i="1"/>
  <c r="V10" i="1"/>
  <c r="V554" i="1"/>
  <c r="V593" i="1"/>
  <c r="W964" i="1"/>
  <c r="Q359" i="1"/>
  <c r="W900" i="1"/>
  <c r="Q159" i="1"/>
  <c r="V127" i="1"/>
  <c r="Q486" i="1"/>
  <c r="V148" i="1"/>
  <c r="V594" i="1"/>
  <c r="V296" i="1"/>
  <c r="V267" i="1"/>
  <c r="V360" i="1"/>
  <c r="Q578" i="1"/>
  <c r="V641" i="1"/>
  <c r="Q331" i="1"/>
  <c r="W107" i="1"/>
  <c r="Q659" i="1"/>
  <c r="Q503" i="1"/>
  <c r="W220" i="1"/>
  <c r="Q485" i="1"/>
  <c r="W919" i="1"/>
  <c r="Q469" i="1"/>
  <c r="Q829" i="1"/>
  <c r="W34" i="1"/>
  <c r="Q643" i="1"/>
  <c r="V954" i="1"/>
  <c r="V422" i="1"/>
  <c r="V479" i="1"/>
  <c r="V444" i="1"/>
  <c r="V196" i="1"/>
  <c r="W682" i="1"/>
  <c r="Q297" i="1"/>
  <c r="W215" i="1"/>
  <c r="V190" i="1"/>
  <c r="Q631" i="1"/>
  <c r="Q161" i="1"/>
  <c r="Q468" i="1"/>
  <c r="V865" i="1"/>
  <c r="V974" i="1"/>
  <c r="Q428" i="1"/>
  <c r="Q871" i="1"/>
  <c r="Q83" i="1"/>
  <c r="V502" i="1"/>
  <c r="V630" i="1"/>
  <c r="Q539" i="1"/>
  <c r="Q564" i="1"/>
  <c r="V889" i="1"/>
  <c r="V556" i="1"/>
  <c r="V735" i="1"/>
  <c r="Q356" i="1"/>
  <c r="Q989" i="1"/>
  <c r="W610" i="1"/>
  <c r="Q361" i="1"/>
  <c r="Q887" i="1"/>
  <c r="W119" i="1"/>
  <c r="W191" i="1"/>
  <c r="V46" i="1"/>
  <c r="V234" i="1"/>
  <c r="V464" i="1"/>
  <c r="W940" i="1"/>
  <c r="V314" i="1"/>
  <c r="Q984" i="1"/>
  <c r="V195" i="1"/>
  <c r="V855" i="1"/>
  <c r="V734" i="1"/>
  <c r="V840" i="1"/>
  <c r="V442" i="1"/>
  <c r="V966" i="1"/>
  <c r="V145" i="1"/>
  <c r="V575" i="1"/>
  <c r="V596" i="1"/>
  <c r="V888" i="1"/>
  <c r="V255" i="1"/>
  <c r="Q328" i="1"/>
  <c r="Q761" i="1"/>
  <c r="W895" i="1"/>
  <c r="V4" i="1"/>
  <c r="V375" i="1"/>
  <c r="V490" i="1"/>
  <c r="Q424" i="1"/>
  <c r="V648" i="1"/>
  <c r="Q250" i="1"/>
  <c r="Q534" i="1"/>
  <c r="W1000" i="1"/>
  <c r="Q497" i="1"/>
  <c r="W608" i="1"/>
  <c r="Q695" i="1"/>
  <c r="V68" i="1"/>
  <c r="V727" i="1"/>
  <c r="V808" i="1"/>
  <c r="V909" i="1"/>
  <c r="V295" i="1"/>
  <c r="V718" i="1"/>
  <c r="V63" i="1"/>
  <c r="V998" i="1"/>
  <c r="Q749" i="1"/>
  <c r="Q155" i="1"/>
  <c r="V717" i="1"/>
  <c r="Q50" i="1"/>
  <c r="Q463" i="1"/>
  <c r="W618" i="1"/>
  <c r="Q690" i="1"/>
  <c r="Q646" i="1"/>
  <c r="V973" i="1"/>
  <c r="Q911" i="1"/>
  <c r="Q351" i="1"/>
  <c r="Q191" i="1"/>
  <c r="V629" i="1"/>
  <c r="V52" i="1"/>
  <c r="V387" i="1"/>
  <c r="Q235" i="1"/>
  <c r="Q603" i="1"/>
  <c r="Q747" i="1"/>
  <c r="Q78" i="1"/>
  <c r="Q796" i="1"/>
  <c r="Q335" i="1"/>
  <c r="V876" i="1"/>
  <c r="Q733" i="1"/>
  <c r="Q997" i="1"/>
  <c r="W923" i="1"/>
  <c r="Q926" i="1"/>
  <c r="V703" i="1"/>
  <c r="V197" i="1"/>
  <c r="V963" i="1"/>
  <c r="Q758" i="1"/>
  <c r="V723" i="1"/>
  <c r="Q128" i="1"/>
  <c r="Q270" i="1"/>
  <c r="Q846" i="1"/>
  <c r="Q898" i="1"/>
  <c r="Q433" i="1"/>
  <c r="V300" i="1"/>
  <c r="Q589" i="1"/>
  <c r="V69" i="1"/>
  <c r="Q17" i="1"/>
  <c r="Q904" i="1"/>
  <c r="Q269" i="1"/>
  <c r="Q905" i="1"/>
  <c r="V342" i="1"/>
  <c r="V953" i="1"/>
  <c r="V119" i="1"/>
  <c r="V245" i="1"/>
  <c r="Q666" i="1"/>
  <c r="W185" i="1"/>
  <c r="W400" i="1"/>
  <c r="Q305" i="1"/>
  <c r="Q592" i="1"/>
  <c r="Q880" i="1"/>
  <c r="Q380" i="1"/>
  <c r="W704" i="1"/>
  <c r="Q326" i="1"/>
  <c r="Q805" i="1"/>
  <c r="Q671" i="1"/>
  <c r="W946" i="1"/>
  <c r="Q866" i="1"/>
  <c r="Q291" i="1"/>
  <c r="Q276" i="1"/>
  <c r="Q967" i="1"/>
  <c r="Q928" i="1"/>
  <c r="V147" i="1"/>
  <c r="V639" i="1"/>
  <c r="W166" i="1"/>
  <c r="V434" i="1"/>
  <c r="Q21" i="1"/>
  <c r="Q354" i="1"/>
  <c r="W786" i="1"/>
  <c r="Q39" i="1"/>
  <c r="V324" i="1"/>
  <c r="Q348" i="1"/>
  <c r="Q290" i="1"/>
  <c r="Q260" i="1"/>
  <c r="W94" i="1"/>
  <c r="Q783" i="1"/>
  <c r="Q217" i="1"/>
  <c r="V656" i="1"/>
  <c r="V372" i="1"/>
  <c r="V292" i="1"/>
  <c r="V141" i="1"/>
  <c r="V798" i="1"/>
  <c r="V527" i="1"/>
  <c r="V158" i="1"/>
  <c r="Q364" i="1"/>
  <c r="W728" i="1"/>
  <c r="Q915" i="1"/>
  <c r="W892" i="1"/>
  <c r="W823" i="1"/>
  <c r="Q994" i="1"/>
  <c r="Q745" i="1"/>
  <c r="Q938" i="1"/>
  <c r="Q959" i="1"/>
  <c r="Q222" i="1"/>
  <c r="W261" i="1"/>
  <c r="V48" i="1"/>
  <c r="V49" i="1"/>
  <c r="Q19" i="1"/>
  <c r="Q495" i="1"/>
  <c r="Q810" i="1"/>
  <c r="V757" i="1"/>
  <c r="V388" i="1"/>
  <c r="V151" i="1"/>
  <c r="W171" i="1"/>
  <c r="Q249" i="1"/>
  <c r="V714" i="1"/>
  <c r="V120" i="1"/>
  <c r="V916" i="1"/>
  <c r="V660" i="1"/>
  <c r="W878" i="1"/>
  <c r="W950" i="1"/>
  <c r="W951" i="1"/>
  <c r="W187" i="1"/>
  <c r="Q875" i="1"/>
  <c r="Q815" i="1"/>
  <c r="W116" i="1"/>
  <c r="V308" i="1"/>
  <c r="V797" i="1"/>
  <c r="Q82" i="1"/>
  <c r="V299" i="1"/>
  <c r="V310" i="1"/>
  <c r="V977" i="1"/>
  <c r="Q1000" i="1"/>
  <c r="Q917" i="1"/>
  <c r="Q839" i="1"/>
  <c r="Q563" i="1"/>
  <c r="W11" i="1"/>
  <c r="Q95" i="1"/>
  <c r="V180" i="1"/>
  <c r="V331" i="1"/>
  <c r="Q956" i="1"/>
  <c r="Q304" i="1"/>
  <c r="Q808" i="1"/>
  <c r="Q137" i="1"/>
  <c r="Q826" i="1"/>
  <c r="V603" i="1"/>
  <c r="Q451" i="1"/>
  <c r="V972" i="1"/>
  <c r="Q353" i="1"/>
  <c r="Q859" i="1"/>
  <c r="W391" i="1"/>
  <c r="Q766" i="1"/>
  <c r="Q403" i="1"/>
  <c r="V28" i="1"/>
  <c r="W199" i="1"/>
  <c r="Q785" i="1"/>
  <c r="Q333" i="1"/>
  <c r="W270" i="1"/>
  <c r="W484" i="1"/>
  <c r="V118" i="1"/>
  <c r="V651" i="1"/>
  <c r="Q80" i="1"/>
  <c r="W750" i="1"/>
  <c r="Q303" i="1"/>
  <c r="W244" i="1"/>
  <c r="Q437" i="1"/>
  <c r="W644" i="1"/>
  <c r="W850" i="1"/>
  <c r="W259" i="1"/>
  <c r="W459" i="1"/>
  <c r="Q774" i="1"/>
  <c r="Q754" i="1"/>
  <c r="W323" i="1"/>
  <c r="W996" i="1"/>
  <c r="Q15" i="1"/>
  <c r="W273" i="1"/>
  <c r="W271" i="1"/>
  <c r="Q537" i="1"/>
  <c r="W41" i="1"/>
  <c r="W113" i="1"/>
  <c r="Q544" i="1"/>
  <c r="Q18" i="1"/>
  <c r="W162" i="1"/>
  <c r="W233" i="1"/>
  <c r="W377" i="1"/>
  <c r="W664" i="1"/>
  <c r="Q452" i="1"/>
  <c r="Q419" i="1"/>
  <c r="Q649" i="1"/>
  <c r="Q443" i="1"/>
  <c r="V786" i="1"/>
  <c r="Q585" i="1"/>
  <c r="Q383" i="1"/>
  <c r="W716" i="1"/>
  <c r="Q408" i="1"/>
  <c r="W935" i="1"/>
  <c r="Q707" i="1"/>
  <c r="W579" i="1"/>
  <c r="W106" i="1"/>
  <c r="Q577" i="1"/>
  <c r="W42" i="1"/>
  <c r="W416" i="1"/>
  <c r="V522" i="1"/>
  <c r="Q823" i="1"/>
  <c r="V846" i="1"/>
  <c r="Q324" i="1"/>
  <c r="Q455" i="1"/>
  <c r="Q134" i="1"/>
  <c r="W174" i="1"/>
  <c r="Q533" i="1"/>
  <c r="Q676" i="1"/>
  <c r="Q621" i="1"/>
  <c r="W96" i="1"/>
  <c r="W385" i="1"/>
  <c r="Q418" i="1"/>
  <c r="W330" i="1"/>
  <c r="Q343" i="1"/>
  <c r="V849" i="1"/>
  <c r="V218" i="1"/>
  <c r="V278" i="1"/>
  <c r="Q358" i="1"/>
  <c r="Q438" i="1"/>
  <c r="W881" i="1"/>
  <c r="Q492" i="1"/>
  <c r="Q123" i="1"/>
  <c r="V354" i="1"/>
  <c r="V124" i="1"/>
  <c r="V7" i="1"/>
  <c r="V432" i="1"/>
  <c r="Q506" i="1"/>
  <c r="V995" i="1"/>
  <c r="W547" i="1"/>
  <c r="W780" i="1"/>
  <c r="Q510" i="1"/>
  <c r="Q294" i="1"/>
  <c r="Q919" i="1"/>
  <c r="Q560" i="1"/>
  <c r="V406" i="1"/>
  <c r="W230" i="1"/>
  <c r="V222" i="1"/>
  <c r="V212" i="1"/>
  <c r="Q352" i="1"/>
  <c r="Q113" i="1"/>
  <c r="V900" i="1"/>
  <c r="Q625" i="1"/>
  <c r="W249" i="1"/>
  <c r="V994" i="1"/>
  <c r="V480" i="1"/>
  <c r="W916" i="1"/>
  <c r="W328" i="1"/>
  <c r="W305" i="1"/>
  <c r="W524" i="1"/>
  <c r="W667" i="1"/>
  <c r="W811" i="1"/>
  <c r="Q955" i="1"/>
  <c r="W886" i="1"/>
  <c r="Q27" i="1"/>
  <c r="Q779" i="1"/>
  <c r="W583" i="1"/>
  <c r="V968" i="1"/>
  <c r="Q120" i="1"/>
  <c r="V608" i="1"/>
  <c r="Q757" i="1"/>
  <c r="Q194" i="1"/>
  <c r="V438" i="1"/>
  <c r="V359" i="1"/>
  <c r="W873" i="1"/>
  <c r="W340" i="1"/>
  <c r="W987" i="1"/>
  <c r="Q317" i="1"/>
  <c r="W920" i="1"/>
  <c r="Q607" i="1"/>
  <c r="W967" i="1"/>
  <c r="Q273" i="1"/>
  <c r="Q950" i="1"/>
  <c r="Q716" i="1"/>
  <c r="Q446" i="1"/>
  <c r="V400" i="1"/>
  <c r="V689" i="1"/>
  <c r="V365" i="1"/>
  <c r="V858" i="1"/>
  <c r="W621" i="1"/>
  <c r="Q262" i="1"/>
  <c r="V371" i="1"/>
  <c r="V189" i="1"/>
  <c r="Q543" i="1"/>
  <c r="W67" i="1"/>
  <c r="V250" i="1"/>
  <c r="W755" i="1"/>
  <c r="Q720" i="1"/>
  <c r="V720" i="1"/>
  <c r="V650" i="1"/>
  <c r="W18" i="1"/>
  <c r="W71" i="1"/>
  <c r="W471" i="1"/>
  <c r="Q644" i="1"/>
  <c r="Q300" i="1"/>
  <c r="Q13" i="1"/>
  <c r="V15" i="1"/>
  <c r="V220" i="1"/>
  <c r="V749" i="1"/>
  <c r="V405" i="1"/>
  <c r="V213" i="1"/>
  <c r="W401" i="1"/>
  <c r="Q832" i="1"/>
  <c r="Q980" i="1"/>
  <c r="W12" i="1"/>
  <c r="Q22" i="1"/>
  <c r="Q153" i="1"/>
  <c r="Q683" i="1"/>
  <c r="Q33" i="1"/>
  <c r="W341" i="1"/>
  <c r="Q318" i="1"/>
  <c r="W436" i="1"/>
  <c r="Q119" i="1"/>
  <c r="Q61" i="1"/>
  <c r="V807" i="1"/>
  <c r="V517" i="1"/>
  <c r="V348" i="1"/>
  <c r="Q37" i="1"/>
  <c r="V56" i="1"/>
  <c r="V111" i="1"/>
  <c r="V592" i="1"/>
  <c r="V881" i="1"/>
  <c r="V2" i="1"/>
  <c r="V705" i="1"/>
  <c r="V659" i="1"/>
  <c r="V981" i="1"/>
  <c r="Q605" i="1"/>
  <c r="Q511" i="1"/>
  <c r="Q841" i="1"/>
  <c r="Q934" i="1"/>
  <c r="W132" i="1"/>
  <c r="W803" i="1"/>
  <c r="W235" i="1"/>
  <c r="V109" i="1"/>
  <c r="V664" i="1"/>
  <c r="V753" i="1"/>
  <c r="Q514" i="1"/>
  <c r="V503" i="1"/>
  <c r="W349" i="1"/>
  <c r="V344" i="1"/>
  <c r="V343" i="1"/>
  <c r="Q385" i="1"/>
  <c r="V363" i="1"/>
  <c r="V892" i="1"/>
  <c r="V199" i="1"/>
  <c r="W355" i="1"/>
  <c r="Q94" i="1"/>
  <c r="Q963" i="1"/>
  <c r="Q633" i="1"/>
  <c r="V992" i="1"/>
  <c r="Q572" i="1"/>
  <c r="Q540" i="1"/>
  <c r="V187" i="1"/>
  <c r="V379" i="1"/>
  <c r="V921" i="1"/>
  <c r="V26" i="1"/>
  <c r="W399" i="1"/>
  <c r="W441" i="1"/>
  <c r="W89" i="1"/>
  <c r="W376" i="1"/>
  <c r="W382" i="1"/>
  <c r="W643" i="1"/>
  <c r="Q393" i="1"/>
  <c r="Q624" i="1"/>
  <c r="V102" i="1"/>
  <c r="Q332" i="1"/>
  <c r="Q508" i="1"/>
  <c r="Q682" i="1"/>
  <c r="Q521" i="1"/>
  <c r="Q684" i="1"/>
  <c r="Q842" i="1"/>
  <c r="V895" i="1"/>
  <c r="V746" i="1"/>
  <c r="W991" i="1"/>
  <c r="Q773" i="1"/>
  <c r="V588" i="1"/>
  <c r="Q192" i="1"/>
  <c r="Q844" i="1"/>
  <c r="V602" i="1"/>
  <c r="Q74" i="1"/>
  <c r="V74" i="1"/>
  <c r="W830" i="1"/>
  <c r="V582" i="1"/>
  <c r="V579" i="1"/>
  <c r="V329" i="1"/>
  <c r="W709" i="1"/>
  <c r="W188" i="1"/>
  <c r="W902" i="1"/>
  <c r="Q906" i="1"/>
  <c r="Q295" i="1"/>
  <c r="Q854" i="1"/>
  <c r="Q748" i="1"/>
  <c r="V471" i="1"/>
  <c r="V951" i="1"/>
  <c r="Q800" i="1"/>
  <c r="V276" i="1"/>
  <c r="W219" i="1"/>
  <c r="Q435" i="1"/>
  <c r="W824" i="1"/>
  <c r="Q246" i="1"/>
  <c r="W462" i="1"/>
  <c r="W617" i="1"/>
  <c r="W833" i="1"/>
  <c r="W606" i="1"/>
  <c r="Q678" i="1"/>
  <c r="Q750" i="1"/>
  <c r="Q741" i="1"/>
  <c r="V741" i="1"/>
  <c r="Q706" i="1"/>
  <c r="V623" i="1"/>
  <c r="Q190" i="1"/>
  <c r="Q738" i="1"/>
  <c r="W114" i="1"/>
  <c r="W743" i="1"/>
  <c r="Q253" i="1"/>
  <c r="V123" i="1"/>
  <c r="Q391" i="1"/>
  <c r="V476" i="1"/>
  <c r="V589" i="1"/>
  <c r="W938" i="1"/>
  <c r="V938" i="1"/>
  <c r="Q298" i="1"/>
  <c r="W591" i="1"/>
  <c r="W879" i="1"/>
  <c r="W179" i="1"/>
  <c r="Q138" i="1"/>
  <c r="W497" i="1"/>
  <c r="Q284" i="1"/>
  <c r="V477" i="1"/>
  <c r="Q622" i="1"/>
  <c r="W770" i="1"/>
  <c r="V770" i="1"/>
  <c r="Q439" i="1"/>
  <c r="W616" i="1"/>
  <c r="V847" i="1"/>
  <c r="V90" i="1"/>
  <c r="Q213" i="1"/>
  <c r="V948" i="1"/>
  <c r="V610" i="1"/>
  <c r="Q968" i="1"/>
  <c r="V341" i="1"/>
  <c r="W775" i="1"/>
  <c r="W115" i="1"/>
  <c r="Q330" i="1"/>
  <c r="W845" i="1"/>
  <c r="Q535" i="1"/>
  <c r="W834" i="1"/>
  <c r="W978" i="1"/>
  <c r="Q756" i="1"/>
  <c r="Q275" i="1"/>
  <c r="W936" i="1"/>
  <c r="V936" i="1"/>
  <c r="W336" i="1"/>
  <c r="V914" i="1"/>
  <c r="W995" i="1"/>
  <c r="Q349" i="1"/>
  <c r="Q618" i="1"/>
  <c r="V563" i="1"/>
  <c r="W627" i="1"/>
  <c r="Q257" i="1"/>
  <c r="Q154" i="1"/>
  <c r="Q267" i="1"/>
  <c r="Q226" i="1"/>
  <c r="W821" i="1"/>
  <c r="V915" i="1"/>
  <c r="V605" i="1"/>
  <c r="W628" i="1"/>
  <c r="Q322" i="1"/>
  <c r="W747" i="1"/>
  <c r="W891" i="1"/>
  <c r="Q799" i="1"/>
  <c r="Q943" i="1"/>
  <c r="W668" i="1"/>
  <c r="Q525" i="1"/>
  <c r="Q813" i="1"/>
  <c r="V813" i="1"/>
  <c r="V254" i="1"/>
  <c r="Q876" i="1"/>
  <c r="Q240" i="1"/>
  <c r="V240" i="1"/>
  <c r="Q562" i="1"/>
  <c r="V206" i="1"/>
  <c r="W816" i="1"/>
  <c r="V816" i="1"/>
  <c r="Q89" i="1"/>
  <c r="Q685" i="1"/>
  <c r="Q794" i="1"/>
  <c r="V157" i="1"/>
  <c r="V25" i="1"/>
  <c r="W694" i="1"/>
  <c r="W713" i="1"/>
  <c r="W702" i="1"/>
  <c r="W911" i="1"/>
  <c r="V911" i="1"/>
  <c r="Q791" i="1"/>
  <c r="V791" i="1"/>
  <c r="Q940" i="1"/>
  <c r="W699" i="1"/>
  <c r="V692" i="1"/>
  <c r="V568" i="1"/>
  <c r="V217" i="1"/>
  <c r="V850" i="1"/>
  <c r="Q72" i="1"/>
  <c r="V72" i="1"/>
  <c r="Q204" i="1"/>
  <c r="W415" i="1"/>
  <c r="Q903" i="1"/>
  <c r="W880" i="1"/>
  <c r="W721" i="1"/>
  <c r="W147" i="1"/>
  <c r="Q45" i="1"/>
  <c r="V45" i="1"/>
  <c r="W413" i="1"/>
  <c r="Q215" i="1"/>
  <c r="W36" i="1"/>
  <c r="Q807" i="1"/>
  <c r="V511" i="1"/>
  <c r="Q992" i="1"/>
  <c r="V104" i="1"/>
  <c r="V301" i="1"/>
  <c r="V105" i="1"/>
  <c r="W925" i="1"/>
  <c r="W776" i="1"/>
  <c r="W472" i="1"/>
  <c r="W759" i="1"/>
  <c r="Q736" i="1"/>
  <c r="Q782" i="1"/>
  <c r="V782" i="1"/>
  <c r="Q236" i="1"/>
  <c r="W983" i="1"/>
  <c r="V983" i="1"/>
  <c r="Q8" i="1"/>
  <c r="W561" i="1"/>
  <c r="W40" i="1"/>
  <c r="W581" i="1"/>
  <c r="Q725" i="1"/>
  <c r="W487" i="1"/>
  <c r="W570" i="1"/>
  <c r="Q642" i="1"/>
  <c r="W930" i="1"/>
  <c r="W597" i="1"/>
  <c r="Q597" i="1"/>
  <c r="Q851" i="1"/>
  <c r="Q862" i="1"/>
  <c r="W39" i="1"/>
  <c r="Q504" i="1"/>
  <c r="V504" i="1"/>
  <c r="Q491" i="1"/>
  <c r="W324" i="1"/>
  <c r="W60" i="1"/>
  <c r="Q47" i="1"/>
  <c r="V47" i="1"/>
  <c r="W546" i="1"/>
  <c r="Q867" i="1"/>
  <c r="Q441" i="1"/>
  <c r="Q681" i="1"/>
  <c r="Q77" i="1"/>
  <c r="W151" i="1"/>
  <c r="V355" i="1"/>
  <c r="Q86" i="1"/>
  <c r="Q184" i="1"/>
  <c r="V607" i="1"/>
  <c r="Q765" i="1"/>
  <c r="V313" i="1"/>
  <c r="V923" i="1"/>
  <c r="Q40" i="1"/>
  <c r="Q679" i="1"/>
  <c r="W862" i="1"/>
  <c r="W392" i="1"/>
  <c r="Q892" i="1"/>
  <c r="Q494" i="1"/>
  <c r="Q740" i="1"/>
  <c r="Q946" i="1"/>
  <c r="W125" i="1"/>
  <c r="W843" i="1"/>
  <c r="Q445" i="1"/>
  <c r="Q117" i="1"/>
  <c r="W354" i="1"/>
  <c r="W790" i="1"/>
  <c r="W556" i="1"/>
  <c r="W937" i="1"/>
  <c r="W903" i="1"/>
  <c r="Q776" i="1"/>
  <c r="W157" i="1"/>
  <c r="Q996" i="1"/>
  <c r="Q935" i="1"/>
  <c r="Q628" i="1"/>
  <c r="Q951" i="1"/>
  <c r="Q233" i="1"/>
  <c r="Q845" i="1"/>
  <c r="W156" i="1"/>
  <c r="Q884" i="1"/>
  <c r="Q873" i="1"/>
  <c r="Q96" i="1"/>
  <c r="W64" i="1"/>
  <c r="Q136" i="1"/>
  <c r="Q279" i="1"/>
  <c r="W378" i="1"/>
  <c r="W680" i="1"/>
  <c r="Q598" i="1"/>
  <c r="W838" i="1"/>
  <c r="W515" i="1"/>
  <c r="W612" i="1"/>
  <c r="W934" i="1"/>
  <c r="W159" i="1"/>
  <c r="W309" i="1"/>
  <c r="Q309" i="1"/>
  <c r="W131" i="1"/>
  <c r="W35" i="1"/>
  <c r="W426" i="1"/>
  <c r="W685" i="1"/>
  <c r="Q995" i="1"/>
  <c r="Q902" i="1"/>
  <c r="Q858" i="1"/>
  <c r="Q34" i="1"/>
  <c r="Q98" i="1"/>
  <c r="Q816" i="1"/>
  <c r="Q936" i="1"/>
  <c r="W932" i="1"/>
  <c r="Q788" i="1"/>
  <c r="Q528" i="1"/>
  <c r="W77" i="1"/>
  <c r="W939" i="1"/>
  <c r="W611" i="1"/>
  <c r="Q302" i="1"/>
  <c r="W639" i="1"/>
  <c r="W640" i="1"/>
  <c r="W544" i="1"/>
  <c r="Q401" i="1"/>
  <c r="Q340" i="1"/>
  <c r="Q67" i="1"/>
  <c r="Q301" i="1"/>
  <c r="Q321" i="1"/>
  <c r="Q394" i="1"/>
  <c r="W55" i="1"/>
  <c r="Q699" i="1"/>
  <c r="W604" i="1"/>
  <c r="Q964" i="1"/>
  <c r="W404" i="1"/>
  <c r="Q413" i="1"/>
  <c r="W272" i="1"/>
  <c r="W488" i="1"/>
  <c r="W558" i="1"/>
  <c r="W180" i="1"/>
  <c r="Q165" i="1"/>
  <c r="W128" i="1"/>
  <c r="W255" i="1"/>
  <c r="W723" i="1"/>
  <c r="Q694" i="1"/>
  <c r="Q551" i="1"/>
  <c r="Q803" i="1"/>
  <c r="Q162" i="1"/>
  <c r="W366" i="1"/>
  <c r="W135" i="1"/>
  <c r="Q371" i="1"/>
  <c r="Q976" i="1"/>
  <c r="W448" i="1"/>
  <c r="W425" i="1"/>
  <c r="W856" i="1"/>
  <c r="W356" i="1"/>
  <c r="W787" i="1"/>
  <c r="Q931" i="1"/>
  <c r="W572" i="1"/>
  <c r="W239" i="1"/>
  <c r="W30" i="1"/>
  <c r="W638" i="1"/>
  <c r="Q206" i="1"/>
  <c r="Q323" i="1"/>
  <c r="Q400" i="1"/>
  <c r="Q461" i="1"/>
  <c r="Q374" i="1"/>
  <c r="Q961" i="1"/>
  <c r="W45" i="1"/>
  <c r="W735" i="1"/>
  <c r="W258" i="1"/>
  <c r="W789" i="1"/>
  <c r="Q789" i="1"/>
  <c r="W767" i="1"/>
  <c r="W588" i="1"/>
  <c r="W381" i="1"/>
  <c r="W648" i="1"/>
  <c r="W87" i="1"/>
  <c r="W678" i="1"/>
  <c r="W736" i="1"/>
  <c r="W160" i="1"/>
  <c r="W315" i="1"/>
  <c r="W783" i="1"/>
  <c r="Q900" i="1"/>
  <c r="Q166" i="1"/>
  <c r="Q524" i="1"/>
  <c r="W139" i="1"/>
  <c r="W653" i="1"/>
  <c r="Q947" i="1"/>
  <c r="W15" i="1"/>
  <c r="W580" i="1"/>
  <c r="W317" i="1"/>
  <c r="W749" i="1"/>
  <c r="Q821" i="1"/>
  <c r="W121" i="1"/>
  <c r="Q574" i="1"/>
  <c r="W518" i="1"/>
  <c r="Q742" i="1"/>
  <c r="W549" i="1"/>
  <c r="Q889" i="1"/>
  <c r="W679" i="1"/>
  <c r="W528" i="1"/>
  <c r="Q558" i="1"/>
  <c r="Q667" i="1"/>
  <c r="Q64" i="1"/>
  <c r="W104" i="1"/>
  <c r="W213" i="1"/>
  <c r="Q472" i="1"/>
  <c r="W650" i="1"/>
  <c r="Q680" i="1"/>
  <c r="Q409" i="1"/>
  <c r="W307" i="1"/>
  <c r="W124" i="1"/>
  <c r="W196" i="1"/>
  <c r="W339" i="1"/>
  <c r="W737" i="1"/>
  <c r="W596" i="1"/>
  <c r="W146" i="1"/>
  <c r="W359" i="1"/>
  <c r="W130" i="1"/>
  <c r="W536" i="1"/>
  <c r="W102" i="1"/>
  <c r="Q582" i="1"/>
  <c r="Q703" i="1"/>
  <c r="Q580" i="1"/>
  <c r="W526" i="1"/>
  <c r="Q179" i="1"/>
  <c r="Q101" i="1"/>
  <c r="W854" i="1"/>
  <c r="Q843" i="1"/>
  <c r="Q588" i="1"/>
  <c r="Q14" i="1"/>
  <c r="W890" i="1"/>
  <c r="Q890" i="1"/>
  <c r="W595" i="1"/>
  <c r="W884" i="1"/>
  <c r="W154" i="1"/>
  <c r="W952" i="1"/>
  <c r="Q545" i="1"/>
  <c r="Q515" i="1"/>
  <c r="Q663" i="1"/>
  <c r="Q879" i="1"/>
  <c r="Q704" i="1"/>
  <c r="Q612" i="1"/>
  <c r="W319" i="1"/>
  <c r="Q840" i="1"/>
  <c r="W552" i="1"/>
  <c r="W945" i="1"/>
  <c r="W965" i="1"/>
  <c r="W594" i="1"/>
  <c r="Q693" i="1"/>
  <c r="Q912" i="1"/>
  <c r="W659" i="1"/>
  <c r="W503" i="1"/>
  <c r="Q261" i="1"/>
  <c r="W633" i="1"/>
  <c r="Q412" i="1"/>
  <c r="Q105" i="1"/>
  <c r="W844" i="1"/>
  <c r="Q653" i="1"/>
  <c r="Q891" i="1"/>
  <c r="Q224" i="1"/>
  <c r="Q752" i="1"/>
  <c r="Q886" i="1"/>
  <c r="W331" i="1"/>
  <c r="W810" i="1"/>
  <c r="W636" i="1"/>
  <c r="W771" i="1"/>
  <c r="W820" i="1"/>
  <c r="W681" i="1"/>
  <c r="W969" i="1"/>
  <c r="W867" i="1"/>
  <c r="W485" i="1"/>
  <c r="Q429" i="1"/>
  <c r="W204" i="1"/>
  <c r="W913" i="1"/>
  <c r="W505" i="1"/>
  <c r="Q384" i="1"/>
  <c r="Q962" i="1"/>
  <c r="Q532" i="1"/>
  <c r="Q185" i="1"/>
  <c r="W16" i="1"/>
  <c r="Q893" i="1"/>
  <c r="Q713" i="1"/>
  <c r="Q268" i="1"/>
  <c r="Q430" i="1"/>
  <c r="Q182" i="1"/>
  <c r="Q759" i="1"/>
  <c r="W22" i="1"/>
  <c r="W761" i="1"/>
  <c r="W827" i="1"/>
  <c r="W726" i="1"/>
  <c r="Q187" i="1"/>
  <c r="Q220" i="1"/>
  <c r="Q939" i="1"/>
  <c r="Q320" i="1"/>
  <c r="Q872" i="1"/>
  <c r="Q780" i="1"/>
  <c r="W389" i="1"/>
  <c r="W980" i="1"/>
  <c r="W82" i="1"/>
  <c r="W291" i="1"/>
  <c r="W390" i="1"/>
  <c r="W689" i="1"/>
  <c r="W577" i="1"/>
  <c r="W223" i="1"/>
  <c r="W729" i="1"/>
  <c r="W161" i="1"/>
  <c r="W304" i="1"/>
  <c r="W210" i="1"/>
  <c r="W281" i="1"/>
  <c r="W353" i="1"/>
  <c r="W428" i="1"/>
  <c r="W859" i="1"/>
  <c r="W477" i="1"/>
  <c r="Q477" i="1"/>
  <c r="W263" i="1"/>
  <c r="W673" i="1"/>
  <c r="Q673" i="1"/>
  <c r="W697" i="1"/>
  <c r="W971" i="1"/>
  <c r="W901" i="1"/>
  <c r="Q770" i="1"/>
  <c r="W150" i="1"/>
  <c r="W402" i="1"/>
  <c r="Q199" i="1"/>
  <c r="Q436" i="1"/>
  <c r="Q711" i="1"/>
  <c r="Q896" i="1"/>
  <c r="W211" i="1"/>
  <c r="Q362" i="1"/>
  <c r="W257" i="1"/>
  <c r="W334" i="1"/>
  <c r="W361" i="1"/>
  <c r="W140" i="1"/>
  <c r="W79" i="1"/>
  <c r="W906" i="1"/>
  <c r="Q415" i="1"/>
  <c r="Q571" i="1"/>
  <c r="Q230" i="1"/>
  <c r="Q404" i="1"/>
  <c r="Q908" i="1"/>
  <c r="Q12" i="1"/>
  <c r="Q948" i="1"/>
  <c r="Q638" i="1"/>
  <c r="Q360" i="1"/>
  <c r="W173" i="1"/>
  <c r="W460" i="1"/>
  <c r="W603" i="1"/>
  <c r="W819" i="1"/>
  <c r="W91" i="1"/>
  <c r="Q5" i="1"/>
  <c r="Q156" i="1"/>
  <c r="Q664" i="1"/>
  <c r="Q327" i="1"/>
  <c r="Q591" i="1"/>
  <c r="Q920" i="1"/>
  <c r="Q610" i="1"/>
  <c r="Q60" i="1"/>
  <c r="Q565" i="1"/>
  <c r="W586" i="1"/>
  <c r="W602" i="1"/>
  <c r="W186" i="1"/>
  <c r="W379" i="1"/>
  <c r="W447" i="1"/>
  <c r="W474" i="1"/>
  <c r="W701" i="1"/>
  <c r="W989" i="1"/>
  <c r="W762" i="1"/>
  <c r="W501" i="1"/>
  <c r="W502" i="1"/>
  <c r="W814" i="1"/>
  <c r="W982" i="1"/>
  <c r="W875" i="1"/>
  <c r="W278" i="1"/>
  <c r="W732" i="1"/>
  <c r="W724" i="1"/>
  <c r="W512" i="1"/>
  <c r="W655" i="1"/>
  <c r="W656" i="1"/>
  <c r="Q73" i="1"/>
  <c r="W335" i="1"/>
  <c r="W314" i="1"/>
  <c r="W876" i="1"/>
  <c r="W766" i="1"/>
  <c r="W46" i="1"/>
  <c r="W53" i="1"/>
  <c r="W403" i="1"/>
  <c r="W801" i="1"/>
  <c r="W172" i="1"/>
  <c r="W243" i="1"/>
  <c r="W387" i="1"/>
  <c r="W531" i="1"/>
  <c r="W342" i="1"/>
  <c r="W929" i="1"/>
  <c r="W630" i="1"/>
  <c r="Q837" i="1"/>
  <c r="W529" i="1"/>
  <c r="W754" i="1"/>
  <c r="W290" i="1"/>
  <c r="W183" i="1"/>
  <c r="W647" i="1"/>
  <c r="Q69" i="1"/>
  <c r="Q237" i="1"/>
  <c r="Q960" i="1"/>
  <c r="W333" i="1"/>
  <c r="W152" i="1"/>
  <c r="W494" i="1"/>
  <c r="Q258" i="1"/>
  <c r="Q247" i="1"/>
  <c r="Q835" i="1"/>
  <c r="W979" i="1"/>
  <c r="Q518" i="1"/>
  <c r="Q743" i="1"/>
  <c r="Q244" i="1"/>
  <c r="W38" i="1"/>
  <c r="Q735" i="1"/>
  <c r="Q987" i="1"/>
  <c r="Q488" i="1"/>
  <c r="Q932" i="1"/>
  <c r="Q132" i="1"/>
  <c r="W90" i="1"/>
  <c r="W301" i="1"/>
  <c r="W540" i="1"/>
  <c r="W316" i="1"/>
  <c r="W475" i="1"/>
  <c r="W758" i="1"/>
  <c r="W386" i="1"/>
  <c r="W409" i="1"/>
  <c r="W371" i="1"/>
  <c r="W545" i="1"/>
  <c r="W625" i="1"/>
  <c r="W28" i="1"/>
  <c r="W944" i="1"/>
  <c r="W885" i="1"/>
  <c r="W663" i="1"/>
  <c r="W795" i="1"/>
  <c r="W101" i="1"/>
  <c r="W629" i="1"/>
  <c r="W44" i="1"/>
  <c r="W98" i="1"/>
  <c r="W430" i="1"/>
  <c r="W684" i="1"/>
  <c r="W421" i="1"/>
  <c r="W418" i="1"/>
  <c r="W464" i="1"/>
  <c r="W482" i="1"/>
  <c r="W748" i="1"/>
  <c r="W224" i="1"/>
  <c r="W253" i="1"/>
  <c r="W374" i="1"/>
  <c r="W514" i="1"/>
  <c r="W61" i="1"/>
  <c r="W744" i="1"/>
  <c r="W887" i="1"/>
  <c r="W569" i="1"/>
  <c r="W883" i="1"/>
  <c r="W933" i="1"/>
  <c r="W768" i="1"/>
  <c r="W357" i="1"/>
  <c r="W809" i="1"/>
  <c r="W510" i="1"/>
  <c r="W481" i="1"/>
  <c r="W201" i="1"/>
  <c r="W574" i="1"/>
  <c r="W108" i="1"/>
  <c r="W641" i="1"/>
  <c r="W380" i="1"/>
  <c r="W221" i="1"/>
  <c r="W632" i="1"/>
  <c r="W73" i="1"/>
  <c r="W781" i="1"/>
  <c r="W321" i="1"/>
  <c r="W565" i="1"/>
  <c r="W517" i="1"/>
  <c r="W144" i="1"/>
  <c r="W63" i="1"/>
  <c r="W825" i="1"/>
  <c r="W218" i="1"/>
  <c r="W490" i="1"/>
  <c r="W423" i="1"/>
  <c r="W338" i="1"/>
  <c r="W896" i="1"/>
  <c r="W519" i="1"/>
  <c r="W86" i="1"/>
  <c r="W14" i="1"/>
  <c r="W742" i="1"/>
  <c r="W601" i="1"/>
  <c r="W228" i="1"/>
  <c r="W912" i="1"/>
  <c r="W805" i="1"/>
  <c r="W550" i="1"/>
  <c r="W302" i="1"/>
  <c r="W968" i="1"/>
  <c r="W893" i="1"/>
  <c r="W582" i="1"/>
  <c r="W740" i="1"/>
  <c r="W122" i="1"/>
  <c r="W362" i="1"/>
  <c r="W446" i="1"/>
  <c r="W948" i="1"/>
  <c r="W774" i="1"/>
  <c r="W164" i="1"/>
  <c r="W700" i="1"/>
  <c r="W847" i="1"/>
  <c r="W635" i="1"/>
  <c r="W110" i="1"/>
  <c r="W345" i="1"/>
  <c r="W674" i="1"/>
  <c r="W642" i="1"/>
  <c r="W148" i="1"/>
  <c r="W435" i="1"/>
  <c r="W155" i="1"/>
  <c r="W246" i="1"/>
  <c r="W662" i="1"/>
  <c r="W970" i="1"/>
  <c r="W564" i="1"/>
  <c r="W190" i="1"/>
  <c r="W555" i="1"/>
  <c r="W571" i="1"/>
  <c r="W566" i="1"/>
  <c r="W794" i="1"/>
  <c r="W842" i="1"/>
  <c r="W961" i="1"/>
  <c r="W444" i="1"/>
  <c r="W13" i="1"/>
  <c r="W32" i="1"/>
  <c r="W593" i="1"/>
  <c r="W587" i="1"/>
  <c r="W209" i="1"/>
  <c r="W83" i="1"/>
  <c r="W688" i="1"/>
  <c r="W904" i="1"/>
  <c r="W691" i="1"/>
  <c r="W907" i="1"/>
  <c r="W527" i="1"/>
  <c r="W325" i="1"/>
  <c r="W93" i="1"/>
  <c r="W234" i="1"/>
  <c r="W677" i="1"/>
  <c r="W666" i="1"/>
  <c r="W410" i="1"/>
  <c r="W50" i="1"/>
  <c r="W468" i="1"/>
  <c r="W427" i="1"/>
  <c r="W870" i="1"/>
  <c r="W645" i="1"/>
  <c r="W576" i="1"/>
  <c r="W168" i="1"/>
  <c r="W542" i="1"/>
  <c r="W26" i="1"/>
  <c r="W473" i="1"/>
  <c r="W672" i="1"/>
  <c r="W288" i="1"/>
  <c r="W51" i="1"/>
  <c r="W769" i="1"/>
  <c r="W613" i="1"/>
  <c r="W9" i="1"/>
  <c r="W226" i="1"/>
  <c r="W450" i="1"/>
  <c r="W614" i="1"/>
  <c r="W841" i="1"/>
  <c r="W250" i="1"/>
  <c r="W988" i="1"/>
  <c r="W559" i="1"/>
  <c r="W384" i="1"/>
  <c r="W897" i="1"/>
  <c r="W478" i="1"/>
  <c r="W59" i="1"/>
  <c r="W438" i="1"/>
  <c r="W730" i="1"/>
  <c r="W431" i="1"/>
  <c r="W877" i="1"/>
  <c r="W720" i="1"/>
  <c r="W986" i="1"/>
  <c r="W65" i="1"/>
  <c r="W496" i="1"/>
  <c r="W763" i="1"/>
  <c r="W669" i="1"/>
  <c r="W207" i="1"/>
  <c r="W434" i="1"/>
  <c r="W200" i="1"/>
  <c r="W738" i="1"/>
  <c r="W658" i="1"/>
  <c r="W57" i="1"/>
  <c r="W143" i="1"/>
  <c r="W54" i="1"/>
  <c r="W238" i="1"/>
  <c r="W719" i="1"/>
  <c r="W202" i="1"/>
  <c r="W993" i="1"/>
  <c r="W175" i="1"/>
  <c r="W534" i="1"/>
  <c r="W451" i="1"/>
  <c r="W822" i="1"/>
  <c r="W453" i="1"/>
  <c r="W708" i="1"/>
  <c r="W539" i="1"/>
  <c r="W949" i="1"/>
  <c r="W458" i="1"/>
  <c r="W332" i="1"/>
  <c r="W176" i="1"/>
  <c r="W483" i="1"/>
  <c r="W294" i="1"/>
  <c r="W665" i="1"/>
  <c r="W953" i="1"/>
  <c r="W654" i="1"/>
  <c r="W492" i="1"/>
  <c r="W181" i="1"/>
  <c r="W229" i="1"/>
  <c r="W921" i="1"/>
  <c r="W137" i="1"/>
  <c r="W424" i="1"/>
  <c r="W999" i="1"/>
  <c r="W832" i="1"/>
  <c r="W590" i="1"/>
  <c r="W619" i="1"/>
  <c r="W251" i="1"/>
  <c r="O3" i="1"/>
  <c r="W3" i="1"/>
  <c r="W19" i="1"/>
  <c r="W279" i="1"/>
  <c r="W163" i="1"/>
  <c r="W981" i="1"/>
  <c r="W405" i="1"/>
  <c r="W4" i="1"/>
  <c r="W364" i="1"/>
  <c r="W772" i="1"/>
  <c r="W75" i="1"/>
  <c r="W195" i="1"/>
  <c r="W43" i="1"/>
  <c r="W705" i="1"/>
  <c r="W310" i="1"/>
  <c r="W905" i="1"/>
  <c r="W623" i="1"/>
  <c r="W170" i="1"/>
  <c r="W109" i="1"/>
  <c r="W367" i="1"/>
  <c r="W92" i="1"/>
  <c r="W138" i="1"/>
  <c r="W928" i="1"/>
  <c r="W931" i="1"/>
  <c r="W344" i="1"/>
  <c r="W532" i="1"/>
  <c r="W372" i="1"/>
  <c r="W352" i="1"/>
  <c r="W927" i="1"/>
  <c r="W548" i="1"/>
  <c r="W189" i="1"/>
  <c r="W136" i="1"/>
  <c r="W306" i="1"/>
  <c r="W605" i="1"/>
  <c r="W511" i="1"/>
  <c r="W882" i="1"/>
  <c r="W598" i="1"/>
  <c r="W266" i="1"/>
  <c r="W169" i="1"/>
  <c r="W350" i="1"/>
  <c r="W31" i="1"/>
  <c r="W68" i="1"/>
  <c r="W538" i="1"/>
  <c r="W149" i="1"/>
  <c r="W292" i="1"/>
  <c r="W269" i="1"/>
  <c r="W557" i="1"/>
  <c r="W631" i="1"/>
  <c r="W984" i="1"/>
  <c r="W829" i="1"/>
  <c r="W129" i="1"/>
  <c r="W962" i="1"/>
  <c r="W363" i="1"/>
  <c r="W274" i="1"/>
  <c r="W977" i="1"/>
  <c r="W706" i="1"/>
  <c r="W972" i="1"/>
  <c r="W922" i="1"/>
  <c r="W48" i="1"/>
  <c r="W227" i="1"/>
  <c r="W165" i="1"/>
  <c r="W178" i="1"/>
  <c r="W297" i="1"/>
  <c r="W465" i="1"/>
  <c r="W753" i="1"/>
  <c r="W88" i="1"/>
  <c r="W303" i="1"/>
  <c r="W375" i="1"/>
  <c r="W454" i="1"/>
  <c r="W917" i="1"/>
  <c r="W463" i="1"/>
  <c r="W690" i="1"/>
  <c r="W764" i="1"/>
  <c r="W998" i="1"/>
  <c r="W311" i="1"/>
  <c r="W99" i="1"/>
  <c r="W718" i="1"/>
  <c r="W275" i="1"/>
  <c r="W973" i="1"/>
  <c r="W914" i="1"/>
  <c r="W499" i="1"/>
  <c r="W942" i="1"/>
  <c r="W947" i="1"/>
  <c r="W407" i="1"/>
  <c r="W241" i="1"/>
  <c r="W874" i="1"/>
  <c r="W432" i="1"/>
  <c r="W7" i="1"/>
  <c r="W957" i="1"/>
  <c r="W954" i="1"/>
  <c r="W212" i="1"/>
  <c r="W620" i="1"/>
  <c r="W198" i="1"/>
  <c r="W926" i="1"/>
  <c r="W717" i="1"/>
  <c r="W469" i="1"/>
  <c r="W84" i="1"/>
  <c r="W888" i="1"/>
  <c r="W507" i="1"/>
  <c r="W103" i="1"/>
  <c r="W966" i="1"/>
  <c r="W516" i="1"/>
  <c r="W731" i="1"/>
  <c r="W792" i="1"/>
  <c r="W660" i="1"/>
  <c r="W21" i="1"/>
  <c r="W578" i="1"/>
  <c r="W231" i="1"/>
  <c r="W192" i="1"/>
  <c r="W756" i="1"/>
  <c r="W646" i="1"/>
  <c r="W25" i="1"/>
  <c r="W599" i="1"/>
  <c r="W252" i="1"/>
  <c r="W815" i="1"/>
  <c r="W489" i="1"/>
  <c r="W777" i="1"/>
  <c r="W346" i="1"/>
  <c r="W29" i="1"/>
  <c r="W388" i="1"/>
  <c r="W675" i="1"/>
  <c r="W6" i="1"/>
  <c r="W78" i="1"/>
  <c r="W293" i="1"/>
  <c r="W365" i="1"/>
  <c r="W437" i="1"/>
  <c r="W509" i="1"/>
  <c r="W652" i="1"/>
  <c r="W796" i="1"/>
  <c r="W868" i="1"/>
  <c r="W734" i="1"/>
  <c r="W368" i="1"/>
  <c r="W440" i="1"/>
  <c r="W727" i="1"/>
  <c r="W799" i="1"/>
  <c r="W943" i="1"/>
  <c r="W525" i="1"/>
  <c r="W813" i="1"/>
  <c r="W860" i="1"/>
  <c r="W839" i="1"/>
  <c r="W240" i="1"/>
  <c r="W563" i="1"/>
  <c r="W997" i="1"/>
  <c r="W506" i="1"/>
  <c r="W313" i="1"/>
  <c r="W562" i="1"/>
  <c r="W299" i="1"/>
  <c r="W530" i="1"/>
  <c r="W457" i="1"/>
  <c r="W177" i="1"/>
  <c r="W554" i="1"/>
  <c r="W33" i="1"/>
  <c r="W95" i="1"/>
  <c r="W214" i="1"/>
  <c r="W872" i="1"/>
  <c r="W609" i="1"/>
  <c r="W52" i="1"/>
  <c r="W411" i="1"/>
  <c r="W466" i="1"/>
  <c r="W205" i="1"/>
  <c r="W396" i="1"/>
  <c r="W280" i="1"/>
  <c r="W567" i="1"/>
  <c r="W855" i="1"/>
  <c r="W329" i="1"/>
  <c r="W760" i="1"/>
  <c r="W476" i="1"/>
  <c r="W153" i="1"/>
  <c r="W657" i="1"/>
  <c r="W208" i="1"/>
  <c r="W495" i="1"/>
  <c r="W522" i="1"/>
  <c r="W126" i="1"/>
  <c r="W286" i="1"/>
  <c r="W347" i="1"/>
  <c r="W80" i="1"/>
  <c r="W76" i="1"/>
  <c r="W318" i="1"/>
  <c r="W523" i="1"/>
  <c r="W894" i="1"/>
  <c r="W741" i="1"/>
  <c r="W575" i="1"/>
  <c r="W985" i="1"/>
  <c r="W397" i="1"/>
  <c r="W322" i="1"/>
  <c r="W203" i="1"/>
  <c r="W773" i="1"/>
  <c r="W535" i="1"/>
  <c r="W710" i="1"/>
  <c r="W513" i="1"/>
  <c r="W100" i="1"/>
  <c r="W956" i="1"/>
  <c r="W370" i="1"/>
  <c r="W127" i="1"/>
  <c r="W414" i="1"/>
  <c r="W486" i="1"/>
  <c r="W785" i="1"/>
  <c r="W857" i="1"/>
  <c r="W1001" i="1"/>
  <c r="W846" i="1"/>
  <c r="W918" i="1"/>
  <c r="W990" i="1"/>
  <c r="W848" i="1"/>
  <c r="W145" i="1"/>
  <c r="W898" i="1"/>
  <c r="W493" i="1"/>
  <c r="W37" i="1"/>
  <c r="W828" i="1"/>
  <c r="W395" i="1"/>
  <c r="W264" i="1"/>
  <c r="W791" i="1"/>
  <c r="W908" i="1"/>
  <c r="W778" i="1"/>
  <c r="W433" i="1"/>
  <c r="W899" i="1"/>
  <c r="W300" i="1"/>
  <c r="W589" i="1"/>
  <c r="W85" i="1"/>
  <c r="W698" i="1"/>
  <c r="W69" i="1"/>
  <c r="W237" i="1"/>
  <c r="W746" i="1"/>
  <c r="W81" i="1"/>
  <c r="W960" i="1"/>
  <c r="W537" i="1"/>
  <c r="W394" i="1"/>
  <c r="W256" i="1"/>
  <c r="W615" i="1"/>
  <c r="W687" i="1"/>
  <c r="W831" i="1"/>
  <c r="W975" i="1"/>
  <c r="W449" i="1"/>
  <c r="W521" i="1"/>
  <c r="W592" i="1"/>
  <c r="W836" i="1"/>
  <c r="W782" i="1"/>
  <c r="W236" i="1"/>
  <c r="W308" i="1"/>
  <c r="W452" i="1"/>
  <c r="W739" i="1"/>
  <c r="W955" i="1"/>
  <c r="W573" i="1"/>
  <c r="W861" i="1"/>
  <c r="W692" i="1"/>
  <c r="W326" i="1"/>
  <c r="W865" i="1"/>
  <c r="W924" i="1"/>
  <c r="W289" i="1"/>
  <c r="W671" i="1"/>
  <c r="W27" i="1"/>
  <c r="W49" i="1"/>
  <c r="W373" i="1"/>
  <c r="W863" i="1"/>
  <c r="W5" i="1"/>
  <c r="W283" i="1"/>
  <c r="W8" i="1"/>
  <c r="W112" i="1"/>
  <c r="W543" i="1"/>
  <c r="W498" i="1"/>
  <c r="W725" i="1"/>
  <c r="W797" i="1"/>
  <c r="W869" i="1"/>
  <c r="W941" i="1"/>
  <c r="W714" i="1"/>
  <c r="W20" i="1"/>
  <c r="W915" i="1"/>
  <c r="W245" i="1"/>
  <c r="W533" i="1"/>
  <c r="W676" i="1"/>
  <c r="W248" i="1"/>
  <c r="W751" i="1"/>
  <c r="W807" i="1"/>
  <c r="W298" i="1"/>
  <c r="W17" i="1"/>
  <c r="W232" i="1"/>
  <c r="W520" i="1"/>
  <c r="W812" i="1"/>
  <c r="W66" i="1"/>
  <c r="W568" i="1"/>
  <c r="W712" i="1"/>
  <c r="W784" i="1"/>
  <c r="W686" i="1"/>
  <c r="W974" i="1"/>
  <c r="W284" i="1"/>
  <c r="W500" i="1"/>
  <c r="W715" i="1"/>
  <c r="W695" i="1"/>
  <c r="W804" i="1"/>
  <c r="W661" i="1"/>
  <c r="W422" i="1"/>
  <c r="W622" i="1"/>
  <c r="W398" i="1"/>
  <c r="W242" i="1"/>
  <c r="W864" i="1"/>
  <c r="W802" i="1"/>
  <c r="W158" i="1"/>
  <c r="W216" i="1"/>
  <c r="W722" i="1"/>
  <c r="W70" i="1"/>
  <c r="W393" i="1"/>
  <c r="W626" i="1"/>
  <c r="W417" i="1"/>
  <c r="W461" i="1"/>
  <c r="W634" i="1"/>
  <c r="W456" i="1"/>
  <c r="W866" i="1"/>
  <c r="W369" i="1"/>
  <c r="W141" i="1"/>
  <c r="W818" i="1"/>
  <c r="W849" i="1"/>
  <c r="W262" i="1"/>
  <c r="W23" i="1"/>
  <c r="W793" i="1"/>
  <c r="W277" i="1"/>
  <c r="W118" i="1"/>
  <c r="W649" i="1"/>
  <c r="W806" i="1"/>
  <c r="W337" i="1"/>
  <c r="W958" i="1"/>
  <c r="W420" i="1"/>
  <c r="W287" i="1"/>
  <c r="W851" i="1"/>
  <c r="W408" i="1"/>
  <c r="W133" i="1"/>
  <c r="W265" i="1"/>
  <c r="W910" i="1"/>
  <c r="W491" i="1"/>
  <c r="W826" i="1"/>
  <c r="W707" i="1"/>
  <c r="W348" i="1"/>
  <c r="W62" i="1"/>
  <c r="W637" i="1"/>
  <c r="W24" i="1"/>
  <c r="W852" i="1"/>
  <c r="W10" i="1"/>
  <c r="W167" i="1"/>
  <c r="W553" i="1"/>
  <c r="W47" i="1"/>
  <c r="W142" i="1"/>
  <c r="W585" i="1"/>
  <c r="W358" i="1"/>
  <c r="W442" i="1"/>
  <c r="W406" i="1"/>
  <c r="W909" i="1"/>
  <c r="W479" i="1"/>
  <c r="W74" i="1"/>
  <c r="W853" i="1"/>
  <c r="W600" i="1"/>
  <c r="W994" i="1"/>
  <c r="W97" i="1"/>
  <c r="W134" i="1"/>
  <c r="W193" i="1"/>
  <c r="W445" i="1"/>
  <c r="W312" i="1"/>
  <c r="W670" i="1"/>
  <c r="W467" i="1"/>
  <c r="W541" i="1"/>
  <c r="W470" i="1"/>
  <c r="W58" i="1"/>
  <c r="W225" i="1"/>
  <c r="W745" i="1"/>
  <c r="W72" i="1"/>
  <c r="W817" i="1"/>
  <c r="W285" i="1"/>
  <c r="W959" i="1"/>
  <c r="W282" i="1"/>
  <c r="W320" i="1"/>
  <c r="W111" i="1"/>
  <c r="O2" i="1"/>
  <c r="O403" i="1"/>
  <c r="O203" i="1"/>
  <c r="O454" i="1"/>
  <c r="O115" i="1"/>
  <c r="O187" i="1"/>
  <c r="O258" i="1"/>
  <c r="O330" i="1"/>
  <c r="O402" i="1"/>
  <c r="O474" i="1"/>
  <c r="O546" i="1"/>
  <c r="O629" i="1"/>
  <c r="O701" i="1"/>
  <c r="O773" i="1"/>
  <c r="O845" i="1"/>
  <c r="O917" i="1"/>
  <c r="O989" i="1"/>
  <c r="O463" i="1"/>
  <c r="O535" i="1"/>
  <c r="O618" i="1"/>
  <c r="O690" i="1"/>
  <c r="O762" i="1"/>
  <c r="O834" i="1"/>
  <c r="O906" i="1"/>
  <c r="O978" i="1"/>
  <c r="O764" i="1"/>
  <c r="O710" i="1"/>
  <c r="O998" i="1"/>
  <c r="O501" i="1"/>
  <c r="O789" i="1"/>
  <c r="O502" i="1"/>
  <c r="O814" i="1"/>
  <c r="O182" i="1"/>
  <c r="O767" i="1"/>
  <c r="O982" i="1"/>
  <c r="O683" i="1"/>
  <c r="O610" i="1"/>
  <c r="O743" i="1"/>
  <c r="O588" i="1"/>
  <c r="O192" i="1"/>
  <c r="O756" i="1"/>
  <c r="O646" i="1"/>
  <c r="O311" i="1"/>
  <c r="O923" i="1"/>
  <c r="O99" i="1"/>
  <c r="O361" i="1"/>
  <c r="O718" i="1"/>
  <c r="O25" i="1"/>
  <c r="O275" i="1"/>
  <c r="O599" i="1"/>
  <c r="O875" i="1"/>
  <c r="O252" i="1"/>
  <c r="O684" i="1"/>
  <c r="O421" i="1"/>
  <c r="O973" i="1"/>
  <c r="O278" i="1"/>
  <c r="O936" i="1"/>
  <c r="O732" i="1"/>
  <c r="O336" i="1"/>
  <c r="O887" i="1"/>
  <c r="O119" i="1"/>
  <c r="O381" i="1"/>
  <c r="O914" i="1"/>
  <c r="O648" i="1"/>
  <c r="O191" i="1"/>
  <c r="O815" i="1"/>
  <c r="O144" i="1"/>
  <c r="O116" i="1"/>
  <c r="O161" i="1"/>
  <c r="O951" i="1"/>
  <c r="O784" i="1"/>
  <c r="O643" i="1"/>
  <c r="O800" i="1"/>
  <c r="O804" i="1"/>
  <c r="O622" i="1"/>
  <c r="O971" i="1"/>
  <c r="O216" i="1"/>
  <c r="O393" i="1"/>
  <c r="O346" i="1"/>
  <c r="O825" i="1"/>
  <c r="O315" i="1"/>
  <c r="O459" i="1"/>
  <c r="O956" i="1"/>
  <c r="O101" i="1"/>
  <c r="O244" i="1"/>
  <c r="O316" i="1"/>
  <c r="O460" i="1"/>
  <c r="O532" i="1"/>
  <c r="O603" i="1"/>
  <c r="O675" i="1"/>
  <c r="O747" i="1"/>
  <c r="O819" i="1"/>
  <c r="O891" i="1"/>
  <c r="O963" i="1"/>
  <c r="O896" i="1"/>
  <c r="O6" i="1"/>
  <c r="O78" i="1"/>
  <c r="O150" i="1"/>
  <c r="O221" i="1"/>
  <c r="O293" i="1"/>
  <c r="O365" i="1"/>
  <c r="O437" i="1"/>
  <c r="O509" i="1"/>
  <c r="O580" i="1"/>
  <c r="O652" i="1"/>
  <c r="O724" i="1"/>
  <c r="O796" i="1"/>
  <c r="O868" i="1"/>
  <c r="O940" i="1"/>
  <c r="O644" i="1"/>
  <c r="O526" i="1"/>
  <c r="O734" i="1"/>
  <c r="O224" i="1"/>
  <c r="O296" i="1"/>
  <c r="O368" i="1"/>
  <c r="O440" i="1"/>
  <c r="O512" i="1"/>
  <c r="O583" i="1"/>
  <c r="O655" i="1"/>
  <c r="O727" i="1"/>
  <c r="O799" i="1"/>
  <c r="O871" i="1"/>
  <c r="O943" i="1"/>
  <c r="O668" i="1"/>
  <c r="O525" i="1"/>
  <c r="O813" i="1"/>
  <c r="O656" i="1"/>
  <c r="O860" i="1"/>
  <c r="O73" i="1"/>
  <c r="O335" i="1"/>
  <c r="O314" i="1"/>
  <c r="O254" i="1"/>
  <c r="O839" i="1"/>
  <c r="O876" i="1"/>
  <c r="O733" i="1"/>
  <c r="O518" i="1"/>
  <c r="O240" i="1"/>
  <c r="O766" i="1"/>
  <c r="O563" i="1"/>
  <c r="O997" i="1"/>
  <c r="O446" i="1"/>
  <c r="O86" i="1"/>
  <c r="O506" i="1"/>
  <c r="O313" i="1"/>
  <c r="O562" i="1"/>
  <c r="O850" i="1"/>
  <c r="O299" i="1"/>
  <c r="O530" i="1"/>
  <c r="O206" i="1"/>
  <c r="O63" i="1"/>
  <c r="O457" i="1"/>
  <c r="O11" i="1"/>
  <c r="O177" i="1"/>
  <c r="O554" i="1"/>
  <c r="O33" i="1"/>
  <c r="O816" i="1"/>
  <c r="O46" i="1"/>
  <c r="O95" i="1"/>
  <c r="O214" i="1"/>
  <c r="O489" i="1"/>
  <c r="O908" i="1"/>
  <c r="O735" i="1"/>
  <c r="O497" i="1"/>
  <c r="O428" i="1"/>
  <c r="O271" i="1"/>
  <c r="O28" i="1"/>
  <c r="O387" i="1"/>
  <c r="O531" i="1"/>
  <c r="O370" i="1"/>
  <c r="O29" i="1"/>
  <c r="O173" i="1"/>
  <c r="O388" i="1"/>
  <c r="O283" i="1"/>
  <c r="O8" i="1"/>
  <c r="O152" i="1"/>
  <c r="O561" i="1"/>
  <c r="O849" i="1"/>
  <c r="O394" i="1"/>
  <c r="O55" i="1"/>
  <c r="O127" i="1"/>
  <c r="O199" i="1"/>
  <c r="O270" i="1"/>
  <c r="O342" i="1"/>
  <c r="O414" i="1"/>
  <c r="O486" i="1"/>
  <c r="O569" i="1"/>
  <c r="O641" i="1"/>
  <c r="O713" i="1"/>
  <c r="O785" i="1"/>
  <c r="O857" i="1"/>
  <c r="O929" i="1"/>
  <c r="O1001" i="1"/>
  <c r="O475" i="1"/>
  <c r="O547" i="1"/>
  <c r="O630" i="1"/>
  <c r="O702" i="1"/>
  <c r="O774" i="1"/>
  <c r="O846" i="1"/>
  <c r="O918" i="1"/>
  <c r="O990" i="1"/>
  <c r="O848" i="1"/>
  <c r="O758" i="1"/>
  <c r="O549" i="1"/>
  <c r="O837" i="1"/>
  <c r="O145" i="1"/>
  <c r="O898" i="1"/>
  <c r="O13" i="1"/>
  <c r="O493" i="1"/>
  <c r="O911" i="1"/>
  <c r="O529" i="1"/>
  <c r="O779" i="1"/>
  <c r="O754" i="1"/>
  <c r="O37" i="1"/>
  <c r="O948" i="1"/>
  <c r="O290" i="1"/>
  <c r="O828" i="1"/>
  <c r="O790" i="1"/>
  <c r="O395" i="1"/>
  <c r="O264" i="1"/>
  <c r="O183" i="1"/>
  <c r="O791" i="1"/>
  <c r="O778" i="1"/>
  <c r="O433" i="1"/>
  <c r="O323" i="1"/>
  <c r="O647" i="1"/>
  <c r="O899" i="1"/>
  <c r="O300" i="1"/>
  <c r="O996" i="1"/>
  <c r="O589" i="1"/>
  <c r="O15" i="1"/>
  <c r="O494" i="1"/>
  <c r="O85" i="1"/>
  <c r="O780" i="1"/>
  <c r="O698" i="1"/>
  <c r="O69" i="1"/>
  <c r="O237" i="1"/>
  <c r="O746" i="1"/>
  <c r="O81" i="1"/>
  <c r="O960" i="1"/>
  <c r="O273" i="1"/>
  <c r="O333" i="1"/>
  <c r="O386" i="1"/>
  <c r="O322" i="1"/>
  <c r="O812" i="1"/>
  <c r="O856" i="1"/>
  <c r="O571" i="1"/>
  <c r="O608" i="1"/>
  <c r="O673" i="1"/>
  <c r="O901" i="1"/>
  <c r="O626" i="1"/>
  <c r="O112" i="1"/>
  <c r="O41" i="1"/>
  <c r="O256" i="1"/>
  <c r="O400" i="1"/>
  <c r="O472" i="1"/>
  <c r="O544" i="1"/>
  <c r="O615" i="1"/>
  <c r="O687" i="1"/>
  <c r="O759" i="1"/>
  <c r="O831" i="1"/>
  <c r="O903" i="1"/>
  <c r="O975" i="1"/>
  <c r="O992" i="1"/>
  <c r="O18" i="1"/>
  <c r="O90" i="1"/>
  <c r="O162" i="1"/>
  <c r="O233" i="1"/>
  <c r="O305" i="1"/>
  <c r="O377" i="1"/>
  <c r="O449" i="1"/>
  <c r="O521" i="1"/>
  <c r="O592" i="1"/>
  <c r="O664" i="1"/>
  <c r="O736" i="1"/>
  <c r="O808" i="1"/>
  <c r="O880" i="1"/>
  <c r="O952" i="1"/>
  <c r="O836" i="1"/>
  <c r="O782" i="1"/>
  <c r="O236" i="1"/>
  <c r="O308" i="1"/>
  <c r="O380" i="1"/>
  <c r="O452" i="1"/>
  <c r="O524" i="1"/>
  <c r="O595" i="1"/>
  <c r="O667" i="1"/>
  <c r="O739" i="1"/>
  <c r="O811" i="1"/>
  <c r="O883" i="1"/>
  <c r="O955" i="1"/>
  <c r="O704" i="1"/>
  <c r="O573" i="1"/>
  <c r="O861" i="1"/>
  <c r="O692" i="1"/>
  <c r="O884" i="1"/>
  <c r="O218" i="1"/>
  <c r="O419" i="1"/>
  <c r="O326" i="1"/>
  <c r="O983" i="1"/>
  <c r="O865" i="1"/>
  <c r="O924" i="1"/>
  <c r="O805" i="1"/>
  <c r="O289" i="1"/>
  <c r="O409" i="1"/>
  <c r="O886" i="1"/>
  <c r="O671" i="1"/>
  <c r="O27" i="1"/>
  <c r="O49" i="1"/>
  <c r="O721" i="1"/>
  <c r="O373" i="1"/>
  <c r="O863" i="1"/>
  <c r="O793" i="1"/>
  <c r="O634" i="1"/>
  <c r="O946" i="1"/>
  <c r="O383" i="1"/>
  <c r="O277" i="1"/>
  <c r="O147" i="1"/>
  <c r="O866" i="1"/>
  <c r="O118" i="1"/>
  <c r="O369" i="1"/>
  <c r="O890" i="1"/>
  <c r="O141" i="1"/>
  <c r="O45" i="1"/>
  <c r="O649" i="1"/>
  <c r="O818" i="1"/>
  <c r="O456" i="1"/>
  <c r="O16" i="1"/>
  <c r="O17" i="1"/>
  <c r="O663" i="1"/>
  <c r="O353" i="1"/>
  <c r="O284" i="1"/>
  <c r="O765" i="1"/>
  <c r="O14" i="1"/>
  <c r="O722" i="1"/>
  <c r="O801" i="1"/>
  <c r="O415" i="1"/>
  <c r="O100" i="1"/>
  <c r="O295" i="1"/>
  <c r="O585" i="1"/>
  <c r="O184" i="1"/>
  <c r="O399" i="1"/>
  <c r="O262" i="1"/>
  <c r="O113" i="1"/>
  <c r="O32" i="1"/>
  <c r="O897" i="1"/>
  <c r="O358" i="1"/>
  <c r="O442" i="1"/>
  <c r="O67" i="1"/>
  <c r="O139" i="1"/>
  <c r="O211" i="1"/>
  <c r="O282" i="1"/>
  <c r="O354" i="1"/>
  <c r="O426" i="1"/>
  <c r="O498" i="1"/>
  <c r="O581" i="1"/>
  <c r="O653" i="1"/>
  <c r="O725" i="1"/>
  <c r="O797" i="1"/>
  <c r="O869" i="1"/>
  <c r="O941" i="1"/>
  <c r="O716" i="1"/>
  <c r="O487" i="1"/>
  <c r="O570" i="1"/>
  <c r="O642" i="1"/>
  <c r="O714" i="1"/>
  <c r="O786" i="1"/>
  <c r="O858" i="1"/>
  <c r="O930" i="1"/>
  <c r="O560" i="1"/>
  <c r="O944" i="1"/>
  <c r="O806" i="1"/>
  <c r="O597" i="1"/>
  <c r="O885" i="1"/>
  <c r="O337" i="1"/>
  <c r="O958" i="1"/>
  <c r="O420" i="1"/>
  <c r="O565" i="1"/>
  <c r="O586" i="1"/>
  <c r="O287" i="1"/>
  <c r="O851" i="1"/>
  <c r="O408" i="1"/>
  <c r="O862" i="1"/>
  <c r="O133" i="1"/>
  <c r="O39" i="1"/>
  <c r="O504" i="1"/>
  <c r="O265" i="1"/>
  <c r="O121" i="1"/>
  <c r="O910" i="1"/>
  <c r="O491" i="1"/>
  <c r="O324" i="1"/>
  <c r="O374" i="1"/>
  <c r="O935" i="1"/>
  <c r="O826" i="1"/>
  <c r="O60" i="1"/>
  <c r="O371" i="1"/>
  <c r="O707" i="1"/>
  <c r="O995" i="1"/>
  <c r="O348" i="1"/>
  <c r="O62" i="1"/>
  <c r="O637" i="1"/>
  <c r="O87" i="1"/>
  <c r="O24" i="1"/>
  <c r="O228" i="1"/>
  <c r="O852" i="1"/>
  <c r="O10" i="1"/>
  <c r="O167" i="1"/>
  <c r="O553" i="1"/>
  <c r="O23" i="1"/>
  <c r="O794" i="1"/>
  <c r="O213" i="1"/>
  <c r="O47" i="1"/>
  <c r="O142" i="1"/>
  <c r="O602" i="1"/>
  <c r="O375" i="1"/>
  <c r="O448" i="1"/>
  <c r="O138" i="1"/>
  <c r="O500" i="1"/>
  <c r="O140" i="1"/>
  <c r="O172" i="1"/>
  <c r="O20" i="1"/>
  <c r="O40" i="1"/>
  <c r="O255" i="1"/>
  <c r="O471" i="1"/>
  <c r="O418" i="1"/>
  <c r="O328" i="1"/>
  <c r="O176" i="1"/>
  <c r="O7" i="1"/>
  <c r="O319" i="1"/>
  <c r="O44" i="1"/>
  <c r="O188" i="1"/>
  <c r="O633" i="1"/>
  <c r="O921" i="1"/>
  <c r="O52" i="1"/>
  <c r="O124" i="1"/>
  <c r="O196" i="1"/>
  <c r="O267" i="1"/>
  <c r="O339" i="1"/>
  <c r="O411" i="1"/>
  <c r="O483" i="1"/>
  <c r="O555" i="1"/>
  <c r="O478" i="1"/>
  <c r="O466" i="1"/>
  <c r="O53" i="1"/>
  <c r="O125" i="1"/>
  <c r="O197" i="1"/>
  <c r="O268" i="1"/>
  <c r="O340" i="1"/>
  <c r="O412" i="1"/>
  <c r="O484" i="1"/>
  <c r="O556" i="1"/>
  <c r="O627" i="1"/>
  <c r="O699" i="1"/>
  <c r="O771" i="1"/>
  <c r="O843" i="1"/>
  <c r="O915" i="1"/>
  <c r="O987" i="1"/>
  <c r="O406" i="1"/>
  <c r="O30" i="1"/>
  <c r="O102" i="1"/>
  <c r="O174" i="1"/>
  <c r="O245" i="1"/>
  <c r="O317" i="1"/>
  <c r="O389" i="1"/>
  <c r="O461" i="1"/>
  <c r="O533" i="1"/>
  <c r="O604" i="1"/>
  <c r="O676" i="1"/>
  <c r="O748" i="1"/>
  <c r="O820" i="1"/>
  <c r="O892" i="1"/>
  <c r="O964" i="1"/>
  <c r="O920" i="1"/>
  <c r="O830" i="1"/>
  <c r="O248" i="1"/>
  <c r="O320" i="1"/>
  <c r="O392" i="1"/>
  <c r="O464" i="1"/>
  <c r="O536" i="1"/>
  <c r="O607" i="1"/>
  <c r="O679" i="1"/>
  <c r="O751" i="1"/>
  <c r="O823" i="1"/>
  <c r="O895" i="1"/>
  <c r="O967" i="1"/>
  <c r="O788" i="1"/>
  <c r="O621" i="1"/>
  <c r="O909" i="1"/>
  <c r="O740" i="1"/>
  <c r="O932" i="1"/>
  <c r="O480" i="1"/>
  <c r="O479" i="1"/>
  <c r="O74" i="1"/>
  <c r="O253" i="1"/>
  <c r="O853" i="1"/>
  <c r="O482" i="1"/>
  <c r="O600" i="1"/>
  <c r="O994" i="1"/>
  <c r="O97" i="1"/>
  <c r="O134" i="1"/>
  <c r="O111" i="1"/>
  <c r="O193" i="1"/>
  <c r="O445" i="1"/>
  <c r="O362" i="1"/>
  <c r="O312" i="1"/>
  <c r="O670" i="1"/>
  <c r="O96" i="1"/>
  <c r="O467" i="1"/>
  <c r="O541" i="1"/>
  <c r="O470" i="1"/>
  <c r="O58" i="1"/>
  <c r="O225" i="1"/>
  <c r="O745" i="1"/>
  <c r="O72" i="1"/>
  <c r="O938" i="1"/>
  <c r="O817" i="1"/>
  <c r="O285" i="1"/>
  <c r="O385" i="1"/>
  <c r="O959" i="1"/>
  <c r="O391" i="1"/>
  <c r="O231" i="1"/>
  <c r="O520" i="1"/>
  <c r="O425" i="1"/>
  <c r="O974" i="1"/>
  <c r="O931" i="1"/>
  <c r="O695" i="1"/>
  <c r="O802" i="1"/>
  <c r="O537" i="1"/>
  <c r="O243" i="1"/>
  <c r="O164" i="1"/>
  <c r="O873" i="1"/>
  <c r="O327" i="1"/>
  <c r="O543" i="1"/>
  <c r="O185" i="1"/>
  <c r="O307" i="1"/>
  <c r="O609" i="1"/>
  <c r="O19" i="1"/>
  <c r="O331" i="1"/>
  <c r="O56" i="1"/>
  <c r="O200" i="1"/>
  <c r="O657" i="1"/>
  <c r="O945" i="1"/>
  <c r="O550" i="1"/>
  <c r="O490" i="1"/>
  <c r="O59" i="1"/>
  <c r="O79" i="1"/>
  <c r="O151" i="1"/>
  <c r="O222" i="1"/>
  <c r="O294" i="1"/>
  <c r="O366" i="1"/>
  <c r="O438" i="1"/>
  <c r="O510" i="1"/>
  <c r="O593" i="1"/>
  <c r="O665" i="1"/>
  <c r="O737" i="1"/>
  <c r="O809" i="1"/>
  <c r="O881" i="1"/>
  <c r="O953" i="1"/>
  <c r="O427" i="1"/>
  <c r="O499" i="1"/>
  <c r="O582" i="1"/>
  <c r="O654" i="1"/>
  <c r="O726" i="1"/>
  <c r="O798" i="1"/>
  <c r="O870" i="1"/>
  <c r="O942" i="1"/>
  <c r="O596" i="1"/>
  <c r="O566" i="1"/>
  <c r="O854" i="1"/>
  <c r="O645" i="1"/>
  <c r="O933" i="1"/>
  <c r="O576" i="1"/>
  <c r="O625" i="1"/>
  <c r="O492" i="1"/>
  <c r="O709" i="1"/>
  <c r="O146" i="1"/>
  <c r="O730" i="1"/>
  <c r="O359" i="1"/>
  <c r="O947" i="1"/>
  <c r="O768" i="1"/>
  <c r="O407" i="1"/>
  <c r="O205" i="1"/>
  <c r="O135" i="1"/>
  <c r="O696" i="1"/>
  <c r="O181" i="1"/>
  <c r="O241" i="1"/>
  <c r="O168" i="1"/>
  <c r="O587" i="1"/>
  <c r="O372" i="1"/>
  <c r="O542" i="1"/>
  <c r="O574" i="1"/>
  <c r="O874" i="1"/>
  <c r="O108" i="1"/>
  <c r="O431" i="1"/>
  <c r="O755" i="1"/>
  <c r="O26" i="1"/>
  <c r="O396" i="1"/>
  <c r="O229" i="1"/>
  <c r="O877" i="1"/>
  <c r="O123" i="1"/>
  <c r="O432" i="1"/>
  <c r="O720" i="1"/>
  <c r="O540" i="1"/>
  <c r="O98" i="1"/>
  <c r="O117" i="1"/>
  <c r="O357" i="1"/>
  <c r="O889" i="1"/>
  <c r="O130" i="1"/>
  <c r="O35" i="1"/>
  <c r="O961" i="1"/>
  <c r="O650" i="1"/>
  <c r="O842" i="1"/>
  <c r="O986" i="1"/>
  <c r="O447" i="1"/>
  <c r="O879" i="1"/>
  <c r="O712" i="1"/>
  <c r="O715" i="1"/>
  <c r="O263" i="1"/>
  <c r="O398" i="1"/>
  <c r="O242" i="1"/>
  <c r="O249" i="1"/>
  <c r="O770" i="1"/>
  <c r="O417" i="1"/>
  <c r="O128" i="1"/>
  <c r="O68" i="1"/>
  <c r="O279" i="1"/>
  <c r="O226" i="1"/>
  <c r="O209" i="1"/>
  <c r="O352" i="1"/>
  <c r="O424" i="1"/>
  <c r="O496" i="1"/>
  <c r="O567" i="1"/>
  <c r="O639" i="1"/>
  <c r="O711" i="1"/>
  <c r="O783" i="1"/>
  <c r="O855" i="1"/>
  <c r="O927" i="1"/>
  <c r="O999" i="1"/>
  <c r="O83" i="1"/>
  <c r="O42" i="1"/>
  <c r="O114" i="1"/>
  <c r="O186" i="1"/>
  <c r="O257" i="1"/>
  <c r="O329" i="1"/>
  <c r="O401" i="1"/>
  <c r="O473" i="1"/>
  <c r="O545" i="1"/>
  <c r="O616" i="1"/>
  <c r="O688" i="1"/>
  <c r="O760" i="1"/>
  <c r="O832" i="1"/>
  <c r="O904" i="1"/>
  <c r="O976" i="1"/>
  <c r="O968" i="1"/>
  <c r="O590" i="1"/>
  <c r="O878" i="1"/>
  <c r="O260" i="1"/>
  <c r="O332" i="1"/>
  <c r="O404" i="1"/>
  <c r="O476" i="1"/>
  <c r="O548" i="1"/>
  <c r="O619" i="1"/>
  <c r="O691" i="1"/>
  <c r="O763" i="1"/>
  <c r="O835" i="1"/>
  <c r="O907" i="1"/>
  <c r="O979" i="1"/>
  <c r="O872" i="1"/>
  <c r="O669" i="1"/>
  <c r="O957" i="1"/>
  <c r="O752" i="1"/>
  <c r="O980" i="1"/>
  <c r="O672" i="1"/>
  <c r="O156" i="1"/>
  <c r="O527" i="1"/>
  <c r="O288" i="1"/>
  <c r="O325" i="1"/>
  <c r="O51" i="1"/>
  <c r="O840" i="1"/>
  <c r="O769" i="1"/>
  <c r="O251" i="1"/>
  <c r="O301" i="1"/>
  <c r="O207" i="1"/>
  <c r="O360" i="1"/>
  <c r="O937" i="1"/>
  <c r="O613" i="1"/>
  <c r="O434" i="1"/>
  <c r="O528" i="1"/>
  <c r="O694" i="1"/>
  <c r="O12" i="1"/>
  <c r="O551" i="1"/>
  <c r="O38" i="1"/>
  <c r="O757" i="1"/>
  <c r="O9" i="1"/>
  <c r="O166" i="1"/>
  <c r="O552" i="1"/>
  <c r="O22" i="1"/>
  <c r="O189" i="1"/>
  <c r="O93" i="1"/>
  <c r="O153" i="1"/>
  <c r="O82" i="1"/>
  <c r="O154" i="1"/>
  <c r="O88" i="1"/>
  <c r="O89" i="1"/>
  <c r="O591" i="1"/>
  <c r="O281" i="1"/>
  <c r="O859" i="1"/>
  <c r="O422" i="1"/>
  <c r="O70" i="1"/>
  <c r="O259" i="1"/>
  <c r="O31" i="1"/>
  <c r="O212" i="1"/>
  <c r="O969" i="1"/>
  <c r="O136" i="1"/>
  <c r="O351" i="1"/>
  <c r="O495" i="1"/>
  <c r="O65" i="1"/>
  <c r="O280" i="1"/>
  <c r="O355" i="1"/>
  <c r="O201" i="1"/>
  <c r="O993" i="1"/>
  <c r="O250" i="1"/>
  <c r="O538" i="1"/>
  <c r="O107" i="1"/>
  <c r="O91" i="1"/>
  <c r="O163" i="1"/>
  <c r="O234" i="1"/>
  <c r="O306" i="1"/>
  <c r="O378" i="1"/>
  <c r="O450" i="1"/>
  <c r="O522" i="1"/>
  <c r="O605" i="1"/>
  <c r="O677" i="1"/>
  <c r="O749" i="1"/>
  <c r="O821" i="1"/>
  <c r="O893" i="1"/>
  <c r="O965" i="1"/>
  <c r="O439" i="1"/>
  <c r="O511" i="1"/>
  <c r="O594" i="1"/>
  <c r="O666" i="1"/>
  <c r="O738" i="1"/>
  <c r="O810" i="1"/>
  <c r="O882" i="1"/>
  <c r="O954" i="1"/>
  <c r="O680" i="1"/>
  <c r="O614" i="1"/>
  <c r="O902" i="1"/>
  <c r="O693" i="1"/>
  <c r="O981" i="1"/>
  <c r="O598" i="1"/>
  <c r="O900" i="1"/>
  <c r="O266" i="1"/>
  <c r="O338" i="1"/>
  <c r="O838" i="1"/>
  <c r="O443" i="1"/>
  <c r="O169" i="1"/>
  <c r="O912" i="1"/>
  <c r="O515" i="1"/>
  <c r="O276" i="1"/>
  <c r="O350" i="1"/>
  <c r="O841" i="1"/>
  <c r="O612" i="1"/>
  <c r="O410" i="1"/>
  <c r="O36" i="1"/>
  <c r="O659" i="1"/>
  <c r="O444" i="1"/>
  <c r="O50" i="1"/>
  <c r="O658" i="1"/>
  <c r="O934" i="1"/>
  <c r="O132" i="1"/>
  <c r="O503" i="1"/>
  <c r="O803" i="1"/>
  <c r="O61" i="1"/>
  <c r="O468" i="1"/>
  <c r="O349" i="1"/>
  <c r="O925" i="1"/>
  <c r="O159" i="1"/>
  <c r="O624" i="1"/>
  <c r="O636" i="1"/>
  <c r="O57" i="1"/>
  <c r="O217" i="1"/>
  <c r="O744" i="1"/>
  <c r="O71" i="1"/>
  <c r="O261" i="1"/>
  <c r="O143" i="1"/>
  <c r="O105" i="1"/>
  <c r="O309" i="1"/>
  <c r="O405" i="1"/>
  <c r="O247" i="1"/>
  <c r="O303" i="1"/>
  <c r="O376" i="1"/>
  <c r="O66" i="1"/>
  <c r="O568" i="1"/>
  <c r="O1000" i="1"/>
  <c r="O686" i="1"/>
  <c r="O572" i="1"/>
  <c r="O171" i="1"/>
  <c r="O455" i="1"/>
  <c r="O239" i="1"/>
  <c r="O513" i="1"/>
  <c r="O343" i="1"/>
  <c r="O681" i="1"/>
  <c r="O64" i="1"/>
  <c r="O208" i="1"/>
  <c r="O423" i="1"/>
  <c r="O632" i="1"/>
  <c r="O514" i="1"/>
  <c r="O137" i="1"/>
  <c r="O43" i="1"/>
  <c r="O80" i="1"/>
  <c r="O705" i="1"/>
  <c r="O223" i="1"/>
  <c r="O367" i="1"/>
  <c r="O92" i="1"/>
  <c r="O441" i="1"/>
  <c r="O729" i="1"/>
  <c r="O4" i="1"/>
  <c r="O76" i="1"/>
  <c r="O148" i="1"/>
  <c r="O219" i="1"/>
  <c r="O291" i="1"/>
  <c r="O363" i="1"/>
  <c r="O435" i="1"/>
  <c r="O507" i="1"/>
  <c r="O824" i="1"/>
  <c r="O274" i="1"/>
  <c r="O5" i="1"/>
  <c r="O77" i="1"/>
  <c r="O149" i="1"/>
  <c r="O220" i="1"/>
  <c r="O292" i="1"/>
  <c r="O364" i="1"/>
  <c r="O436" i="1"/>
  <c r="O508" i="1"/>
  <c r="O579" i="1"/>
  <c r="O651" i="1"/>
  <c r="O723" i="1"/>
  <c r="O795" i="1"/>
  <c r="O867" i="1"/>
  <c r="O939" i="1"/>
  <c r="O620" i="1"/>
  <c r="O131" i="1"/>
  <c r="O54" i="1"/>
  <c r="O126" i="1"/>
  <c r="O198" i="1"/>
  <c r="O269" i="1"/>
  <c r="O341" i="1"/>
  <c r="O413" i="1"/>
  <c r="O485" i="1"/>
  <c r="O557" i="1"/>
  <c r="O628" i="1"/>
  <c r="O700" i="1"/>
  <c r="O772" i="1"/>
  <c r="O844" i="1"/>
  <c r="O916" i="1"/>
  <c r="O988" i="1"/>
  <c r="O238" i="1"/>
  <c r="O638" i="1"/>
  <c r="O926" i="1"/>
  <c r="O272" i="1"/>
  <c r="O344" i="1"/>
  <c r="O416" i="1"/>
  <c r="O488" i="1"/>
  <c r="O559" i="1"/>
  <c r="O631" i="1"/>
  <c r="O703" i="1"/>
  <c r="O775" i="1"/>
  <c r="O847" i="1"/>
  <c r="O919" i="1"/>
  <c r="O991" i="1"/>
  <c r="O429" i="1"/>
  <c r="O717" i="1"/>
  <c r="O584" i="1"/>
  <c r="O776" i="1"/>
  <c r="O286" i="1"/>
  <c r="O204" i="1"/>
  <c r="O611" i="1"/>
  <c r="O75" i="1"/>
  <c r="O481" i="1"/>
  <c r="O157" i="1"/>
  <c r="O517" i="1"/>
  <c r="O195" i="1"/>
  <c r="O984" i="1"/>
  <c r="O913" i="1"/>
  <c r="O347" i="1"/>
  <c r="O469" i="1"/>
  <c r="O302" i="1"/>
  <c r="O505" i="1"/>
  <c r="O781" i="1"/>
  <c r="O122" i="1"/>
  <c r="O719" i="1"/>
  <c r="O742" i="1"/>
  <c r="O84" i="1"/>
  <c r="O635" i="1"/>
  <c r="O110" i="1"/>
  <c r="O829" i="1"/>
  <c r="O106" i="1"/>
  <c r="O345" i="1"/>
  <c r="O888" i="1"/>
  <c r="O129" i="1"/>
  <c r="O384" i="1"/>
  <c r="O202" i="1"/>
  <c r="O34" i="1"/>
  <c r="O674" i="1"/>
  <c r="O962" i="1"/>
  <c r="O777" i="1"/>
  <c r="O160" i="1"/>
  <c r="O519" i="1"/>
  <c r="O232" i="1"/>
  <c r="O304" i="1"/>
  <c r="O807" i="1"/>
  <c r="O179" i="1"/>
  <c r="O210" i="1"/>
  <c r="O640" i="1"/>
  <c r="O928" i="1"/>
  <c r="O382" i="1"/>
  <c r="O356" i="1"/>
  <c r="O787" i="1"/>
  <c r="O477" i="1"/>
  <c r="O430" i="1"/>
  <c r="O661" i="1"/>
  <c r="O120" i="1"/>
  <c r="O685" i="1"/>
  <c r="O697" i="1"/>
  <c r="O864" i="1"/>
  <c r="O158" i="1"/>
  <c r="O321" i="1"/>
  <c r="O235" i="1"/>
  <c r="O379" i="1"/>
  <c r="O104" i="1"/>
  <c r="O465" i="1"/>
  <c r="O753" i="1"/>
  <c r="O298" i="1"/>
  <c r="O155" i="1"/>
  <c r="O310" i="1"/>
  <c r="O103" i="1"/>
  <c r="O175" i="1"/>
  <c r="O246" i="1"/>
  <c r="O318" i="1"/>
  <c r="O390" i="1"/>
  <c r="O462" i="1"/>
  <c r="O534" i="1"/>
  <c r="O617" i="1"/>
  <c r="O689" i="1"/>
  <c r="O761" i="1"/>
  <c r="O833" i="1"/>
  <c r="O905" i="1"/>
  <c r="O977" i="1"/>
  <c r="O451" i="1"/>
  <c r="O523" i="1"/>
  <c r="O606" i="1"/>
  <c r="O678" i="1"/>
  <c r="O750" i="1"/>
  <c r="O822" i="1"/>
  <c r="O894" i="1"/>
  <c r="O966" i="1"/>
  <c r="O728" i="1"/>
  <c r="O662" i="1"/>
  <c r="O950" i="1"/>
  <c r="O453" i="1"/>
  <c r="O741" i="1"/>
  <c r="O334" i="1"/>
  <c r="O706" i="1"/>
  <c r="O972" i="1"/>
  <c r="O577" i="1"/>
  <c r="O922" i="1"/>
  <c r="O575" i="1"/>
  <c r="O558" i="1"/>
  <c r="O623" i="1"/>
  <c r="O516" i="1"/>
  <c r="O48" i="1"/>
  <c r="O985" i="1"/>
  <c r="O708" i="1"/>
  <c r="O601" i="1"/>
  <c r="O227" i="1"/>
  <c r="O731" i="1"/>
  <c r="O170" i="1"/>
  <c r="O194" i="1"/>
  <c r="O682" i="1"/>
  <c r="O970" i="1"/>
  <c r="O180" i="1"/>
  <c r="O539" i="1"/>
  <c r="O827" i="1"/>
  <c r="O109" i="1"/>
  <c r="O564" i="1"/>
  <c r="O397" i="1"/>
  <c r="O949" i="1"/>
  <c r="O230" i="1"/>
  <c r="O792" i="1"/>
  <c r="O660" i="1"/>
  <c r="O165" i="1"/>
  <c r="O458" i="1"/>
  <c r="O21" i="1"/>
  <c r="O178" i="1"/>
  <c r="O578" i="1"/>
  <c r="O297" i="1"/>
  <c r="O215" i="1"/>
  <c r="O94" i="1"/>
  <c r="O190" i="1"/>
  <c r="B17" i="7" l="1"/>
  <c r="L3" i="9"/>
  <c r="B11" i="7"/>
  <c r="B10" i="7"/>
  <c r="P5" i="9"/>
  <c r="E10" i="9"/>
  <c r="G14" i="9"/>
  <c r="G20" i="9"/>
  <c r="G19" i="9"/>
  <c r="G15" i="9"/>
  <c r="G21" i="9"/>
  <c r="G16" i="9"/>
  <c r="G17" i="9"/>
  <c r="G18" i="9"/>
  <c r="G4" i="9"/>
  <c r="G6" i="9"/>
  <c r="G9" i="9"/>
  <c r="G7" i="9"/>
  <c r="G5" i="9"/>
  <c r="G8" i="9"/>
  <c r="G3" i="9"/>
  <c r="B5" i="9"/>
  <c r="B10" i="9"/>
  <c r="B4" i="9"/>
  <c r="S3" i="1"/>
  <c r="U3" i="1" s="1"/>
  <c r="S2" i="1"/>
  <c r="S321" i="1"/>
  <c r="U321" i="1" s="1"/>
  <c r="S54" i="1"/>
  <c r="U54" i="1" s="1"/>
  <c r="S659" i="1"/>
  <c r="U659" i="1" s="1"/>
  <c r="S528" i="1"/>
  <c r="U528" i="1" s="1"/>
  <c r="S98" i="1"/>
  <c r="U98" i="1" s="1"/>
  <c r="S331" i="1"/>
  <c r="U331" i="1" s="1"/>
  <c r="S533" i="1"/>
  <c r="U533" i="1" s="1"/>
  <c r="S62" i="1"/>
  <c r="U62" i="1" s="1"/>
  <c r="S16" i="1"/>
  <c r="U16" i="1" s="1"/>
  <c r="S472" i="1"/>
  <c r="U472" i="1" s="1"/>
  <c r="S173" i="1"/>
  <c r="U173" i="1" s="1"/>
  <c r="S460" i="1"/>
  <c r="U460" i="1" s="1"/>
  <c r="S949" i="1"/>
  <c r="U949" i="1" s="1"/>
  <c r="S761" i="1"/>
  <c r="U761" i="1" s="1"/>
  <c r="S34" i="1"/>
  <c r="U34" i="1" s="1"/>
  <c r="S584" i="1"/>
  <c r="U584" i="1" s="1"/>
  <c r="S292" i="1"/>
  <c r="U292" i="1" s="1"/>
  <c r="S343" i="1"/>
  <c r="U343" i="1" s="1"/>
  <c r="S276" i="1"/>
  <c r="U276" i="1" s="1"/>
  <c r="S450" i="1"/>
  <c r="U450" i="1" s="1"/>
  <c r="S281" i="1"/>
  <c r="U281" i="1" s="1"/>
  <c r="S957" i="1"/>
  <c r="U957" i="1" s="1"/>
  <c r="S42" i="1"/>
  <c r="U42" i="1" s="1"/>
  <c r="S712" i="1"/>
  <c r="U712" i="1" s="1"/>
  <c r="S768" i="1"/>
  <c r="U768" i="1" s="1"/>
  <c r="S809" i="1"/>
  <c r="U809" i="1" s="1"/>
  <c r="S695" i="1"/>
  <c r="U695" i="1" s="1"/>
  <c r="S482" i="1"/>
  <c r="U482" i="1" s="1"/>
  <c r="S964" i="1"/>
  <c r="U964" i="1" s="1"/>
  <c r="S478" i="1"/>
  <c r="U478" i="1" s="1"/>
  <c r="S500" i="1"/>
  <c r="U500" i="1" s="1"/>
  <c r="S958" i="1"/>
  <c r="U958" i="1" s="1"/>
  <c r="S282" i="1"/>
  <c r="U282" i="1" s="1"/>
  <c r="S890" i="1"/>
  <c r="U890" i="1" s="1"/>
  <c r="S419" i="1"/>
  <c r="U419" i="1" s="1"/>
  <c r="S664" i="1"/>
  <c r="U664" i="1" s="1"/>
  <c r="S746" i="1"/>
  <c r="U746" i="1" s="1"/>
  <c r="S13" i="1"/>
  <c r="U13" i="1" s="1"/>
  <c r="S785" i="1"/>
  <c r="U785" i="1" s="1"/>
  <c r="S177" i="1"/>
  <c r="U177" i="1" s="1"/>
  <c r="S943" i="1"/>
  <c r="S891" i="1"/>
  <c r="U891" i="1" s="1"/>
  <c r="S161" i="1"/>
  <c r="U161" i="1" s="1"/>
  <c r="S99" i="1"/>
  <c r="U99" i="1" s="1"/>
  <c r="S690" i="1"/>
  <c r="U690" i="1" s="1"/>
  <c r="S966" i="1"/>
  <c r="U966" i="1" s="1"/>
  <c r="S519" i="1"/>
  <c r="U519" i="1" s="1"/>
  <c r="S844" i="1"/>
  <c r="U844" i="1" s="1"/>
  <c r="S513" i="1"/>
  <c r="U513" i="1" s="1"/>
  <c r="S614" i="1"/>
  <c r="U614" i="1" s="1"/>
  <c r="S591" i="1"/>
  <c r="U591" i="1" s="1"/>
  <c r="S669" i="1"/>
  <c r="U669" i="1" s="1"/>
  <c r="S639" i="1"/>
  <c r="S396" i="1"/>
  <c r="U396" i="1" s="1"/>
  <c r="S947" i="1"/>
  <c r="U947" i="1" s="1"/>
  <c r="S550" i="1"/>
  <c r="U550" i="1" s="1"/>
  <c r="S931" i="1"/>
  <c r="U931" i="1" s="1"/>
  <c r="S111" i="1"/>
  <c r="U111" i="1" s="1"/>
  <c r="S823" i="1"/>
  <c r="U823" i="1" s="1"/>
  <c r="S699" i="1"/>
  <c r="U699" i="1" s="1"/>
  <c r="S555" i="1"/>
  <c r="U555" i="1" s="1"/>
  <c r="S255" i="1"/>
  <c r="U255" i="1" s="1"/>
  <c r="S852" i="1"/>
  <c r="U852" i="1" s="1"/>
  <c r="S935" i="1"/>
  <c r="U935" i="1" s="1"/>
  <c r="S851" i="1"/>
  <c r="S930" i="1"/>
  <c r="U930" i="1" s="1"/>
  <c r="S211" i="1"/>
  <c r="U211" i="1" s="1"/>
  <c r="S765" i="1"/>
  <c r="U765" i="1" s="1"/>
  <c r="S946" i="1"/>
  <c r="U946" i="1" s="1"/>
  <c r="S218" i="1"/>
  <c r="U218" i="1" s="1"/>
  <c r="S836" i="1"/>
  <c r="U836" i="1" s="1"/>
  <c r="S592" i="1"/>
  <c r="U592" i="1" s="1"/>
  <c r="S831" i="1"/>
  <c r="U831" i="1" s="1"/>
  <c r="S400" i="1"/>
  <c r="U400" i="1" s="1"/>
  <c r="S673" i="1"/>
  <c r="U673" i="1" s="1"/>
  <c r="S386" i="1"/>
  <c r="U386" i="1" s="1"/>
  <c r="S237" i="1"/>
  <c r="S15" i="1"/>
  <c r="U15" i="1" s="1"/>
  <c r="S323" i="1"/>
  <c r="U323" i="1" s="1"/>
  <c r="S754" i="1"/>
  <c r="U754" i="1" s="1"/>
  <c r="S898" i="1"/>
  <c r="U898" i="1" s="1"/>
  <c r="S990" i="1"/>
  <c r="U990" i="1" s="1"/>
  <c r="S547" i="1"/>
  <c r="U547" i="1" s="1"/>
  <c r="S713" i="1"/>
  <c r="U713" i="1" s="1"/>
  <c r="S270" i="1"/>
  <c r="U270" i="1" s="1"/>
  <c r="S561" i="1"/>
  <c r="U561" i="1" s="1"/>
  <c r="S29" i="1"/>
  <c r="U29" i="1" s="1"/>
  <c r="S428" i="1"/>
  <c r="U428" i="1" s="1"/>
  <c r="S95" i="1"/>
  <c r="S11" i="1"/>
  <c r="U11" i="1" s="1"/>
  <c r="S850" i="1"/>
  <c r="U850" i="1" s="1"/>
  <c r="S997" i="1"/>
  <c r="U997" i="1" s="1"/>
  <c r="S876" i="1"/>
  <c r="U876" i="1" s="1"/>
  <c r="S860" i="1"/>
  <c r="U860" i="1" s="1"/>
  <c r="S871" i="1"/>
  <c r="U871" i="1" s="1"/>
  <c r="S440" i="1"/>
  <c r="U440" i="1" s="1"/>
  <c r="S644" i="1"/>
  <c r="U644" i="1" s="1"/>
  <c r="S580" i="1"/>
  <c r="U580" i="1" s="1"/>
  <c r="S150" i="1"/>
  <c r="U150" i="1" s="1"/>
  <c r="S819" i="1"/>
  <c r="U819" i="1" s="1"/>
  <c r="S316" i="1"/>
  <c r="S825" i="1"/>
  <c r="U825" i="1" s="1"/>
  <c r="S804" i="1"/>
  <c r="U804" i="1" s="1"/>
  <c r="S116" i="1"/>
  <c r="U116" i="1" s="1"/>
  <c r="S381" i="1"/>
  <c r="U381" i="1" s="1"/>
  <c r="S278" i="1"/>
  <c r="U278" i="1" s="1"/>
  <c r="S599" i="1"/>
  <c r="U599" i="1" s="1"/>
  <c r="S923" i="1"/>
  <c r="U923" i="1" s="1"/>
  <c r="S743" i="1"/>
  <c r="U743" i="1" s="1"/>
  <c r="S814" i="1"/>
  <c r="U814" i="1" s="1"/>
  <c r="S764" i="1"/>
  <c r="U764" i="1" s="1"/>
  <c r="S618" i="1"/>
  <c r="U618" i="1" s="1"/>
  <c r="S773" i="1"/>
  <c r="S330" i="1"/>
  <c r="U330" i="1" s="1"/>
  <c r="S403" i="1"/>
  <c r="U403" i="1" s="1"/>
  <c r="S623" i="1"/>
  <c r="U623" i="1" s="1"/>
  <c r="S288" i="1"/>
  <c r="U288" i="1" s="1"/>
  <c r="S94" i="1"/>
  <c r="U94" i="1" s="1"/>
  <c r="S601" i="1"/>
  <c r="U601" i="1" s="1"/>
  <c r="S753" i="1"/>
  <c r="U753" i="1" s="1"/>
  <c r="S913" i="1"/>
  <c r="U913" i="1" s="1"/>
  <c r="S223" i="1"/>
  <c r="U223" i="1" s="1"/>
  <c r="S540" i="1"/>
  <c r="U540" i="1" s="1"/>
  <c r="S720" i="1"/>
  <c r="U720" i="1" s="1"/>
  <c r="S499" i="1"/>
  <c r="S225" i="1"/>
  <c r="U225" i="1" s="1"/>
  <c r="S389" i="1"/>
  <c r="U389" i="1" s="1"/>
  <c r="S228" i="1"/>
  <c r="U228" i="1" s="1"/>
  <c r="S118" i="1"/>
  <c r="U118" i="1" s="1"/>
  <c r="S608" i="1"/>
  <c r="U608" i="1" s="1"/>
  <c r="S641" i="1"/>
  <c r="U641" i="1" s="1"/>
  <c r="S562" i="1"/>
  <c r="U562" i="1" s="1"/>
  <c r="S940" i="1"/>
  <c r="U940" i="1" s="1"/>
  <c r="S800" i="1"/>
  <c r="U800" i="1" s="1"/>
  <c r="S275" i="1"/>
  <c r="U275" i="1" s="1"/>
  <c r="S978" i="1"/>
  <c r="U978" i="1" s="1"/>
  <c r="S258" i="1"/>
  <c r="S297" i="1"/>
  <c r="U297" i="1" s="1"/>
  <c r="S109" i="1"/>
  <c r="U109" i="1" s="1"/>
  <c r="S985" i="1"/>
  <c r="U985" i="1" s="1"/>
  <c r="S453" i="1"/>
  <c r="U453" i="1" s="1"/>
  <c r="S977" i="1"/>
  <c r="U977" i="1" s="1"/>
  <c r="S103" i="1"/>
  <c r="U103" i="1" s="1"/>
  <c r="S697" i="1"/>
  <c r="U697" i="1" s="1"/>
  <c r="S179" i="1"/>
  <c r="U179" i="1" s="1"/>
  <c r="S559" i="1"/>
  <c r="U559" i="1" s="1"/>
  <c r="S351" i="1"/>
  <c r="U351" i="1" s="1"/>
  <c r="S679" i="1"/>
  <c r="U679" i="1" s="1"/>
  <c r="S865" i="1"/>
  <c r="S1001" i="1"/>
  <c r="U1001" i="1" s="1"/>
  <c r="S766" i="1"/>
  <c r="U766" i="1" s="1"/>
  <c r="S296" i="1"/>
  <c r="U296" i="1" s="1"/>
  <c r="S437" i="1"/>
  <c r="U437" i="1" s="1"/>
  <c r="S6" i="1"/>
  <c r="U6" i="1" s="1"/>
  <c r="S101" i="1"/>
  <c r="U101" i="1" s="1"/>
  <c r="S393" i="1"/>
  <c r="U393" i="1" s="1"/>
  <c r="S643" i="1"/>
  <c r="U643" i="1" s="1"/>
  <c r="S815" i="1"/>
  <c r="U815" i="1" s="1"/>
  <c r="S887" i="1"/>
  <c r="U887" i="1" s="1"/>
  <c r="S421" i="1"/>
  <c r="U421" i="1" s="1"/>
  <c r="S25" i="1"/>
  <c r="S646" i="1"/>
  <c r="U646" i="1" s="1"/>
  <c r="S683" i="1"/>
  <c r="U683" i="1" s="1"/>
  <c r="S789" i="1"/>
  <c r="U789" i="1" s="1"/>
  <c r="S906" i="1"/>
  <c r="U906" i="1" s="1"/>
  <c r="S463" i="1"/>
  <c r="U463" i="1" s="1"/>
  <c r="S629" i="1"/>
  <c r="U629" i="1" s="1"/>
  <c r="S187" i="1"/>
  <c r="U187" i="1" s="1"/>
  <c r="S180" i="1"/>
  <c r="U180" i="1" s="1"/>
  <c r="S318" i="1"/>
  <c r="U318" i="1" s="1"/>
  <c r="S106" i="1"/>
  <c r="U106" i="1" s="1"/>
  <c r="S775" i="1"/>
  <c r="U775" i="1" s="1"/>
  <c r="S824" i="1"/>
  <c r="S686" i="1"/>
  <c r="U686" i="1" s="1"/>
  <c r="S503" i="1"/>
  <c r="U503" i="1" s="1"/>
  <c r="S893" i="1"/>
  <c r="U893" i="1" s="1"/>
  <c r="S153" i="1"/>
  <c r="U153" i="1" s="1"/>
  <c r="S332" i="1"/>
  <c r="U332" i="1" s="1"/>
  <c r="S711" i="1"/>
  <c r="U711" i="1" s="1"/>
  <c r="S961" i="1"/>
  <c r="U961" i="1" s="1"/>
  <c r="S492" i="1"/>
  <c r="U492" i="1" s="1"/>
  <c r="S366" i="1"/>
  <c r="U366" i="1" s="1"/>
  <c r="S391" i="1"/>
  <c r="U391" i="1" s="1"/>
  <c r="S932" i="1"/>
  <c r="U932" i="1" s="1"/>
  <c r="S102" i="1"/>
  <c r="S196" i="1"/>
  <c r="U196" i="1" s="1"/>
  <c r="S47" i="1"/>
  <c r="U47" i="1" s="1"/>
  <c r="S560" i="1"/>
  <c r="U560" i="1" s="1"/>
  <c r="S897" i="1"/>
  <c r="U897" i="1" s="1"/>
  <c r="S383" i="1"/>
  <c r="U383" i="1" s="1"/>
  <c r="S704" i="1"/>
  <c r="U704" i="1" s="1"/>
  <c r="S233" i="1"/>
  <c r="U233" i="1" s="1"/>
  <c r="S322" i="1"/>
  <c r="U322" i="1" s="1"/>
  <c r="S37" i="1"/>
  <c r="U37" i="1" s="1"/>
  <c r="S342" i="1"/>
  <c r="U342" i="1" s="1"/>
  <c r="S446" i="1"/>
  <c r="U446" i="1" s="1"/>
  <c r="S652" i="1"/>
  <c r="S558" i="1"/>
  <c r="U558" i="1" s="1"/>
  <c r="S246" i="1"/>
  <c r="U246" i="1" s="1"/>
  <c r="S202" i="1"/>
  <c r="U202" i="1" s="1"/>
  <c r="S272" i="1"/>
  <c r="U272" i="1" s="1"/>
  <c r="S76" i="1"/>
  <c r="U76" i="1" s="1"/>
  <c r="S925" i="1"/>
  <c r="U925" i="1" s="1"/>
  <c r="S666" i="1"/>
  <c r="U666" i="1" s="1"/>
  <c r="S31" i="1"/>
  <c r="U31" i="1" s="1"/>
  <c r="S527" i="1"/>
  <c r="U527" i="1" s="1"/>
  <c r="S83" i="1"/>
  <c r="U83" i="1" s="1"/>
  <c r="S879" i="1"/>
  <c r="U879" i="1" s="1"/>
  <c r="S181" i="1"/>
  <c r="S582" i="1"/>
  <c r="U582" i="1" s="1"/>
  <c r="S873" i="1"/>
  <c r="U873" i="1" s="1"/>
  <c r="S745" i="1"/>
  <c r="U745" i="1" s="1"/>
  <c r="S892" i="1"/>
  <c r="U892" i="1" s="1"/>
  <c r="S138" i="1"/>
  <c r="U138" i="1" s="1"/>
  <c r="S524" i="1"/>
  <c r="U524" i="1" s="1"/>
  <c r="S504" i="1"/>
  <c r="U504" i="1" s="1"/>
  <c r="S660" i="1"/>
  <c r="U660" i="1" s="1"/>
  <c r="S194" i="1"/>
  <c r="U194" i="1" s="1"/>
  <c r="S922" i="1"/>
  <c r="U922" i="1" s="1"/>
  <c r="S822" i="1"/>
  <c r="U822" i="1" s="1"/>
  <c r="S534" i="1"/>
  <c r="S104" i="1"/>
  <c r="U104" i="1" s="1"/>
  <c r="S787" i="1"/>
  <c r="U787" i="1" s="1"/>
  <c r="S777" i="1"/>
  <c r="U777" i="1" s="1"/>
  <c r="S129" i="1"/>
  <c r="U129" i="1" s="1"/>
  <c r="S635" i="1"/>
  <c r="U635" i="1" s="1"/>
  <c r="S505" i="1"/>
  <c r="U505" i="1" s="1"/>
  <c r="S195" i="1"/>
  <c r="U195" i="1" s="1"/>
  <c r="S204" i="1"/>
  <c r="U204" i="1" s="1"/>
  <c r="S991" i="1"/>
  <c r="U991" i="1" s="1"/>
  <c r="S638" i="1"/>
  <c r="U638" i="1" s="1"/>
  <c r="S700" i="1"/>
  <c r="U700" i="1" s="1"/>
  <c r="S269" i="1"/>
  <c r="S939" i="1"/>
  <c r="U939" i="1" s="1"/>
  <c r="S508" i="1"/>
  <c r="U508" i="1" s="1"/>
  <c r="S77" i="1"/>
  <c r="U77" i="1" s="1"/>
  <c r="S363" i="1"/>
  <c r="U363" i="1" s="1"/>
  <c r="S729" i="1"/>
  <c r="U729" i="1" s="1"/>
  <c r="S80" i="1"/>
  <c r="U80" i="1" s="1"/>
  <c r="S208" i="1"/>
  <c r="U208" i="1" s="1"/>
  <c r="S455" i="1"/>
  <c r="U455" i="1" s="1"/>
  <c r="S66" i="1"/>
  <c r="U66" i="1" s="1"/>
  <c r="S105" i="1"/>
  <c r="U105" i="1" s="1"/>
  <c r="S57" i="1"/>
  <c r="U57" i="1" s="1"/>
  <c r="S468" i="1"/>
  <c r="S658" i="1"/>
  <c r="U658" i="1" s="1"/>
  <c r="S612" i="1"/>
  <c r="U612" i="1" s="1"/>
  <c r="S169" i="1"/>
  <c r="U169" i="1" s="1"/>
  <c r="S598" i="1"/>
  <c r="U598" i="1" s="1"/>
  <c r="S954" i="1"/>
  <c r="U954" i="1" s="1"/>
  <c r="S511" i="1"/>
  <c r="U511" i="1" s="1"/>
  <c r="S677" i="1"/>
  <c r="U677" i="1" s="1"/>
  <c r="S234" i="1"/>
  <c r="U234" i="1" s="1"/>
  <c r="S993" i="1"/>
  <c r="U993" i="1" s="1"/>
  <c r="S70" i="1"/>
  <c r="U70" i="1" s="1"/>
  <c r="S88" i="1"/>
  <c r="U88" i="1" s="1"/>
  <c r="S22" i="1"/>
  <c r="S551" i="1"/>
  <c r="U551" i="1" s="1"/>
  <c r="S937" i="1"/>
  <c r="U937" i="1" s="1"/>
  <c r="S840" i="1"/>
  <c r="U840" i="1" s="1"/>
  <c r="S672" i="1"/>
  <c r="U672" i="1" s="1"/>
  <c r="S979" i="1"/>
  <c r="U979" i="1" s="1"/>
  <c r="S548" i="1"/>
  <c r="U548" i="1" s="1"/>
  <c r="S590" i="1"/>
  <c r="U590" i="1" s="1"/>
  <c r="S688" i="1"/>
  <c r="U688" i="1" s="1"/>
  <c r="S257" i="1"/>
  <c r="U257" i="1" s="1"/>
  <c r="S927" i="1"/>
  <c r="U927" i="1" s="1"/>
  <c r="S496" i="1"/>
  <c r="U496" i="1" s="1"/>
  <c r="S68" i="1"/>
  <c r="S398" i="1"/>
  <c r="U398" i="1" s="1"/>
  <c r="S986" i="1"/>
  <c r="U986" i="1" s="1"/>
  <c r="S889" i="1"/>
  <c r="U889" i="1" s="1"/>
  <c r="S432" i="1"/>
  <c r="U432" i="1" s="1"/>
  <c r="S755" i="1"/>
  <c r="U755" i="1" s="1"/>
  <c r="S372" i="1"/>
  <c r="U372" i="1" s="1"/>
  <c r="S135" i="1"/>
  <c r="U135" i="1" s="1"/>
  <c r="S730" i="1"/>
  <c r="U730" i="1" s="1"/>
  <c r="S933" i="1"/>
  <c r="U933" i="1" s="1"/>
  <c r="S870" i="1"/>
  <c r="U870" i="1" s="1"/>
  <c r="S427" i="1"/>
  <c r="U427" i="1" s="1"/>
  <c r="S593" i="1"/>
  <c r="S151" i="1"/>
  <c r="U151" i="1" s="1"/>
  <c r="S657" i="1"/>
  <c r="U657" i="1" s="1"/>
  <c r="S307" i="1"/>
  <c r="U307" i="1" s="1"/>
  <c r="S243" i="1"/>
  <c r="U243" i="1" s="1"/>
  <c r="S425" i="1"/>
  <c r="U425" i="1" s="1"/>
  <c r="S285" i="1"/>
  <c r="U285" i="1" s="1"/>
  <c r="S58" i="1"/>
  <c r="U58" i="1" s="1"/>
  <c r="S312" i="1"/>
  <c r="U312" i="1" s="1"/>
  <c r="S97" i="1"/>
  <c r="U97" i="1" s="1"/>
  <c r="S74" i="1"/>
  <c r="U74" i="1" s="1"/>
  <c r="S621" i="1"/>
  <c r="U621" i="1" s="1"/>
  <c r="S248" i="1"/>
  <c r="S748" i="1"/>
  <c r="U748" i="1" s="1"/>
  <c r="S317" i="1"/>
  <c r="U317" i="1" s="1"/>
  <c r="S987" i="1"/>
  <c r="U987" i="1" s="1"/>
  <c r="S556" i="1"/>
  <c r="U556" i="1" s="1"/>
  <c r="S125" i="1"/>
  <c r="U125" i="1" s="1"/>
  <c r="S411" i="1"/>
  <c r="U411" i="1" s="1"/>
  <c r="S921" i="1"/>
  <c r="U921" i="1" s="1"/>
  <c r="S176" i="1"/>
  <c r="U176" i="1" s="1"/>
  <c r="S20" i="1"/>
  <c r="U20" i="1" s="1"/>
  <c r="S375" i="1"/>
  <c r="U375" i="1" s="1"/>
  <c r="S23" i="1"/>
  <c r="U23" i="1" s="1"/>
  <c r="S24" i="1"/>
  <c r="S707" i="1"/>
  <c r="U707" i="1" s="1"/>
  <c r="S324" i="1"/>
  <c r="U324" i="1" s="1"/>
  <c r="S39" i="1"/>
  <c r="U39" i="1" s="1"/>
  <c r="S586" i="1"/>
  <c r="U586" i="1" s="1"/>
  <c r="S597" i="1"/>
  <c r="U597" i="1" s="1"/>
  <c r="S786" i="1"/>
  <c r="U786" i="1" s="1"/>
  <c r="S941" i="1"/>
  <c r="U941" i="1" s="1"/>
  <c r="S498" i="1"/>
  <c r="U498" i="1" s="1"/>
  <c r="S67" i="1"/>
  <c r="U67" i="1" s="1"/>
  <c r="S262" i="1"/>
  <c r="U262" i="1" s="1"/>
  <c r="S415" i="1"/>
  <c r="U415" i="1" s="1"/>
  <c r="S353" i="1"/>
  <c r="S649" i="1"/>
  <c r="U649" i="1" s="1"/>
  <c r="S866" i="1"/>
  <c r="U866" i="1" s="1"/>
  <c r="S793" i="1"/>
  <c r="U793" i="1" s="1"/>
  <c r="S671" i="1"/>
  <c r="U671" i="1" s="1"/>
  <c r="S692" i="1"/>
  <c r="U692" i="1" s="1"/>
  <c r="S811" i="1"/>
  <c r="U811" i="1" s="1"/>
  <c r="S380" i="1"/>
  <c r="U380" i="1" s="1"/>
  <c r="S880" i="1"/>
  <c r="U880" i="1" s="1"/>
  <c r="S449" i="1"/>
  <c r="U449" i="1" s="1"/>
  <c r="S18" i="1"/>
  <c r="U18" i="1" s="1"/>
  <c r="S687" i="1"/>
  <c r="U687" i="1" s="1"/>
  <c r="S41" i="1"/>
  <c r="S571" i="1"/>
  <c r="U571" i="1" s="1"/>
  <c r="S273" i="1"/>
  <c r="U273" i="1" s="1"/>
  <c r="S698" i="1"/>
  <c r="U698" i="1" s="1"/>
  <c r="S996" i="1"/>
  <c r="U996" i="1" s="1"/>
  <c r="S778" i="1"/>
  <c r="U778" i="1" s="1"/>
  <c r="S828" i="1"/>
  <c r="U828" i="1" s="1"/>
  <c r="S529" i="1"/>
  <c r="U529" i="1" s="1"/>
  <c r="S837" i="1"/>
  <c r="U837" i="1" s="1"/>
  <c r="S846" i="1"/>
  <c r="U846" i="1" s="1"/>
  <c r="S569" i="1"/>
  <c r="U569" i="1" s="1"/>
  <c r="S127" i="1"/>
  <c r="U127" i="1" s="1"/>
  <c r="S8" i="1"/>
  <c r="S531" i="1"/>
  <c r="U531" i="1" s="1"/>
  <c r="S735" i="1"/>
  <c r="U735" i="1" s="1"/>
  <c r="S816" i="1"/>
  <c r="U816" i="1" s="1"/>
  <c r="S63" i="1"/>
  <c r="U63" i="1" s="1"/>
  <c r="S313" i="1"/>
  <c r="U313" i="1" s="1"/>
  <c r="S254" i="1"/>
  <c r="U254" i="1" s="1"/>
  <c r="S813" i="1"/>
  <c r="U813" i="1" s="1"/>
  <c r="S727" i="1"/>
  <c r="U727" i="1" s="1"/>
  <c r="S868" i="1"/>
  <c r="U868" i="1" s="1"/>
  <c r="S675" i="1"/>
  <c r="U675" i="1" s="1"/>
  <c r="S21" i="1"/>
  <c r="U21" i="1" s="1"/>
  <c r="S706" i="1"/>
  <c r="S661" i="1"/>
  <c r="U661" i="1" s="1"/>
  <c r="S719" i="1"/>
  <c r="U719" i="1" s="1"/>
  <c r="S916" i="1"/>
  <c r="U916" i="1" s="1"/>
  <c r="S148" i="1"/>
  <c r="U148" i="1" s="1"/>
  <c r="S247" i="1"/>
  <c r="U247" i="1" s="1"/>
  <c r="S338" i="1"/>
  <c r="U338" i="1" s="1"/>
  <c r="S107" i="1"/>
  <c r="U107" i="1" s="1"/>
  <c r="S9" i="1"/>
  <c r="U9" i="1" s="1"/>
  <c r="S904" i="1"/>
  <c r="U904" i="1" s="1"/>
  <c r="S209" i="1"/>
  <c r="U209" i="1" s="1"/>
  <c r="S241" i="1"/>
  <c r="U241" i="1" s="1"/>
  <c r="S654" i="1"/>
  <c r="S327" i="1"/>
  <c r="U327" i="1" s="1"/>
  <c r="S193" i="1"/>
  <c r="U193" i="1" s="1"/>
  <c r="S464" i="1"/>
  <c r="U464" i="1" s="1"/>
  <c r="S340" i="1"/>
  <c r="U340" i="1" s="1"/>
  <c r="S471" i="1"/>
  <c r="U471" i="1" s="1"/>
  <c r="S826" i="1"/>
  <c r="U826" i="1" s="1"/>
  <c r="S725" i="1"/>
  <c r="U725" i="1" s="1"/>
  <c r="S585" i="1"/>
  <c r="U585" i="1" s="1"/>
  <c r="S721" i="1"/>
  <c r="U721" i="1" s="1"/>
  <c r="S782" i="1"/>
  <c r="U782" i="1" s="1"/>
  <c r="S901" i="1"/>
  <c r="U901" i="1" s="1"/>
  <c r="S264" i="1"/>
  <c r="S630" i="1"/>
  <c r="U630" i="1" s="1"/>
  <c r="S849" i="1"/>
  <c r="U849" i="1" s="1"/>
  <c r="S214" i="1"/>
  <c r="U214" i="1" s="1"/>
  <c r="S733" i="1"/>
  <c r="U733" i="1" s="1"/>
  <c r="S526" i="1"/>
  <c r="U526" i="1" s="1"/>
  <c r="S315" i="1"/>
  <c r="U315" i="1" s="1"/>
  <c r="S914" i="1"/>
  <c r="U914" i="1" s="1"/>
  <c r="S875" i="1"/>
  <c r="U875" i="1" s="1"/>
  <c r="S182" i="1"/>
  <c r="U182" i="1" s="1"/>
  <c r="S710" i="1"/>
  <c r="U710" i="1" s="1"/>
  <c r="S402" i="1"/>
  <c r="U402" i="1" s="1"/>
  <c r="S203" i="1"/>
  <c r="U203" i="1" s="1"/>
  <c r="S970" i="1"/>
  <c r="U970" i="1" s="1"/>
  <c r="S334" i="1"/>
  <c r="U334" i="1" s="1"/>
  <c r="S158" i="1"/>
  <c r="U158" i="1" s="1"/>
  <c r="S829" i="1"/>
  <c r="U829" i="1" s="1"/>
  <c r="S717" i="1"/>
  <c r="U717" i="1" s="1"/>
  <c r="S651" i="1"/>
  <c r="U651" i="1" s="1"/>
  <c r="S405" i="1"/>
  <c r="U405" i="1" s="1"/>
  <c r="S515" i="1"/>
  <c r="U515" i="1" s="1"/>
  <c r="S538" i="1"/>
  <c r="U538" i="1" s="1"/>
  <c r="S434" i="1"/>
  <c r="U434" i="1" s="1"/>
  <c r="S832" i="1"/>
  <c r="U832" i="1" s="1"/>
  <c r="S35" i="1"/>
  <c r="S737" i="1"/>
  <c r="U737" i="1" s="1"/>
  <c r="S461" i="1"/>
  <c r="U461" i="1" s="1"/>
  <c r="S49" i="1"/>
  <c r="U49" i="1" s="1"/>
  <c r="S564" i="1"/>
  <c r="U564" i="1" s="1"/>
  <c r="S708" i="1"/>
  <c r="U708" i="1" s="1"/>
  <c r="S894" i="1"/>
  <c r="U894" i="1" s="1"/>
  <c r="S175" i="1"/>
  <c r="U175" i="1" s="1"/>
  <c r="S477" i="1"/>
  <c r="U477" i="1" s="1"/>
  <c r="S384" i="1"/>
  <c r="U384" i="1" s="1"/>
  <c r="S781" i="1"/>
  <c r="U781" i="1" s="1"/>
  <c r="S429" i="1"/>
  <c r="U429" i="1" s="1"/>
  <c r="S341" i="1"/>
  <c r="S579" i="1"/>
  <c r="U579" i="1" s="1"/>
  <c r="S705" i="1"/>
  <c r="U705" i="1" s="1"/>
  <c r="S568" i="1"/>
  <c r="U568" i="1" s="1"/>
  <c r="S217" i="1"/>
  <c r="U217" i="1" s="1"/>
  <c r="S934" i="1"/>
  <c r="U934" i="1" s="1"/>
  <c r="S900" i="1"/>
  <c r="U900" i="1" s="1"/>
  <c r="S594" i="1"/>
  <c r="U594" i="1" s="1"/>
  <c r="S250" i="1"/>
  <c r="U250" i="1" s="1"/>
  <c r="S259" i="1"/>
  <c r="U259" i="1" s="1"/>
  <c r="S38" i="1"/>
  <c r="U38" i="1" s="1"/>
  <c r="S769" i="1"/>
  <c r="U769" i="1" s="1"/>
  <c r="S619" i="1"/>
  <c r="S760" i="1"/>
  <c r="U760" i="1" s="1"/>
  <c r="S999" i="1"/>
  <c r="U999" i="1" s="1"/>
  <c r="S242" i="1"/>
  <c r="U242" i="1" s="1"/>
  <c r="S130" i="1"/>
  <c r="U130" i="1" s="1"/>
  <c r="S696" i="1"/>
  <c r="U696" i="1" s="1"/>
  <c r="S576" i="1"/>
  <c r="U576" i="1" s="1"/>
  <c r="S942" i="1"/>
  <c r="U942" i="1" s="1"/>
  <c r="S945" i="1"/>
  <c r="U945" i="1" s="1"/>
  <c r="S164" i="1"/>
  <c r="U164" i="1" s="1"/>
  <c r="S385" i="1"/>
  <c r="U385" i="1" s="1"/>
  <c r="S134" i="1"/>
  <c r="U134" i="1" s="1"/>
  <c r="S253" i="1"/>
  <c r="S751" i="1"/>
  <c r="U751" i="1" s="1"/>
  <c r="S406" i="1"/>
  <c r="U406" i="1" s="1"/>
  <c r="S197" i="1"/>
  <c r="U197" i="1" s="1"/>
  <c r="S52" i="1"/>
  <c r="U52" i="1" s="1"/>
  <c r="S40" i="1"/>
  <c r="U40" i="1" s="1"/>
  <c r="S794" i="1"/>
  <c r="U794" i="1" s="1"/>
  <c r="S374" i="1"/>
  <c r="U374" i="1" s="1"/>
  <c r="S885" i="1"/>
  <c r="U885" i="1" s="1"/>
  <c r="S716" i="1"/>
  <c r="U716" i="1" s="1"/>
  <c r="S139" i="1"/>
  <c r="U139" i="1" s="1"/>
  <c r="S100" i="1"/>
  <c r="U100" i="1" s="1"/>
  <c r="S818" i="1"/>
  <c r="S924" i="1"/>
  <c r="U924" i="1" s="1"/>
  <c r="S883" i="1"/>
  <c r="U883" i="1" s="1"/>
  <c r="S952" i="1"/>
  <c r="U952" i="1" s="1"/>
  <c r="S90" i="1"/>
  <c r="U90" i="1" s="1"/>
  <c r="S256" i="1"/>
  <c r="U256" i="1" s="1"/>
  <c r="S69" i="1"/>
  <c r="U69" i="1" s="1"/>
  <c r="S433" i="1"/>
  <c r="U433" i="1" s="1"/>
  <c r="S790" i="1"/>
  <c r="U790" i="1" s="1"/>
  <c r="S145" i="1"/>
  <c r="U145" i="1" s="1"/>
  <c r="S918" i="1"/>
  <c r="U918" i="1" s="1"/>
  <c r="S199" i="1"/>
  <c r="U199" i="1" s="1"/>
  <c r="S497" i="1"/>
  <c r="S457" i="1"/>
  <c r="U457" i="1" s="1"/>
  <c r="S656" i="1"/>
  <c r="U656" i="1" s="1"/>
  <c r="S368" i="1"/>
  <c r="U368" i="1" s="1"/>
  <c r="S78" i="1"/>
  <c r="U78" i="1" s="1"/>
  <c r="S244" i="1"/>
  <c r="U244" i="1" s="1"/>
  <c r="S144" i="1"/>
  <c r="U144" i="1" s="1"/>
  <c r="S610" i="1"/>
  <c r="U610" i="1" s="1"/>
  <c r="S792" i="1"/>
  <c r="U792" i="1" s="1"/>
  <c r="S48" i="1"/>
  <c r="U48" i="1" s="1"/>
  <c r="S750" i="1"/>
  <c r="U750" i="1" s="1"/>
  <c r="S310" i="1"/>
  <c r="U310" i="1" s="1"/>
  <c r="S356" i="1"/>
  <c r="S888" i="1"/>
  <c r="U888" i="1" s="1"/>
  <c r="S517" i="1"/>
  <c r="U517" i="1" s="1"/>
  <c r="S488" i="1"/>
  <c r="U488" i="1" s="1"/>
  <c r="S628" i="1"/>
  <c r="U628" i="1" s="1"/>
  <c r="S436" i="1"/>
  <c r="U436" i="1" s="1"/>
  <c r="S64" i="1"/>
  <c r="U64" i="1" s="1"/>
  <c r="S636" i="1"/>
  <c r="U636" i="1" s="1"/>
  <c r="S841" i="1"/>
  <c r="U841" i="1" s="1"/>
  <c r="S439" i="1"/>
  <c r="U439" i="1" s="1"/>
  <c r="S136" i="1"/>
  <c r="U136" i="1" s="1"/>
  <c r="S552" i="1"/>
  <c r="U552" i="1" s="1"/>
  <c r="S980" i="1"/>
  <c r="S968" i="1"/>
  <c r="U968" i="1" s="1"/>
  <c r="S855" i="1"/>
  <c r="U855" i="1" s="1"/>
  <c r="S263" i="1"/>
  <c r="U263" i="1" s="1"/>
  <c r="S123" i="1"/>
  <c r="U123" i="1" s="1"/>
  <c r="S205" i="1"/>
  <c r="U205" i="1" s="1"/>
  <c r="S953" i="1"/>
  <c r="U953" i="1" s="1"/>
  <c r="S200" i="1"/>
  <c r="U200" i="1" s="1"/>
  <c r="S520" i="1"/>
  <c r="U520" i="1" s="1"/>
  <c r="S470" i="1"/>
  <c r="U470" i="1" s="1"/>
  <c r="S479" i="1"/>
  <c r="U479" i="1" s="1"/>
  <c r="S830" i="1"/>
  <c r="U830" i="1" s="1"/>
  <c r="S245" i="1"/>
  <c r="S484" i="1"/>
  <c r="U484" i="1" s="1"/>
  <c r="S633" i="1"/>
  <c r="U633" i="1" s="1"/>
  <c r="S602" i="1"/>
  <c r="U602" i="1" s="1"/>
  <c r="S87" i="1"/>
  <c r="U87" i="1" s="1"/>
  <c r="S133" i="1"/>
  <c r="U133" i="1" s="1"/>
  <c r="S714" i="1"/>
  <c r="U714" i="1" s="1"/>
  <c r="S442" i="1"/>
  <c r="U442" i="1" s="1"/>
  <c r="S801" i="1"/>
  <c r="U801" i="1" s="1"/>
  <c r="S863" i="1"/>
  <c r="U863" i="1" s="1"/>
  <c r="S808" i="1"/>
  <c r="U808" i="1" s="1"/>
  <c r="S929" i="1"/>
  <c r="U929" i="1" s="1"/>
  <c r="S190" i="1"/>
  <c r="S606" i="1"/>
  <c r="U606" i="1" s="1"/>
  <c r="S928" i="1"/>
  <c r="U928" i="1" s="1"/>
  <c r="S481" i="1"/>
  <c r="U481" i="1" s="1"/>
  <c r="S485" i="1"/>
  <c r="U485" i="1" s="1"/>
  <c r="S367" i="1"/>
  <c r="U367" i="1" s="1"/>
  <c r="S159" i="1"/>
  <c r="U159" i="1" s="1"/>
  <c r="S738" i="1"/>
  <c r="U738" i="1" s="1"/>
  <c r="S280" i="1"/>
  <c r="U280" i="1" s="1"/>
  <c r="S301" i="1"/>
  <c r="U301" i="1" s="1"/>
  <c r="S473" i="1"/>
  <c r="U473" i="1" s="1"/>
  <c r="S770" i="1"/>
  <c r="U770" i="1" s="1"/>
  <c r="S874" i="1"/>
  <c r="S566" i="1"/>
  <c r="U566" i="1" s="1"/>
  <c r="S490" i="1"/>
  <c r="U490" i="1" s="1"/>
  <c r="S467" i="1"/>
  <c r="U467" i="1" s="1"/>
  <c r="S895" i="1"/>
  <c r="U895" i="1" s="1"/>
  <c r="S771" i="1"/>
  <c r="U771" i="1" s="1"/>
  <c r="S44" i="1"/>
  <c r="U44" i="1" s="1"/>
  <c r="S10" i="1"/>
  <c r="U10" i="1" s="1"/>
  <c r="S408" i="1"/>
  <c r="U408" i="1" s="1"/>
  <c r="S570" i="1"/>
  <c r="U570" i="1" s="1"/>
  <c r="S14" i="1"/>
  <c r="U14" i="1" s="1"/>
  <c r="S289" i="1"/>
  <c r="U289" i="1" s="1"/>
  <c r="S595" i="1"/>
  <c r="S903" i="1"/>
  <c r="U903" i="1" s="1"/>
  <c r="S494" i="1"/>
  <c r="U494" i="1" s="1"/>
  <c r="S848" i="1"/>
  <c r="U848" i="1" s="1"/>
  <c r="S271" i="1"/>
  <c r="U271" i="1" s="1"/>
  <c r="S299" i="1"/>
  <c r="U299" i="1" s="1"/>
  <c r="S73" i="1"/>
  <c r="U73" i="1" s="1"/>
  <c r="S512" i="1"/>
  <c r="U512" i="1" s="1"/>
  <c r="S221" i="1"/>
  <c r="U221" i="1" s="1"/>
  <c r="S622" i="1"/>
  <c r="U622" i="1" s="1"/>
  <c r="S936" i="1"/>
  <c r="U936" i="1" s="1"/>
  <c r="S588" i="1"/>
  <c r="U588" i="1" s="1"/>
  <c r="S845" i="1"/>
  <c r="S458" i="1"/>
  <c r="U458" i="1" s="1"/>
  <c r="S689" i="1"/>
  <c r="U689" i="1" s="1"/>
  <c r="S640" i="1"/>
  <c r="U640" i="1" s="1"/>
  <c r="S75" i="1"/>
  <c r="U75" i="1" s="1"/>
  <c r="S413" i="1"/>
  <c r="U413" i="1" s="1"/>
  <c r="S507" i="1"/>
  <c r="U507" i="1" s="1"/>
  <c r="S1000" i="1"/>
  <c r="U1000" i="1" s="1"/>
  <c r="S36" i="1"/>
  <c r="U36" i="1" s="1"/>
  <c r="S378" i="1"/>
  <c r="U378" i="1" s="1"/>
  <c r="S757" i="1"/>
  <c r="U757" i="1" s="1"/>
  <c r="S691" i="1"/>
  <c r="U691" i="1" s="1"/>
  <c r="S249" i="1"/>
  <c r="S596" i="1"/>
  <c r="U596" i="1" s="1"/>
  <c r="S740" i="1"/>
  <c r="U740" i="1" s="1"/>
  <c r="S456" i="1"/>
  <c r="U456" i="1" s="1"/>
  <c r="S575" i="1"/>
  <c r="U575" i="1" s="1"/>
  <c r="S451" i="1"/>
  <c r="U451" i="1" s="1"/>
  <c r="S465" i="1"/>
  <c r="U465" i="1" s="1"/>
  <c r="S210" i="1"/>
  <c r="U210" i="1" s="1"/>
  <c r="S110" i="1"/>
  <c r="U110" i="1" s="1"/>
  <c r="S984" i="1"/>
  <c r="U984" i="1" s="1"/>
  <c r="S631" i="1"/>
  <c r="U631" i="1" s="1"/>
  <c r="S772" i="1"/>
  <c r="U772" i="1" s="1"/>
  <c r="S149" i="1"/>
  <c r="S4" i="1"/>
  <c r="U4" i="1" s="1"/>
  <c r="S239" i="1"/>
  <c r="U239" i="1" s="1"/>
  <c r="S309" i="1"/>
  <c r="U309" i="1" s="1"/>
  <c r="S410" i="1"/>
  <c r="U410" i="1" s="1"/>
  <c r="S680" i="1"/>
  <c r="U680" i="1" s="1"/>
  <c r="S306" i="1"/>
  <c r="U306" i="1" s="1"/>
  <c r="S495" i="1"/>
  <c r="U495" i="1" s="1"/>
  <c r="S189" i="1"/>
  <c r="U189" i="1" s="1"/>
  <c r="S613" i="1"/>
  <c r="U613" i="1" s="1"/>
  <c r="S156" i="1"/>
  <c r="U156" i="1" s="1"/>
  <c r="S878" i="1"/>
  <c r="U878" i="1" s="1"/>
  <c r="S329" i="1"/>
  <c r="S279" i="1"/>
  <c r="U279" i="1" s="1"/>
  <c r="S447" i="1"/>
  <c r="U447" i="1" s="1"/>
  <c r="S26" i="1"/>
  <c r="U26" i="1" s="1"/>
  <c r="S359" i="1"/>
  <c r="U359" i="1" s="1"/>
  <c r="S665" i="1"/>
  <c r="U665" i="1" s="1"/>
  <c r="S609" i="1"/>
  <c r="U609" i="1" s="1"/>
  <c r="S974" i="1"/>
  <c r="U974" i="1" s="1"/>
  <c r="S670" i="1"/>
  <c r="U670" i="1" s="1"/>
  <c r="S909" i="1"/>
  <c r="U909" i="1" s="1"/>
  <c r="S820" i="1"/>
  <c r="U820" i="1" s="1"/>
  <c r="S627" i="1"/>
  <c r="U627" i="1" s="1"/>
  <c r="S483" i="1"/>
  <c r="S7" i="1"/>
  <c r="U7" i="1" s="1"/>
  <c r="S448" i="1"/>
  <c r="U448" i="1" s="1"/>
  <c r="S995" i="1"/>
  <c r="U995" i="1" s="1"/>
  <c r="S287" i="1"/>
  <c r="U287" i="1" s="1"/>
  <c r="S858" i="1"/>
  <c r="U858" i="1" s="1"/>
  <c r="S581" i="1"/>
  <c r="U581" i="1" s="1"/>
  <c r="S113" i="1"/>
  <c r="U113" i="1" s="1"/>
  <c r="S284" i="1"/>
  <c r="U284" i="1" s="1"/>
  <c r="S634" i="1"/>
  <c r="U634" i="1" s="1"/>
  <c r="S884" i="1"/>
  <c r="U884" i="1" s="1"/>
  <c r="S452" i="1"/>
  <c r="U452" i="1" s="1"/>
  <c r="S521" i="1"/>
  <c r="S759" i="1"/>
  <c r="U759" i="1" s="1"/>
  <c r="S333" i="1"/>
  <c r="U333" i="1" s="1"/>
  <c r="S589" i="1"/>
  <c r="U589" i="1" s="1"/>
  <c r="S779" i="1"/>
  <c r="U779" i="1" s="1"/>
  <c r="S475" i="1"/>
  <c r="U475" i="1" s="1"/>
  <c r="S152" i="1"/>
  <c r="U152" i="1" s="1"/>
  <c r="S370" i="1"/>
  <c r="U370" i="1" s="1"/>
  <c r="S46" i="1"/>
  <c r="U46" i="1" s="1"/>
  <c r="S563" i="1"/>
  <c r="U563" i="1" s="1"/>
  <c r="S839" i="1"/>
  <c r="U839" i="1" s="1"/>
  <c r="S799" i="1"/>
  <c r="U799" i="1" s="1"/>
  <c r="S509" i="1"/>
  <c r="S747" i="1"/>
  <c r="U747" i="1" s="1"/>
  <c r="S346" i="1"/>
  <c r="U346" i="1" s="1"/>
  <c r="S119" i="1"/>
  <c r="U119" i="1" s="1"/>
  <c r="S973" i="1"/>
  <c r="U973" i="1" s="1"/>
  <c r="S311" i="1"/>
  <c r="U311" i="1" s="1"/>
  <c r="S502" i="1"/>
  <c r="U502" i="1" s="1"/>
  <c r="S535" i="1"/>
  <c r="U535" i="1" s="1"/>
  <c r="S701" i="1"/>
  <c r="U701" i="1" s="1"/>
  <c r="S827" i="1"/>
  <c r="U827" i="1" s="1"/>
  <c r="S577" i="1"/>
  <c r="U577" i="1" s="1"/>
  <c r="S905" i="1"/>
  <c r="U905" i="1" s="1"/>
  <c r="S379" i="1"/>
  <c r="S807" i="1"/>
  <c r="U807" i="1" s="1"/>
  <c r="S84" i="1"/>
  <c r="U84" i="1" s="1"/>
  <c r="S286" i="1"/>
  <c r="U286" i="1" s="1"/>
  <c r="S198" i="1"/>
  <c r="U198" i="1" s="1"/>
  <c r="S291" i="1"/>
  <c r="U291" i="1" s="1"/>
  <c r="S43" i="1"/>
  <c r="U43" i="1" s="1"/>
  <c r="S143" i="1"/>
  <c r="U143" i="1" s="1"/>
  <c r="S50" i="1"/>
  <c r="U50" i="1" s="1"/>
  <c r="S981" i="1"/>
  <c r="U981" i="1" s="1"/>
  <c r="S163" i="1"/>
  <c r="U163" i="1" s="1"/>
  <c r="S360" i="1"/>
  <c r="U360" i="1" s="1"/>
  <c r="S146" i="1"/>
  <c r="S227" i="1"/>
  <c r="U227" i="1" s="1"/>
  <c r="S728" i="1"/>
  <c r="U728" i="1" s="1"/>
  <c r="S298" i="1"/>
  <c r="U298" i="1" s="1"/>
  <c r="S232" i="1"/>
  <c r="U232" i="1" s="1"/>
  <c r="S347" i="1"/>
  <c r="U347" i="1" s="1"/>
  <c r="S344" i="1"/>
  <c r="U344" i="1" s="1"/>
  <c r="S723" i="1"/>
  <c r="U723" i="1" s="1"/>
  <c r="S514" i="1"/>
  <c r="U514" i="1" s="1"/>
  <c r="S71" i="1"/>
  <c r="U71" i="1" s="1"/>
  <c r="S902" i="1"/>
  <c r="U902" i="1" s="1"/>
  <c r="S212" i="1"/>
  <c r="U212" i="1" s="1"/>
  <c r="S763" i="1"/>
  <c r="S229" i="1"/>
  <c r="U229" i="1" s="1"/>
  <c r="S72" i="1"/>
  <c r="U72" i="1" s="1"/>
  <c r="S121" i="1"/>
  <c r="U121" i="1" s="1"/>
  <c r="S647" i="1"/>
  <c r="U647" i="1" s="1"/>
  <c r="S397" i="1"/>
  <c r="U397" i="1" s="1"/>
  <c r="S523" i="1"/>
  <c r="U523" i="1" s="1"/>
  <c r="S430" i="1"/>
  <c r="U430" i="1" s="1"/>
  <c r="S122" i="1"/>
  <c r="U122" i="1" s="1"/>
  <c r="S703" i="1"/>
  <c r="U703" i="1" s="1"/>
  <c r="S131" i="1"/>
  <c r="U131" i="1" s="1"/>
  <c r="S220" i="1"/>
  <c r="U220" i="1" s="1"/>
  <c r="S632" i="1"/>
  <c r="S744" i="1"/>
  <c r="U744" i="1" s="1"/>
  <c r="S132" i="1"/>
  <c r="U132" i="1" s="1"/>
  <c r="S266" i="1"/>
  <c r="U266" i="1" s="1"/>
  <c r="S821" i="1"/>
  <c r="U821" i="1" s="1"/>
  <c r="S65" i="1"/>
  <c r="U65" i="1" s="1"/>
  <c r="S93" i="1"/>
  <c r="U93" i="1" s="1"/>
  <c r="S251" i="1"/>
  <c r="U251" i="1" s="1"/>
  <c r="S260" i="1"/>
  <c r="U260" i="1" s="1"/>
  <c r="S401" i="1"/>
  <c r="U401" i="1" s="1"/>
  <c r="S226" i="1"/>
  <c r="U226" i="1" s="1"/>
  <c r="S574" i="1"/>
  <c r="U574" i="1" s="1"/>
  <c r="S625" i="1"/>
  <c r="S294" i="1"/>
  <c r="U294" i="1" s="1"/>
  <c r="S19" i="1"/>
  <c r="U19" i="1" s="1"/>
  <c r="S959" i="1"/>
  <c r="U959" i="1" s="1"/>
  <c r="S96" i="1"/>
  <c r="U96" i="1" s="1"/>
  <c r="S853" i="1"/>
  <c r="U853" i="1" s="1"/>
  <c r="S392" i="1"/>
  <c r="U392" i="1" s="1"/>
  <c r="S30" i="1"/>
  <c r="U30" i="1" s="1"/>
  <c r="S268" i="1"/>
  <c r="U268" i="1" s="1"/>
  <c r="S124" i="1"/>
  <c r="U124" i="1" s="1"/>
  <c r="S319" i="1"/>
  <c r="U319" i="1" s="1"/>
  <c r="S213" i="1"/>
  <c r="U213" i="1" s="1"/>
  <c r="S348" i="1"/>
  <c r="S265" i="1"/>
  <c r="U265" i="1" s="1"/>
  <c r="S337" i="1"/>
  <c r="U337" i="1" s="1"/>
  <c r="S487" i="1"/>
  <c r="U487" i="1" s="1"/>
  <c r="S653" i="1"/>
  <c r="U653" i="1" s="1"/>
  <c r="S32" i="1"/>
  <c r="U32" i="1" s="1"/>
  <c r="S295" i="1"/>
  <c r="U295" i="1" s="1"/>
  <c r="S369" i="1"/>
  <c r="U369" i="1" s="1"/>
  <c r="S805" i="1"/>
  <c r="U805" i="1" s="1"/>
  <c r="S955" i="1"/>
  <c r="U955" i="1" s="1"/>
  <c r="S162" i="1"/>
  <c r="U162" i="1" s="1"/>
  <c r="S395" i="1"/>
  <c r="U395" i="1" s="1"/>
  <c r="S215" i="1"/>
  <c r="S165" i="1"/>
  <c r="U165" i="1" s="1"/>
  <c r="S682" i="1"/>
  <c r="U682" i="1" s="1"/>
  <c r="S741" i="1"/>
  <c r="U741" i="1" s="1"/>
  <c r="S617" i="1"/>
  <c r="U617" i="1" s="1"/>
  <c r="S864" i="1"/>
  <c r="U864" i="1" s="1"/>
  <c r="S160" i="1"/>
  <c r="U160" i="1" s="1"/>
  <c r="S611" i="1"/>
  <c r="U611" i="1" s="1"/>
  <c r="S926" i="1"/>
  <c r="U926" i="1" s="1"/>
  <c r="S620" i="1"/>
  <c r="U620" i="1" s="1"/>
  <c r="S435" i="1"/>
  <c r="U435" i="1" s="1"/>
  <c r="S423" i="1"/>
  <c r="U423" i="1" s="1"/>
  <c r="S349" i="1"/>
  <c r="S912" i="1"/>
  <c r="U912" i="1" s="1"/>
  <c r="S749" i="1"/>
  <c r="U749" i="1" s="1"/>
  <c r="S89" i="1"/>
  <c r="U89" i="1" s="1"/>
  <c r="S872" i="1"/>
  <c r="U872" i="1" s="1"/>
  <c r="S567" i="1"/>
  <c r="U567" i="1" s="1"/>
  <c r="S542" i="1"/>
  <c r="U542" i="1" s="1"/>
  <c r="S222" i="1"/>
  <c r="U222" i="1" s="1"/>
  <c r="S320" i="1"/>
  <c r="U320" i="1" s="1"/>
  <c r="S27" i="1"/>
  <c r="U27" i="1" s="1"/>
  <c r="S578" i="1"/>
  <c r="U578" i="1" s="1"/>
  <c r="S170" i="1"/>
  <c r="U170" i="1" s="1"/>
  <c r="S950" i="1"/>
  <c r="S462" i="1"/>
  <c r="U462" i="1" s="1"/>
  <c r="S685" i="1"/>
  <c r="U685" i="1" s="1"/>
  <c r="S962" i="1"/>
  <c r="U962" i="1" s="1"/>
  <c r="S302" i="1"/>
  <c r="U302" i="1" s="1"/>
  <c r="S919" i="1"/>
  <c r="U919" i="1" s="1"/>
  <c r="S238" i="1"/>
  <c r="U238" i="1" s="1"/>
  <c r="S867" i="1"/>
  <c r="U867" i="1" s="1"/>
  <c r="S5" i="1"/>
  <c r="U5" i="1" s="1"/>
  <c r="S441" i="1"/>
  <c r="U441" i="1" s="1"/>
  <c r="S171" i="1"/>
  <c r="U171" i="1" s="1"/>
  <c r="S376" i="1"/>
  <c r="U376" i="1" s="1"/>
  <c r="S61" i="1"/>
  <c r="S443" i="1"/>
  <c r="U443" i="1" s="1"/>
  <c r="S882" i="1"/>
  <c r="U882" i="1" s="1"/>
  <c r="S605" i="1"/>
  <c r="U605" i="1" s="1"/>
  <c r="S201" i="1"/>
  <c r="U201" i="1" s="1"/>
  <c r="S422" i="1"/>
  <c r="U422" i="1" s="1"/>
  <c r="S154" i="1"/>
  <c r="U154" i="1" s="1"/>
  <c r="S12" i="1"/>
  <c r="U12" i="1" s="1"/>
  <c r="S51" i="1"/>
  <c r="U51" i="1" s="1"/>
  <c r="S907" i="1"/>
  <c r="U907" i="1" s="1"/>
  <c r="S476" i="1"/>
  <c r="U476" i="1" s="1"/>
  <c r="S616" i="1"/>
  <c r="U616" i="1" s="1"/>
  <c r="S186" i="1"/>
  <c r="S424" i="1"/>
  <c r="U424" i="1" s="1"/>
  <c r="S128" i="1"/>
  <c r="U128" i="1" s="1"/>
  <c r="S842" i="1"/>
  <c r="U842" i="1" s="1"/>
  <c r="S357" i="1"/>
  <c r="U357" i="1" s="1"/>
  <c r="S431" i="1"/>
  <c r="U431" i="1" s="1"/>
  <c r="S587" i="1"/>
  <c r="U587" i="1" s="1"/>
  <c r="S645" i="1"/>
  <c r="U645" i="1" s="1"/>
  <c r="S798" i="1"/>
  <c r="U798" i="1" s="1"/>
  <c r="S510" i="1"/>
  <c r="U510" i="1" s="1"/>
  <c r="S79" i="1"/>
  <c r="U79" i="1" s="1"/>
  <c r="S185" i="1"/>
  <c r="U185" i="1" s="1"/>
  <c r="S537" i="1"/>
  <c r="S817" i="1"/>
  <c r="U817" i="1" s="1"/>
  <c r="S362" i="1"/>
  <c r="U362" i="1" s="1"/>
  <c r="S994" i="1"/>
  <c r="U994" i="1" s="1"/>
  <c r="S788" i="1"/>
  <c r="U788" i="1" s="1"/>
  <c r="S607" i="1"/>
  <c r="U607" i="1" s="1"/>
  <c r="S676" i="1"/>
  <c r="U676" i="1" s="1"/>
  <c r="S915" i="1"/>
  <c r="U915" i="1" s="1"/>
  <c r="S53" i="1"/>
  <c r="U53" i="1" s="1"/>
  <c r="S339" i="1"/>
  <c r="U339" i="1" s="1"/>
  <c r="S328" i="1"/>
  <c r="U328" i="1" s="1"/>
  <c r="S172" i="1"/>
  <c r="U172" i="1" s="1"/>
  <c r="S553" i="1"/>
  <c r="S371" i="1"/>
  <c r="U371" i="1" s="1"/>
  <c r="S491" i="1"/>
  <c r="U491" i="1" s="1"/>
  <c r="S565" i="1"/>
  <c r="U565" i="1" s="1"/>
  <c r="S806" i="1"/>
  <c r="U806" i="1" s="1"/>
  <c r="S869" i="1"/>
  <c r="U869" i="1" s="1"/>
  <c r="S426" i="1"/>
  <c r="U426" i="1" s="1"/>
  <c r="S399" i="1"/>
  <c r="U399" i="1" s="1"/>
  <c r="S663" i="1"/>
  <c r="U663" i="1" s="1"/>
  <c r="S45" i="1"/>
  <c r="U45" i="1" s="1"/>
  <c r="S147" i="1"/>
  <c r="U147" i="1" s="1"/>
  <c r="S886" i="1"/>
  <c r="U886" i="1" s="1"/>
  <c r="S983" i="1"/>
  <c r="S861" i="1"/>
  <c r="U861" i="1" s="1"/>
  <c r="S739" i="1"/>
  <c r="U739" i="1" s="1"/>
  <c r="S308" i="1"/>
  <c r="U308" i="1" s="1"/>
  <c r="S377" i="1"/>
  <c r="U377" i="1" s="1"/>
  <c r="S992" i="1"/>
  <c r="U992" i="1" s="1"/>
  <c r="S615" i="1"/>
  <c r="U615" i="1" s="1"/>
  <c r="S112" i="1"/>
  <c r="U112" i="1" s="1"/>
  <c r="S856" i="1"/>
  <c r="U856" i="1" s="1"/>
  <c r="S960" i="1"/>
  <c r="U960" i="1" s="1"/>
  <c r="S780" i="1"/>
  <c r="U780" i="1" s="1"/>
  <c r="S300" i="1"/>
  <c r="U300" i="1" s="1"/>
  <c r="S791" i="1"/>
  <c r="S290" i="1"/>
  <c r="U290" i="1" s="1"/>
  <c r="S911" i="1"/>
  <c r="U911" i="1" s="1"/>
  <c r="S549" i="1"/>
  <c r="U549" i="1" s="1"/>
  <c r="S774" i="1"/>
  <c r="U774" i="1" s="1"/>
  <c r="S486" i="1"/>
  <c r="U486" i="1" s="1"/>
  <c r="S55" i="1"/>
  <c r="U55" i="1" s="1"/>
  <c r="S283" i="1"/>
  <c r="U283" i="1" s="1"/>
  <c r="S387" i="1"/>
  <c r="U387" i="1" s="1"/>
  <c r="S908" i="1"/>
  <c r="U908" i="1" s="1"/>
  <c r="S33" i="1"/>
  <c r="U33" i="1" s="1"/>
  <c r="S206" i="1"/>
  <c r="U206" i="1" s="1"/>
  <c r="S506" i="1"/>
  <c r="S240" i="1"/>
  <c r="U240" i="1" s="1"/>
  <c r="S314" i="1"/>
  <c r="U314" i="1" s="1"/>
  <c r="S525" i="1"/>
  <c r="U525" i="1" s="1"/>
  <c r="S655" i="1"/>
  <c r="U655" i="1" s="1"/>
  <c r="S224" i="1"/>
  <c r="U224" i="1" s="1"/>
  <c r="S796" i="1"/>
  <c r="U796" i="1" s="1"/>
  <c r="S365" i="1"/>
  <c r="U365" i="1" s="1"/>
  <c r="S896" i="1"/>
  <c r="U896" i="1" s="1"/>
  <c r="S603" i="1"/>
  <c r="U603" i="1" s="1"/>
  <c r="S956" i="1"/>
  <c r="U956" i="1" s="1"/>
  <c r="S216" i="1"/>
  <c r="U216" i="1" s="1"/>
  <c r="S784" i="1"/>
  <c r="S191" i="1"/>
  <c r="U191" i="1" s="1"/>
  <c r="S336" i="1"/>
  <c r="U336" i="1" s="1"/>
  <c r="S684" i="1"/>
  <c r="U684" i="1" s="1"/>
  <c r="S718" i="1"/>
  <c r="U718" i="1" s="1"/>
  <c r="S756" i="1"/>
  <c r="U756" i="1" s="1"/>
  <c r="S982" i="1"/>
  <c r="U982" i="1" s="1"/>
  <c r="S501" i="1"/>
  <c r="U501" i="1" s="1"/>
  <c r="S834" i="1"/>
  <c r="U834" i="1" s="1"/>
  <c r="S989" i="1"/>
  <c r="U989" i="1" s="1"/>
  <c r="S546" i="1"/>
  <c r="U546" i="1" s="1"/>
  <c r="S115" i="1"/>
  <c r="U115" i="1" s="1"/>
  <c r="S178" i="1"/>
  <c r="S230" i="1"/>
  <c r="U230" i="1" s="1"/>
  <c r="S539" i="1"/>
  <c r="U539" i="1" s="1"/>
  <c r="S731" i="1"/>
  <c r="U731" i="1" s="1"/>
  <c r="S516" i="1"/>
  <c r="U516" i="1" s="1"/>
  <c r="S972" i="1"/>
  <c r="U972" i="1" s="1"/>
  <c r="S662" i="1"/>
  <c r="U662" i="1" s="1"/>
  <c r="S678" i="1"/>
  <c r="U678" i="1" s="1"/>
  <c r="S833" i="1"/>
  <c r="U833" i="1" s="1"/>
  <c r="S390" i="1"/>
  <c r="U390" i="1" s="1"/>
  <c r="S155" i="1"/>
  <c r="U155" i="1" s="1"/>
  <c r="S235" i="1"/>
  <c r="U235" i="1" s="1"/>
  <c r="S120" i="1"/>
  <c r="S382" i="1"/>
  <c r="U382" i="1" s="1"/>
  <c r="S304" i="1"/>
  <c r="U304" i="1" s="1"/>
  <c r="S674" i="1"/>
  <c r="U674" i="1" s="1"/>
  <c r="S345" i="1"/>
  <c r="U345" i="1" s="1"/>
  <c r="S742" i="1"/>
  <c r="U742" i="1" s="1"/>
  <c r="S469" i="1"/>
  <c r="U469" i="1" s="1"/>
  <c r="S157" i="1"/>
  <c r="U157" i="1" s="1"/>
  <c r="S776" i="1"/>
  <c r="U776" i="1" s="1"/>
  <c r="S847" i="1"/>
  <c r="U847" i="1" s="1"/>
  <c r="S416" i="1"/>
  <c r="U416" i="1" s="1"/>
  <c r="S988" i="1"/>
  <c r="U988" i="1" s="1"/>
  <c r="S557" i="1"/>
  <c r="S126" i="1"/>
  <c r="U126" i="1" s="1"/>
  <c r="S795" i="1"/>
  <c r="U795" i="1" s="1"/>
  <c r="S364" i="1"/>
  <c r="U364" i="1" s="1"/>
  <c r="S274" i="1"/>
  <c r="U274" i="1" s="1"/>
  <c r="S219" i="1"/>
  <c r="U219" i="1" s="1"/>
  <c r="S92" i="1"/>
  <c r="U92" i="1" s="1"/>
  <c r="S137" i="1"/>
  <c r="U137" i="1" s="1"/>
  <c r="S681" i="1"/>
  <c r="U681" i="1" s="1"/>
  <c r="S572" i="1"/>
  <c r="U572" i="1" s="1"/>
  <c r="S303" i="1"/>
  <c r="U303" i="1" s="1"/>
  <c r="S261" i="1"/>
  <c r="U261" i="1" s="1"/>
  <c r="S624" i="1"/>
  <c r="S803" i="1"/>
  <c r="U803" i="1" s="1"/>
  <c r="S444" i="1"/>
  <c r="U444" i="1" s="1"/>
  <c r="S350" i="1"/>
  <c r="U350" i="1" s="1"/>
  <c r="S838" i="1"/>
  <c r="U838" i="1" s="1"/>
  <c r="S693" i="1"/>
  <c r="U693" i="1" s="1"/>
  <c r="S810" i="1"/>
  <c r="U810" i="1" s="1"/>
  <c r="S965" i="1"/>
  <c r="U965" i="1" s="1"/>
  <c r="S522" i="1"/>
  <c r="U522" i="1" s="1"/>
  <c r="S91" i="1"/>
  <c r="U91" i="1" s="1"/>
  <c r="S355" i="1"/>
  <c r="U355" i="1" s="1"/>
  <c r="S969" i="1"/>
  <c r="U969" i="1" s="1"/>
  <c r="S859" i="1"/>
  <c r="S82" i="1"/>
  <c r="U82" i="1" s="1"/>
  <c r="S166" i="1"/>
  <c r="U166" i="1" s="1"/>
  <c r="S694" i="1"/>
  <c r="U694" i="1" s="1"/>
  <c r="S207" i="1"/>
  <c r="U207" i="1" s="1"/>
  <c r="S325" i="1"/>
  <c r="U325" i="1" s="1"/>
  <c r="S752" i="1"/>
  <c r="U752" i="1" s="1"/>
  <c r="S835" i="1"/>
  <c r="U835" i="1" s="1"/>
  <c r="S404" i="1"/>
  <c r="U404" i="1" s="1"/>
  <c r="S976" i="1"/>
  <c r="U976" i="1" s="1"/>
  <c r="S545" i="1"/>
  <c r="U545" i="1" s="1"/>
  <c r="S114" i="1"/>
  <c r="U114" i="1" s="1"/>
  <c r="S783" i="1"/>
  <c r="S352" i="1"/>
  <c r="U352" i="1" s="1"/>
  <c r="S417" i="1"/>
  <c r="U417" i="1" s="1"/>
  <c r="S715" i="1"/>
  <c r="U715" i="1" s="1"/>
  <c r="S650" i="1"/>
  <c r="U650" i="1" s="1"/>
  <c r="S117" i="1"/>
  <c r="U117" i="1" s="1"/>
  <c r="S877" i="1"/>
  <c r="U877" i="1" s="1"/>
  <c r="S108" i="1"/>
  <c r="U108" i="1" s="1"/>
  <c r="S168" i="1"/>
  <c r="U168" i="1" s="1"/>
  <c r="S407" i="1"/>
  <c r="U407" i="1" s="1"/>
  <c r="S709" i="1"/>
  <c r="U709" i="1" s="1"/>
  <c r="S854" i="1"/>
  <c r="U854" i="1" s="1"/>
  <c r="S726" i="1"/>
  <c r="S881" i="1"/>
  <c r="U881" i="1" s="1"/>
  <c r="S438" i="1"/>
  <c r="U438" i="1" s="1"/>
  <c r="S59" i="1"/>
  <c r="U59" i="1" s="1"/>
  <c r="S56" i="1"/>
  <c r="U56" i="1" s="1"/>
  <c r="S543" i="1"/>
  <c r="U543" i="1" s="1"/>
  <c r="S802" i="1"/>
  <c r="U802" i="1" s="1"/>
  <c r="S231" i="1"/>
  <c r="U231" i="1" s="1"/>
  <c r="S938" i="1"/>
  <c r="U938" i="1" s="1"/>
  <c r="S541" i="1"/>
  <c r="U541" i="1" s="1"/>
  <c r="S445" i="1"/>
  <c r="U445" i="1" s="1"/>
  <c r="S600" i="1"/>
  <c r="U600" i="1" s="1"/>
  <c r="S480" i="1"/>
  <c r="S967" i="1"/>
  <c r="U967" i="1" s="1"/>
  <c r="S536" i="1"/>
  <c r="U536" i="1" s="1"/>
  <c r="S920" i="1"/>
  <c r="U920" i="1" s="1"/>
  <c r="S604" i="1"/>
  <c r="U604" i="1" s="1"/>
  <c r="S174" i="1"/>
  <c r="U174" i="1" s="1"/>
  <c r="S843" i="1"/>
  <c r="U843" i="1" s="1"/>
  <c r="S412" i="1"/>
  <c r="U412" i="1" s="1"/>
  <c r="S466" i="1"/>
  <c r="U466" i="1" s="1"/>
  <c r="S267" i="1"/>
  <c r="U267" i="1" s="1"/>
  <c r="S188" i="1"/>
  <c r="U188" i="1" s="1"/>
  <c r="S418" i="1"/>
  <c r="U418" i="1" s="1"/>
  <c r="S140" i="1"/>
  <c r="S142" i="1"/>
  <c r="U142" i="1" s="1"/>
  <c r="S167" i="1"/>
  <c r="U167" i="1" s="1"/>
  <c r="S637" i="1"/>
  <c r="U637" i="1" s="1"/>
  <c r="S60" i="1"/>
  <c r="U60" i="1" s="1"/>
  <c r="S910" i="1"/>
  <c r="U910" i="1" s="1"/>
  <c r="S862" i="1"/>
  <c r="U862" i="1" s="1"/>
  <c r="S420" i="1"/>
  <c r="U420" i="1" s="1"/>
  <c r="S944" i="1"/>
  <c r="U944" i="1" s="1"/>
  <c r="S642" i="1"/>
  <c r="U642" i="1" s="1"/>
  <c r="S797" i="1"/>
  <c r="U797" i="1" s="1"/>
  <c r="S354" i="1"/>
  <c r="U354" i="1" s="1"/>
  <c r="S358" i="1"/>
  <c r="S184" i="1"/>
  <c r="U184" i="1" s="1"/>
  <c r="S722" i="1"/>
  <c r="U722" i="1" s="1"/>
  <c r="S17" i="1"/>
  <c r="U17" i="1" s="1"/>
  <c r="S141" i="1"/>
  <c r="U141" i="1" s="1"/>
  <c r="S277" i="1"/>
  <c r="U277" i="1" s="1"/>
  <c r="S373" i="1"/>
  <c r="U373" i="1" s="1"/>
  <c r="S409" i="1"/>
  <c r="U409" i="1" s="1"/>
  <c r="S326" i="1"/>
  <c r="U326" i="1" s="1"/>
  <c r="S573" i="1"/>
  <c r="U573" i="1" s="1"/>
  <c r="S667" i="1"/>
  <c r="U667" i="1" s="1"/>
  <c r="S236" i="1"/>
  <c r="U236" i="1" s="1"/>
  <c r="S736" i="1"/>
  <c r="S305" i="1"/>
  <c r="U305" i="1" s="1"/>
  <c r="S975" i="1"/>
  <c r="U975" i="1" s="1"/>
  <c r="S544" i="1"/>
  <c r="U544" i="1" s="1"/>
  <c r="S626" i="1"/>
  <c r="U626" i="1" s="1"/>
  <c r="S812" i="1"/>
  <c r="U812" i="1" s="1"/>
  <c r="S81" i="1"/>
  <c r="U81" i="1" s="1"/>
  <c r="S85" i="1"/>
  <c r="U85" i="1" s="1"/>
  <c r="S899" i="1"/>
  <c r="U899" i="1" s="1"/>
  <c r="S183" i="1"/>
  <c r="U183" i="1" s="1"/>
  <c r="S948" i="1"/>
  <c r="U948" i="1" s="1"/>
  <c r="S493" i="1"/>
  <c r="U493" i="1" s="1"/>
  <c r="S758" i="1"/>
  <c r="S702" i="1"/>
  <c r="U702" i="1" s="1"/>
  <c r="S857" i="1"/>
  <c r="U857" i="1" s="1"/>
  <c r="S414" i="1"/>
  <c r="U414" i="1" s="1"/>
  <c r="S394" i="1"/>
  <c r="U394" i="1" s="1"/>
  <c r="S388" i="1"/>
  <c r="U388" i="1" s="1"/>
  <c r="S28" i="1"/>
  <c r="U28" i="1" s="1"/>
  <c r="S489" i="1"/>
  <c r="U489" i="1" s="1"/>
  <c r="S554" i="1"/>
  <c r="U554" i="1" s="1"/>
  <c r="S530" i="1"/>
  <c r="U530" i="1" s="1"/>
  <c r="S86" i="1"/>
  <c r="U86" i="1" s="1"/>
  <c r="S518" i="1"/>
  <c r="U518" i="1" s="1"/>
  <c r="S335" i="1"/>
  <c r="S668" i="1"/>
  <c r="U668" i="1" s="1"/>
  <c r="S583" i="1"/>
  <c r="U583" i="1" s="1"/>
  <c r="S734" i="1"/>
  <c r="U734" i="1" s="1"/>
  <c r="S724" i="1"/>
  <c r="U724" i="1" s="1"/>
  <c r="S293" i="1"/>
  <c r="U293" i="1" s="1"/>
  <c r="S963" i="1"/>
  <c r="U963" i="1" s="1"/>
  <c r="S532" i="1"/>
  <c r="U532" i="1" s="1"/>
  <c r="S459" i="1"/>
  <c r="U459" i="1" s="1"/>
  <c r="S971" i="1"/>
  <c r="U971" i="1" s="1"/>
  <c r="S951" i="1"/>
  <c r="U951" i="1" s="1"/>
  <c r="S648" i="1"/>
  <c r="U648" i="1" s="1"/>
  <c r="S732" i="1"/>
  <c r="S252" i="1"/>
  <c r="U252" i="1" s="1"/>
  <c r="S361" i="1"/>
  <c r="U361" i="1" s="1"/>
  <c r="S192" i="1"/>
  <c r="U192" i="1" s="1"/>
  <c r="S767" i="1"/>
  <c r="U767" i="1" s="1"/>
  <c r="S998" i="1"/>
  <c r="U998" i="1" s="1"/>
  <c r="S762" i="1"/>
  <c r="U762" i="1" s="1"/>
  <c r="S917" i="1"/>
  <c r="U917" i="1" s="1"/>
  <c r="S474" i="1"/>
  <c r="U474" i="1" s="1"/>
  <c r="S454" i="1"/>
  <c r="U454" i="1" s="1"/>
  <c r="B15" i="7" l="1"/>
  <c r="G22" i="9"/>
  <c r="G10" i="9"/>
  <c r="B12" i="9"/>
  <c r="B13" i="9" s="1"/>
  <c r="B8" i="9"/>
  <c r="U2" i="1"/>
  <c r="P1001" i="1"/>
  <c r="P679" i="1"/>
  <c r="P119" i="1"/>
  <c r="P40" i="1"/>
  <c r="P583" i="1"/>
  <c r="P96" i="1"/>
  <c r="P744" i="1"/>
  <c r="P291" i="1"/>
  <c r="P413" i="1"/>
  <c r="P266" i="1"/>
  <c r="P975" i="1"/>
  <c r="P512" i="1"/>
  <c r="P103" i="1"/>
  <c r="P912" i="1"/>
  <c r="P167" i="1"/>
  <c r="P227" i="1"/>
  <c r="P903" i="1"/>
  <c r="P660" i="1"/>
  <c r="P800" i="1"/>
  <c r="P255" i="1"/>
  <c r="P438" i="1"/>
  <c r="P350" i="1"/>
  <c r="P10" i="1"/>
  <c r="P913" i="1"/>
  <c r="P145" i="1"/>
  <c r="P599" i="1"/>
  <c r="P166" i="1"/>
  <c r="P366" i="1"/>
  <c r="P435" i="1"/>
  <c r="P336" i="1"/>
  <c r="P197" i="1"/>
  <c r="P299" i="1"/>
  <c r="P795" i="1"/>
  <c r="P183" i="1"/>
  <c r="P9" i="1"/>
  <c r="P641" i="1"/>
  <c r="P549" i="1"/>
  <c r="P259" i="1"/>
  <c r="P13" i="1"/>
  <c r="P539" i="1"/>
  <c r="P972" i="1"/>
  <c r="P723" i="1"/>
  <c r="P524" i="1"/>
  <c r="P442" i="1"/>
  <c r="P708" i="1"/>
  <c r="P704" i="1"/>
  <c r="P821" i="1"/>
  <c r="P365" i="1"/>
  <c r="P180" i="1"/>
  <c r="P866" i="1"/>
  <c r="P479" i="1"/>
  <c r="P955" i="1"/>
  <c r="P196" i="1"/>
  <c r="P388" i="1"/>
  <c r="P856" i="1"/>
  <c r="P27" i="1"/>
  <c r="P581" i="1"/>
  <c r="P855" i="1"/>
  <c r="P868" i="1"/>
  <c r="P809" i="1"/>
  <c r="P407" i="1"/>
  <c r="P491" i="1"/>
  <c r="P218" i="1"/>
  <c r="P973" i="1"/>
  <c r="P636" i="1"/>
  <c r="P415" i="1"/>
  <c r="P768" i="1"/>
  <c r="P792" i="1"/>
  <c r="P185" i="1"/>
  <c r="P262" i="1"/>
  <c r="P765" i="1"/>
  <c r="P685" i="1"/>
  <c r="P993" i="1"/>
  <c r="P107" i="1"/>
  <c r="P881" i="1"/>
  <c r="P51" i="1"/>
  <c r="P579" i="1"/>
  <c r="P89" i="1"/>
  <c r="U335" i="1"/>
  <c r="P335" i="1"/>
  <c r="U624" i="1"/>
  <c r="P624" i="1"/>
  <c r="U537" i="1"/>
  <c r="P537" i="1"/>
  <c r="U146" i="1"/>
  <c r="P146" i="1"/>
  <c r="U329" i="1"/>
  <c r="P329" i="1"/>
  <c r="U356" i="1"/>
  <c r="P356" i="1"/>
  <c r="U264" i="1"/>
  <c r="P264" i="1"/>
  <c r="U726" i="1"/>
  <c r="P726" i="1"/>
  <c r="U983" i="1"/>
  <c r="P983" i="1"/>
  <c r="U625" i="1"/>
  <c r="P625" i="1"/>
  <c r="U483" i="1"/>
  <c r="P483" i="1"/>
  <c r="U358" i="1"/>
  <c r="P358" i="1"/>
  <c r="U784" i="1"/>
  <c r="P784" i="1"/>
  <c r="U215" i="1"/>
  <c r="P215" i="1"/>
  <c r="U379" i="1"/>
  <c r="P379" i="1"/>
  <c r="U149" i="1"/>
  <c r="P149" i="1"/>
  <c r="U497" i="1"/>
  <c r="P497" i="1"/>
  <c r="U654" i="1"/>
  <c r="P654" i="1"/>
  <c r="U480" i="1"/>
  <c r="P480" i="1"/>
  <c r="U506" i="1"/>
  <c r="P506" i="1"/>
  <c r="U632" i="1"/>
  <c r="P632" i="1"/>
  <c r="U845" i="1"/>
  <c r="P845" i="1"/>
  <c r="P203" i="1"/>
  <c r="U140" i="1"/>
  <c r="P140" i="1"/>
  <c r="U791" i="1"/>
  <c r="P791" i="1"/>
  <c r="U763" i="1"/>
  <c r="P763" i="1"/>
  <c r="U249" i="1"/>
  <c r="P249" i="1"/>
  <c r="U758" i="1"/>
  <c r="P758" i="1"/>
  <c r="U178" i="1"/>
  <c r="P178" i="1"/>
  <c r="U348" i="1"/>
  <c r="P348" i="1"/>
  <c r="U595" i="1"/>
  <c r="P595" i="1"/>
  <c r="U736" i="1"/>
  <c r="P736" i="1"/>
  <c r="U120" i="1"/>
  <c r="P120" i="1"/>
  <c r="U349" i="1"/>
  <c r="P349" i="1"/>
  <c r="U874" i="1"/>
  <c r="P874" i="1"/>
  <c r="U732" i="1"/>
  <c r="P732" i="1"/>
  <c r="U557" i="1"/>
  <c r="P557" i="1"/>
  <c r="U186" i="1"/>
  <c r="P186" i="1"/>
  <c r="U509" i="1"/>
  <c r="P509" i="1"/>
  <c r="U253" i="1"/>
  <c r="P253" i="1"/>
  <c r="U553" i="1"/>
  <c r="P553" i="1"/>
  <c r="U521" i="1"/>
  <c r="P521" i="1"/>
  <c r="U980" i="1"/>
  <c r="P980" i="1"/>
  <c r="U818" i="1"/>
  <c r="P818" i="1"/>
  <c r="U619" i="1"/>
  <c r="P619" i="1"/>
  <c r="U341" i="1"/>
  <c r="P341" i="1"/>
  <c r="U35" i="1"/>
  <c r="P35" i="1"/>
  <c r="U706" i="1"/>
  <c r="P706" i="1"/>
  <c r="U8" i="1"/>
  <c r="P8" i="1"/>
  <c r="U41" i="1"/>
  <c r="P41" i="1"/>
  <c r="U353" i="1"/>
  <c r="P353" i="1"/>
  <c r="U24" i="1"/>
  <c r="P24" i="1"/>
  <c r="U248" i="1"/>
  <c r="P248" i="1"/>
  <c r="U593" i="1"/>
  <c r="P593" i="1"/>
  <c r="U68" i="1"/>
  <c r="P68" i="1"/>
  <c r="U22" i="1"/>
  <c r="P22" i="1"/>
  <c r="U468" i="1"/>
  <c r="P468" i="1"/>
  <c r="U269" i="1"/>
  <c r="P269" i="1"/>
  <c r="U534" i="1"/>
  <c r="P534" i="1"/>
  <c r="U181" i="1"/>
  <c r="P181" i="1"/>
  <c r="U652" i="1"/>
  <c r="P652" i="1"/>
  <c r="U102" i="1"/>
  <c r="P102" i="1"/>
  <c r="U824" i="1"/>
  <c r="P824" i="1"/>
  <c r="U25" i="1"/>
  <c r="P25" i="1"/>
  <c r="U865" i="1"/>
  <c r="P865" i="1"/>
  <c r="U258" i="1"/>
  <c r="P258" i="1"/>
  <c r="U499" i="1"/>
  <c r="P499" i="1"/>
  <c r="U773" i="1"/>
  <c r="P773" i="1"/>
  <c r="U316" i="1"/>
  <c r="P316" i="1"/>
  <c r="U95" i="1"/>
  <c r="P95" i="1"/>
  <c r="U237" i="1"/>
  <c r="P237" i="1"/>
  <c r="U851" i="1"/>
  <c r="P851" i="1"/>
  <c r="U639" i="1"/>
  <c r="P639" i="1"/>
  <c r="U943" i="1"/>
  <c r="P943" i="1"/>
  <c r="U783" i="1"/>
  <c r="P783" i="1"/>
  <c r="U61" i="1"/>
  <c r="P61" i="1"/>
  <c r="U245" i="1"/>
  <c r="P245" i="1"/>
  <c r="U859" i="1"/>
  <c r="P859" i="1"/>
  <c r="U950" i="1"/>
  <c r="P950" i="1"/>
  <c r="U190" i="1"/>
  <c r="P190" i="1"/>
  <c r="P532" i="1"/>
  <c r="P290" i="1"/>
  <c r="P869" i="1"/>
  <c r="P362" i="1"/>
  <c r="P616" i="1"/>
  <c r="P376" i="1"/>
  <c r="P310" i="1"/>
  <c r="P996" i="1"/>
  <c r="P74" i="1"/>
  <c r="P70" i="1"/>
  <c r="P453" i="1"/>
  <c r="P589" i="1"/>
  <c r="P820" i="1"/>
  <c r="P749" i="1"/>
  <c r="P456" i="1"/>
  <c r="P727" i="1"/>
  <c r="P941" i="1"/>
  <c r="P169" i="1"/>
  <c r="P244" i="1"/>
  <c r="P406" i="1"/>
  <c r="P568" i="1"/>
  <c r="P270" i="1"/>
  <c r="P214" i="1"/>
  <c r="P289" i="1"/>
  <c r="P340" i="1"/>
  <c r="P893" i="1"/>
  <c r="P132" i="1"/>
  <c r="P493" i="1"/>
  <c r="P117" i="1"/>
  <c r="P873" i="1"/>
  <c r="P668" i="1"/>
  <c r="P108" i="1"/>
  <c r="P947" i="1"/>
  <c r="P844" i="1"/>
  <c r="P54" i="1"/>
  <c r="P949" i="1"/>
  <c r="P219" i="1"/>
  <c r="P573" i="1"/>
  <c r="P230" i="1"/>
  <c r="P224" i="1"/>
  <c r="P615" i="1"/>
  <c r="P87" i="1"/>
  <c r="P79" i="1"/>
  <c r="P12" i="1"/>
  <c r="P517" i="1"/>
  <c r="P73" i="1"/>
  <c r="P664" i="1"/>
  <c r="P500" i="1"/>
  <c r="P281" i="1"/>
  <c r="P485" i="1"/>
  <c r="P21" i="1"/>
  <c r="P374" i="1"/>
  <c r="P935" i="1"/>
  <c r="P411" i="1"/>
  <c r="P118" i="1"/>
  <c r="P984" i="1"/>
  <c r="P970" i="1"/>
  <c r="P789" i="1"/>
  <c r="P222" i="1"/>
  <c r="P556" i="1"/>
  <c r="P465" i="1"/>
  <c r="P966" i="1"/>
  <c r="P617" i="1"/>
  <c r="P884" i="1"/>
  <c r="P320" i="1"/>
  <c r="P778" i="1"/>
  <c r="P457" i="1"/>
  <c r="P138" i="1"/>
  <c r="P705" i="1"/>
  <c r="P956" i="1"/>
  <c r="P300" i="1"/>
  <c r="P806" i="1"/>
  <c r="P817" i="1"/>
  <c r="P476" i="1"/>
  <c r="P64" i="1"/>
  <c r="P905" i="1"/>
  <c r="P285" i="1"/>
  <c r="P677" i="1"/>
  <c r="P985" i="1"/>
  <c r="P333" i="1"/>
  <c r="P680" i="1"/>
  <c r="P403" i="1"/>
  <c r="P211" i="1"/>
  <c r="P254" i="1"/>
  <c r="P39" i="1"/>
  <c r="P57" i="1"/>
  <c r="P940" i="1"/>
  <c r="P751" i="1"/>
  <c r="P4" i="1"/>
  <c r="P395" i="1"/>
  <c r="P876" i="1"/>
  <c r="P710" i="1"/>
  <c r="P173" i="1"/>
  <c r="P383" i="1"/>
  <c r="P98" i="1"/>
  <c r="P902" i="1"/>
  <c r="P86" i="1"/>
  <c r="P667" i="1"/>
  <c r="P188" i="1"/>
  <c r="P709" i="1"/>
  <c r="P355" i="1"/>
  <c r="P416" i="1"/>
  <c r="P198" i="1"/>
  <c r="P812" i="1"/>
  <c r="P976" i="1"/>
  <c r="P540" i="1"/>
  <c r="P489" i="1"/>
  <c r="P114" i="1"/>
  <c r="P527" i="1"/>
  <c r="P202" i="1"/>
  <c r="P916" i="1"/>
  <c r="P998" i="1"/>
  <c r="P157" i="1"/>
  <c r="P642" i="1"/>
  <c r="P436" i="1"/>
  <c r="P525" i="1"/>
  <c r="P377" i="1"/>
  <c r="P602" i="1"/>
  <c r="P953" i="1"/>
  <c r="P154" i="1"/>
  <c r="P577" i="1"/>
  <c r="P446" i="1"/>
  <c r="P44" i="1"/>
  <c r="P492" i="1"/>
  <c r="P280" i="1"/>
  <c r="P344" i="1"/>
  <c r="P513" i="1"/>
  <c r="P909" i="1"/>
  <c r="P392" i="1"/>
  <c r="P307" i="1"/>
  <c r="P287" i="1"/>
  <c r="P477" i="1"/>
  <c r="P187" i="1"/>
  <c r="P296" i="1"/>
  <c r="P997" i="1"/>
  <c r="P234" i="1"/>
  <c r="P618" i="1"/>
  <c r="P393" i="1"/>
  <c r="P223" i="1"/>
  <c r="P228" i="1"/>
  <c r="P699" i="1"/>
  <c r="P97" i="1"/>
  <c r="P130" i="1"/>
  <c r="P449" i="1"/>
  <c r="P759" i="1"/>
  <c r="P111" i="1"/>
  <c r="P160" i="1"/>
  <c r="P292" i="1"/>
  <c r="P835" i="1"/>
  <c r="P896" i="1"/>
  <c r="P960" i="1"/>
  <c r="P133" i="1"/>
  <c r="P441" i="1"/>
  <c r="P880" i="1"/>
  <c r="P243" i="1"/>
  <c r="P954" i="1"/>
  <c r="P297" i="1"/>
  <c r="P90" i="1"/>
  <c r="P670" i="1"/>
  <c r="P934" i="1"/>
  <c r="P743" i="1"/>
  <c r="P816" i="1"/>
  <c r="P23" i="1"/>
  <c r="P729" i="1"/>
  <c r="P562" i="1"/>
  <c r="P385" i="1"/>
  <c r="P772" i="1"/>
  <c r="P836" i="1"/>
  <c r="P547" i="1"/>
  <c r="P588" i="1"/>
  <c r="P342" i="1"/>
  <c r="P16" i="1"/>
  <c r="P964" i="1"/>
  <c r="P712" i="1"/>
  <c r="P474" i="1"/>
  <c r="P554" i="1"/>
  <c r="P326" i="1"/>
  <c r="P466" i="1"/>
  <c r="P168" i="1"/>
  <c r="P522" i="1"/>
  <c r="P776" i="1"/>
  <c r="P462" i="1"/>
  <c r="P131" i="1"/>
  <c r="P236" i="1"/>
  <c r="P969" i="1"/>
  <c r="P832" i="1"/>
  <c r="P702" i="1"/>
  <c r="P325" i="1"/>
  <c r="P614" i="1"/>
  <c r="P523" i="1"/>
  <c r="P775" i="1"/>
  <c r="P734" i="1"/>
  <c r="P235" i="1"/>
  <c r="P418" i="1"/>
  <c r="P750" i="1"/>
  <c r="P240" i="1"/>
  <c r="P308" i="1"/>
  <c r="P328" i="1"/>
  <c r="P645" i="1"/>
  <c r="P136" i="1"/>
  <c r="P402" i="1"/>
  <c r="P177" i="1"/>
  <c r="P419" i="1"/>
  <c r="P478" i="1"/>
  <c r="P241" i="1"/>
  <c r="P450" i="1"/>
  <c r="P584" i="1"/>
  <c r="P813" i="1"/>
  <c r="P26" i="1"/>
  <c r="P294" i="1"/>
  <c r="P889" i="1"/>
  <c r="P448" i="1"/>
  <c r="P575" i="1"/>
  <c r="P735" i="1"/>
  <c r="P529" i="1"/>
  <c r="P831" i="1"/>
  <c r="P80" i="1"/>
  <c r="P819" i="1"/>
  <c r="P569" i="1"/>
  <c r="P815" i="1"/>
  <c r="P134" i="1"/>
  <c r="P19" i="1"/>
  <c r="P933" i="1"/>
  <c r="P306" i="1"/>
  <c r="P671" i="1"/>
  <c r="P113" i="1"/>
  <c r="P825" i="1"/>
  <c r="P796" i="1"/>
  <c r="P112" i="1"/>
  <c r="P371" i="1"/>
  <c r="P200" i="1"/>
  <c r="P360" i="1"/>
  <c r="P5" i="1"/>
  <c r="P48" i="1"/>
  <c r="P658" i="1"/>
  <c r="P978" i="1"/>
  <c r="P883" i="1"/>
  <c r="P164" i="1"/>
  <c r="P423" i="1"/>
  <c r="P381" i="1"/>
  <c r="P213" i="1"/>
  <c r="P531" i="1"/>
  <c r="P921" i="1"/>
  <c r="P700" i="1"/>
  <c r="P370" i="1"/>
  <c r="P945" i="1"/>
  <c r="P611" i="1"/>
  <c r="P805" i="1"/>
  <c r="P400" i="1"/>
  <c r="P875" i="1"/>
  <c r="P630" i="1"/>
  <c r="P585" i="1"/>
  <c r="P895" i="1"/>
  <c r="P209" i="1"/>
  <c r="P762" i="1"/>
  <c r="P28" i="1"/>
  <c r="P373" i="1"/>
  <c r="P843" i="1"/>
  <c r="P877" i="1"/>
  <c r="P810" i="1"/>
  <c r="P469" i="1"/>
  <c r="P550" i="1"/>
  <c r="P122" i="1"/>
  <c r="P409" i="1"/>
  <c r="P965" i="1"/>
  <c r="P31" i="1"/>
  <c r="P85" i="1"/>
  <c r="P91" i="1"/>
  <c r="P76" i="1"/>
  <c r="P601" i="1"/>
  <c r="P481" i="1"/>
  <c r="P414" i="1"/>
  <c r="P731" i="1"/>
  <c r="P600" i="1"/>
  <c r="P115" i="1"/>
  <c r="P206" i="1"/>
  <c r="P861" i="1"/>
  <c r="P339" i="1"/>
  <c r="P205" i="1"/>
  <c r="P163" i="1"/>
  <c r="P690" i="1"/>
  <c r="P271" i="1"/>
  <c r="P721" i="1"/>
  <c r="P771" i="1"/>
  <c r="P229" i="1"/>
  <c r="P738" i="1"/>
  <c r="P347" i="1"/>
  <c r="P571" i="1"/>
  <c r="P872" i="1"/>
  <c r="P979" i="1"/>
  <c r="P389" i="1"/>
  <c r="P116" i="1"/>
  <c r="P380" i="1"/>
  <c r="P653" i="1"/>
  <c r="P991" i="1"/>
  <c r="P561" i="1"/>
  <c r="P692" i="1"/>
  <c r="P63" i="1"/>
  <c r="P696" i="1"/>
  <c r="P398" i="1"/>
  <c r="P498" i="1"/>
  <c r="P36" i="1"/>
  <c r="P428" i="1"/>
  <c r="P655" i="1"/>
  <c r="P992" i="1"/>
  <c r="P510" i="1"/>
  <c r="P552" i="1"/>
  <c r="P867" i="1"/>
  <c r="P827" i="1"/>
  <c r="P649" i="1"/>
  <c r="P870" i="1"/>
  <c r="P66" i="1"/>
  <c r="P275" i="1"/>
  <c r="P924" i="1"/>
  <c r="P665" i="1"/>
  <c r="P150" i="1"/>
  <c r="P30" i="1"/>
  <c r="P127" i="1"/>
  <c r="P748" i="1"/>
  <c r="P204" i="1"/>
  <c r="P790" i="1"/>
  <c r="P942" i="1"/>
  <c r="P384" i="1"/>
  <c r="P295" i="1"/>
  <c r="P946" i="1"/>
  <c r="P914" i="1"/>
  <c r="P282" i="1"/>
  <c r="P482" i="1"/>
  <c r="P42" i="1"/>
  <c r="P767" i="1"/>
  <c r="P394" i="1"/>
  <c r="P141" i="1"/>
  <c r="P604" i="1"/>
  <c r="P650" i="1"/>
  <c r="P838" i="1"/>
  <c r="P345" i="1"/>
  <c r="P596" i="1"/>
  <c r="P246" i="1"/>
  <c r="P184" i="1"/>
  <c r="P261" i="1"/>
  <c r="P515" i="1"/>
  <c r="P305" i="1"/>
  <c r="P803" i="1"/>
  <c r="P703" i="1"/>
  <c r="P719" i="1"/>
  <c r="P544" i="1"/>
  <c r="P84" i="1"/>
  <c r="P854" i="1"/>
  <c r="P989" i="1"/>
  <c r="P908" i="1"/>
  <c r="P886" i="1"/>
  <c r="P484" i="1"/>
  <c r="P431" i="1"/>
  <c r="P439" i="1"/>
  <c r="P182" i="1"/>
  <c r="P849" i="1"/>
  <c r="P890" i="1"/>
  <c r="P533" i="1"/>
  <c r="P961" i="1"/>
  <c r="P338" i="1"/>
  <c r="P106" i="1"/>
  <c r="P786" i="1"/>
  <c r="P900" i="1"/>
  <c r="P251" i="1"/>
  <c r="P974" i="1"/>
  <c r="P11" i="1"/>
  <c r="P324" i="1"/>
  <c r="P555" i="1"/>
  <c r="P787" i="1"/>
  <c r="P592" i="1"/>
  <c r="P176" i="1"/>
  <c r="P687" i="1"/>
  <c r="P769" i="1"/>
  <c r="P260" i="1"/>
  <c r="P551" i="1"/>
  <c r="P682" i="1"/>
  <c r="P375" i="1"/>
  <c r="P519" i="1"/>
  <c r="P2" i="1"/>
  <c r="P314" i="1"/>
  <c r="P808" i="1"/>
  <c r="P172" i="1"/>
  <c r="P798" i="1"/>
  <c r="P422" i="1"/>
  <c r="P628" i="1"/>
  <c r="P578" i="1"/>
  <c r="P67" i="1"/>
  <c r="P372" i="1"/>
  <c r="P208" i="1"/>
  <c r="P359" i="1"/>
  <c r="P620" i="1"/>
  <c r="P871" i="1"/>
  <c r="P823" i="1"/>
  <c r="P837" i="1"/>
  <c r="P312" i="1"/>
  <c r="P129" i="1"/>
  <c r="P256" i="1"/>
  <c r="P542" i="1"/>
  <c r="P175" i="1"/>
  <c r="P265" i="1"/>
  <c r="P487" i="1"/>
  <c r="P622" i="1"/>
  <c r="P570" i="1"/>
  <c r="P467" i="1"/>
  <c r="P904" i="1"/>
  <c r="P361" i="1"/>
  <c r="P857" i="1"/>
  <c r="P722" i="1"/>
  <c r="P536" i="1"/>
  <c r="P417" i="1"/>
  <c r="P444" i="1"/>
  <c r="P304" i="1"/>
  <c r="P574" i="1"/>
  <c r="P454" i="1"/>
  <c r="P420" i="1"/>
  <c r="P364" i="1"/>
  <c r="P1000" i="1"/>
  <c r="P277" i="1"/>
  <c r="P137" i="1"/>
  <c r="P640" i="1"/>
  <c r="P276" i="1"/>
  <c r="P34" i="1"/>
  <c r="P17" i="1"/>
  <c r="P962" i="1"/>
  <c r="P352" i="1"/>
  <c r="P501" i="1"/>
  <c r="P283" i="1"/>
  <c r="P147" i="1"/>
  <c r="P357" i="1"/>
  <c r="P981" i="1"/>
  <c r="P99" i="1"/>
  <c r="P785" i="1"/>
  <c r="P14" i="1"/>
  <c r="P464" i="1"/>
  <c r="P770" i="1"/>
  <c r="P659" i="1"/>
  <c r="P232" i="1"/>
  <c r="P58" i="1"/>
  <c r="P926" i="1"/>
  <c r="P65" i="1"/>
  <c r="P576" i="1"/>
  <c r="P754" i="1"/>
  <c r="P317" i="1"/>
  <c r="P257" i="1"/>
  <c r="P931" i="1"/>
  <c r="P922" i="1"/>
  <c r="P930" i="1"/>
  <c r="P135" i="1"/>
  <c r="P586" i="1"/>
  <c r="P410" i="1"/>
  <c r="P378" i="1"/>
  <c r="P105" i="1"/>
  <c r="P369" i="1"/>
  <c r="P621" i="1"/>
  <c r="P38" i="1"/>
  <c r="P311" i="1"/>
  <c r="P32" i="1"/>
  <c r="P739" i="1"/>
  <c r="P633" i="1"/>
  <c r="P201" i="1"/>
  <c r="P488" i="1"/>
  <c r="P629" i="1"/>
  <c r="P597" i="1"/>
  <c r="P432" i="1"/>
  <c r="P77" i="1"/>
  <c r="P78" i="1"/>
  <c r="P139" i="1"/>
  <c r="P720" i="1"/>
  <c r="P631" i="1"/>
  <c r="P850" i="1"/>
  <c r="P959" i="1"/>
  <c r="P828" i="1"/>
  <c r="P657" i="1"/>
  <c r="P697" i="1"/>
  <c r="P952" i="1"/>
  <c r="P447" i="1"/>
  <c r="P741" i="1"/>
  <c r="P124" i="1"/>
  <c r="P460" i="1"/>
  <c r="P494" i="1"/>
  <c r="P958" i="1"/>
  <c r="P391" i="1"/>
  <c r="P226" i="1"/>
  <c r="P917" i="1"/>
  <c r="P142" i="1"/>
  <c r="P847" i="1"/>
  <c r="P220" i="1"/>
  <c r="P354" i="1"/>
  <c r="P126" i="1"/>
  <c r="P334" i="1"/>
  <c r="P503" i="1"/>
  <c r="P928" i="1"/>
  <c r="P637" i="1"/>
  <c r="P170" i="1"/>
  <c r="P82" i="1"/>
  <c r="P756" i="1"/>
  <c r="P486" i="1"/>
  <c r="P663" i="1"/>
  <c r="P830" i="1"/>
  <c r="P263" i="1"/>
  <c r="P841" i="1"/>
  <c r="P936" i="1"/>
  <c r="P848" i="1"/>
  <c r="P897" i="1"/>
  <c r="P932" i="1"/>
  <c r="P711" i="1"/>
  <c r="P159" i="1"/>
  <c r="P661" i="1"/>
  <c r="P840" i="1"/>
  <c r="P165" i="1"/>
  <c r="P651" i="1"/>
  <c r="P242" i="1"/>
  <c r="P49" i="1"/>
  <c r="P427" i="1"/>
  <c r="P511" i="1"/>
  <c r="P396" i="1"/>
  <c r="P461" i="1"/>
  <c r="P612" i="1"/>
  <c r="P425" i="1"/>
  <c r="P429" i="1"/>
  <c r="P272" i="1"/>
  <c r="P822" i="1"/>
  <c r="P507" i="1"/>
  <c r="P151" i="1"/>
  <c r="P239" i="1"/>
  <c r="P319" i="1"/>
  <c r="P546" i="1"/>
  <c r="P33" i="1"/>
  <c r="P53" i="1"/>
  <c r="P587" i="1"/>
  <c r="P605" i="1"/>
  <c r="P286" i="1"/>
  <c r="P683" i="1"/>
  <c r="P707" i="1"/>
  <c r="P939" i="1"/>
  <c r="P799" i="1"/>
  <c r="P885" i="1"/>
  <c r="P279" i="1"/>
  <c r="P781" i="1"/>
  <c r="P29" i="1"/>
  <c r="P887" i="1"/>
  <c r="P273" i="1"/>
  <c r="P730" i="1"/>
  <c r="P977" i="1"/>
  <c r="P634" i="1"/>
  <c r="P999" i="1"/>
  <c r="P564" i="1"/>
  <c r="P892" i="1"/>
  <c r="P386" i="1"/>
  <c r="P221" i="1"/>
  <c r="P322" i="1"/>
  <c r="P121" i="1"/>
  <c r="P327" i="1"/>
  <c r="P288" i="1"/>
  <c r="P951" i="1"/>
  <c r="P948" i="1"/>
  <c r="P797" i="1"/>
  <c r="P445" i="1"/>
  <c r="P545" i="1"/>
  <c r="P303" i="1"/>
  <c r="P155" i="1"/>
  <c r="P83" i="1"/>
  <c r="P648" i="1"/>
  <c r="P412" i="1"/>
  <c r="P674" i="1"/>
  <c r="P75" i="1"/>
  <c r="P910" i="1"/>
  <c r="P742" i="1"/>
  <c r="P94" i="1"/>
  <c r="P71" i="1"/>
  <c r="P321" i="1"/>
  <c r="P174" i="1"/>
  <c r="P3" i="1"/>
  <c r="P693" i="1"/>
  <c r="P684" i="1"/>
  <c r="P774" i="1"/>
  <c r="P399" i="1"/>
  <c r="P788" i="1"/>
  <c r="P424" i="1"/>
  <c r="P161" i="1"/>
  <c r="P37" i="1"/>
  <c r="P725" i="1"/>
  <c r="P193" i="1"/>
  <c r="P473" i="1"/>
  <c r="P247" i="1"/>
  <c r="P298" i="1"/>
  <c r="P363" i="1"/>
  <c r="P330" i="1"/>
  <c r="P829" i="1"/>
  <c r="P144" i="1"/>
  <c r="P878" i="1"/>
  <c r="P852" i="1"/>
  <c r="P496" i="1"/>
  <c r="P455" i="1"/>
  <c r="P669" i="1"/>
  <c r="P608" i="1"/>
  <c r="P582" i="1"/>
  <c r="P777" i="1"/>
  <c r="P88" i="1"/>
  <c r="P894" i="1"/>
  <c r="P753" i="1"/>
  <c r="P535" i="1"/>
  <c r="P463" i="1"/>
  <c r="P755" i="1"/>
  <c r="P110" i="1"/>
  <c r="P69" i="1"/>
  <c r="P745" i="1"/>
  <c r="P834" i="1"/>
  <c r="P387" i="1"/>
  <c r="P863" i="1"/>
  <c r="P915" i="1"/>
  <c r="P123" i="1"/>
  <c r="P882" i="1"/>
  <c r="P302" i="1"/>
  <c r="P906" i="1"/>
  <c r="P20" i="1"/>
  <c r="P927" i="1"/>
  <c r="P559" i="1"/>
  <c r="P839" i="1"/>
  <c r="P504" i="1"/>
  <c r="P760" i="1"/>
  <c r="P210" i="1"/>
  <c r="P898" i="1"/>
  <c r="P643" i="1"/>
  <c r="P18" i="1"/>
  <c r="P986" i="1"/>
  <c r="P109" i="1"/>
  <c r="P100" i="1"/>
  <c r="P764" i="1"/>
  <c r="P475" i="1"/>
  <c r="P337" i="1"/>
  <c r="P526" i="1"/>
  <c r="P472" i="1"/>
  <c r="P62" i="1"/>
  <c r="P490" i="1"/>
  <c r="P528" i="1"/>
  <c r="P459" i="1"/>
  <c r="P899" i="1"/>
  <c r="P944" i="1"/>
  <c r="P938" i="1"/>
  <c r="P404" i="1"/>
  <c r="P681" i="1"/>
  <c r="P833" i="1"/>
  <c r="P691" i="1"/>
  <c r="P971" i="1"/>
  <c r="P967" i="1"/>
  <c r="P390" i="1"/>
  <c r="P158" i="1"/>
  <c r="P267" i="1"/>
  <c r="P678" i="1"/>
  <c r="P737" i="1"/>
  <c r="P686" i="1"/>
  <c r="P318" i="1"/>
  <c r="P543" i="1"/>
  <c r="P572" i="1"/>
  <c r="P191" i="1"/>
  <c r="P911" i="1"/>
  <c r="P426" i="1"/>
  <c r="P994" i="1"/>
  <c r="P143" i="1"/>
  <c r="P315" i="1"/>
  <c r="P647" i="1"/>
  <c r="P560" i="1"/>
  <c r="P72" i="1"/>
  <c r="P332" i="1"/>
  <c r="P343" i="1"/>
  <c r="P761" i="1"/>
  <c r="P194" i="1"/>
  <c r="P278" i="1"/>
  <c r="P558" i="1"/>
  <c r="P656" i="1"/>
  <c r="P495" i="1"/>
  <c r="P740" i="1"/>
  <c r="P351" i="1"/>
  <c r="P666" i="1"/>
  <c r="P858" i="1"/>
  <c r="P401" i="1"/>
  <c r="P563" i="1"/>
  <c r="P638" i="1"/>
  <c r="P814" i="1"/>
  <c r="P458" i="1"/>
  <c r="P368" i="1"/>
  <c r="P421" i="1"/>
  <c r="P590" i="1"/>
  <c r="P923" i="1"/>
  <c r="P284" i="1"/>
  <c r="P982" i="1"/>
  <c r="P55" i="1"/>
  <c r="P45" i="1"/>
  <c r="P676" i="1"/>
  <c r="P842" i="1"/>
  <c r="P443" i="1"/>
  <c r="P888" i="1"/>
  <c r="P125" i="1"/>
  <c r="P688" i="1"/>
  <c r="P505" i="1"/>
  <c r="P46" i="1"/>
  <c r="P794" i="1"/>
  <c r="P156" i="1"/>
  <c r="P864" i="1"/>
  <c r="P15" i="1"/>
  <c r="P101" i="1"/>
  <c r="P811" i="1"/>
  <c r="P548" i="1"/>
  <c r="P701" i="1"/>
  <c r="P716" i="1"/>
  <c r="P189" i="1"/>
  <c r="P804" i="1"/>
  <c r="P217" i="1"/>
  <c r="P268" i="1"/>
  <c r="P233" i="1"/>
  <c r="P47" i="1"/>
  <c r="P153" i="1"/>
  <c r="P963" i="1"/>
  <c r="P81" i="1"/>
  <c r="P862" i="1"/>
  <c r="P802" i="1"/>
  <c r="P752" i="1"/>
  <c r="P92" i="1"/>
  <c r="P662" i="1"/>
  <c r="P434" i="1"/>
  <c r="P293" i="1"/>
  <c r="P541" i="1"/>
  <c r="P238" i="1"/>
  <c r="P397" i="1"/>
  <c r="P920" i="1"/>
  <c r="P919" i="1"/>
  <c r="P879" i="1"/>
  <c r="P514" i="1"/>
  <c r="P606" i="1"/>
  <c r="P715" i="1"/>
  <c r="P252" i="1"/>
  <c r="P988" i="1"/>
  <c r="P216" i="1"/>
  <c r="P714" i="1"/>
  <c r="P470" i="1"/>
  <c r="P968" i="1"/>
  <c r="P171" i="1"/>
  <c r="P891" i="1"/>
  <c r="P746" i="1"/>
  <c r="P408" i="1"/>
  <c r="P695" i="1"/>
  <c r="P957" i="1"/>
  <c r="P367" i="1"/>
  <c r="P728" i="1"/>
  <c r="P346" i="1"/>
  <c r="P440" i="1"/>
  <c r="P675" i="1"/>
  <c r="P152" i="1"/>
  <c r="P594" i="1"/>
  <c r="P508" i="1"/>
  <c r="P195" i="1"/>
  <c r="P717" i="1"/>
  <c r="P225" i="1"/>
  <c r="P591" i="1"/>
  <c r="P627" i="1"/>
  <c r="P502" i="1"/>
  <c r="P580" i="1"/>
  <c r="P646" i="1"/>
  <c r="P779" i="1"/>
  <c r="P437" i="1"/>
  <c r="P598" i="1"/>
  <c r="P860" i="1"/>
  <c r="P7" i="1"/>
  <c r="P925" i="1"/>
  <c r="P718" i="1"/>
  <c r="P929" i="1"/>
  <c r="P801" i="1"/>
  <c r="P607" i="1"/>
  <c r="P128" i="1"/>
  <c r="P50" i="1"/>
  <c r="P807" i="1"/>
  <c r="P313" i="1"/>
  <c r="P987" i="1"/>
  <c r="P672" i="1"/>
  <c r="P179" i="1"/>
  <c r="P199" i="1"/>
  <c r="P52" i="1"/>
  <c r="P613" i="1"/>
  <c r="P451" i="1"/>
  <c r="P162" i="1"/>
  <c r="P6" i="1"/>
  <c r="P793" i="1"/>
  <c r="P937" i="1"/>
  <c r="P610" i="1"/>
  <c r="P995" i="1"/>
  <c r="P250" i="1"/>
  <c r="P644" i="1"/>
  <c r="P853" i="1"/>
  <c r="P733" i="1"/>
  <c r="P782" i="1"/>
  <c r="P471" i="1"/>
  <c r="P566" i="1"/>
  <c r="P212" i="1"/>
  <c r="P724" i="1"/>
  <c r="P626" i="1"/>
  <c r="P60" i="1"/>
  <c r="P56" i="1"/>
  <c r="P207" i="1"/>
  <c r="P274" i="1"/>
  <c r="P516" i="1"/>
  <c r="P538" i="1"/>
  <c r="P518" i="1"/>
  <c r="P59" i="1"/>
  <c r="P192" i="1"/>
  <c r="P231" i="1"/>
  <c r="P93" i="1"/>
  <c r="P148" i="1"/>
  <c r="P694" i="1"/>
  <c r="P530" i="1"/>
  <c r="P382" i="1"/>
  <c r="P603" i="1"/>
  <c r="P780" i="1"/>
  <c r="P565" i="1"/>
  <c r="P520" i="1"/>
  <c r="P907" i="1"/>
  <c r="P43" i="1"/>
  <c r="P901" i="1"/>
  <c r="P826" i="1"/>
  <c r="P331" i="1"/>
  <c r="P301" i="1"/>
  <c r="P623" i="1"/>
  <c r="P918" i="1"/>
  <c r="P990" i="1"/>
  <c r="P698" i="1"/>
  <c r="P433" i="1"/>
  <c r="P309" i="1"/>
  <c r="P757" i="1"/>
  <c r="P673" i="1"/>
  <c r="P104" i="1"/>
  <c r="P689" i="1"/>
  <c r="P567" i="1"/>
  <c r="P405" i="1"/>
  <c r="P747" i="1"/>
  <c r="P713" i="1"/>
  <c r="P846" i="1"/>
  <c r="P452" i="1"/>
  <c r="P766" i="1"/>
  <c r="P635" i="1"/>
  <c r="P323" i="1"/>
  <c r="P609" i="1"/>
  <c r="P430" i="1"/>
  <c r="B16" i="7" l="1"/>
  <c r="B9" i="7"/>
  <c r="F5" i="9"/>
  <c r="Q10" i="9"/>
  <c r="Q13" i="9"/>
  <c r="Q11" i="9"/>
  <c r="Q16" i="9"/>
  <c r="Q15" i="9"/>
  <c r="Q12" i="9"/>
  <c r="Q14" i="9"/>
  <c r="Q9" i="9"/>
  <c r="Q4" i="9"/>
  <c r="Q3" i="9"/>
  <c r="K10" i="9"/>
  <c r="K11" i="9"/>
  <c r="K9" i="9"/>
  <c r="K3" i="9"/>
  <c r="M3" i="9" s="1"/>
  <c r="F8" i="9"/>
  <c r="F16" i="9"/>
  <c r="F17" i="9"/>
  <c r="F15" i="9"/>
  <c r="F21" i="9"/>
  <c r="F19" i="9"/>
  <c r="F18" i="9"/>
  <c r="F3" i="9"/>
  <c r="F20" i="9"/>
  <c r="F14" i="9"/>
  <c r="F6" i="9"/>
  <c r="F7" i="9"/>
  <c r="F9" i="9"/>
  <c r="F4" i="9"/>
  <c r="B9" i="9"/>
  <c r="B3" i="9"/>
  <c r="B14" i="9" s="1"/>
  <c r="Q17" i="9" l="1"/>
  <c r="K12" i="9"/>
  <c r="Q5" i="9"/>
  <c r="F22" i="9"/>
  <c r="F1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Q1" authorId="0" shapeId="0" xr:uid="{FC27E7CF-9E4E-496C-A5F7-62D5C53F9BBD}">
      <text>
        <r>
          <rPr>
            <b/>
            <sz val="9"/>
            <color indexed="81"/>
            <rFont val="Tahoma"/>
            <family val="2"/>
          </rPr>
          <t>User:</t>
        </r>
        <r>
          <rPr>
            <sz val="9"/>
            <color indexed="81"/>
            <rFont val="Tahoma"/>
            <family val="2"/>
          </rPr>
          <t xml:space="preserve">
Expected Revenue represents the amount expected to be received from pending payments only. It does not include already received payments (Paid transactions).</t>
        </r>
      </text>
    </comment>
    <comment ref="W1" authorId="0" shapeId="0" xr:uid="{DF0F7641-9375-47D5-AEC1-D2B9CC0BA34B}">
      <text>
        <r>
          <rPr>
            <b/>
            <sz val="9"/>
            <color indexed="81"/>
            <rFont val="Tahoma"/>
            <family val="2"/>
          </rPr>
          <t>User:</t>
        </r>
        <r>
          <rPr>
            <sz val="9"/>
            <color indexed="81"/>
            <rFont val="Tahoma"/>
            <family val="2"/>
          </rPr>
          <t xml:space="preserve">
Net  Revenue includes only received payments from Paid transactions. Pending and refunded transactions are excluded.</t>
        </r>
      </text>
    </comment>
    <comment ref="Y1" authorId="0" shapeId="0" xr:uid="{3ABE785B-320F-4A92-BE5A-6C3E66666EC7}">
      <text>
        <r>
          <rPr>
            <b/>
            <sz val="9"/>
            <color indexed="81"/>
            <rFont val="Tahoma"/>
            <family val="2"/>
          </rPr>
          <t>User:</t>
        </r>
        <r>
          <rPr>
            <sz val="9"/>
            <color indexed="81"/>
            <rFont val="Tahoma"/>
            <family val="2"/>
          </rPr>
          <t xml:space="preserve">
Daily marketing expense: 10 GEL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<sst xmlns="http://schemas.openxmlformats.org/spreadsheetml/2006/main" count="1305" uniqueCount="165">
  <si>
    <t>Sales ID</t>
  </si>
  <si>
    <t>Date</t>
  </si>
  <si>
    <t>Course</t>
  </si>
  <si>
    <t>Category</t>
  </si>
  <si>
    <t>City</t>
  </si>
  <si>
    <t>Price</t>
  </si>
  <si>
    <t>Discount</t>
  </si>
  <si>
    <t>Course_ID</t>
  </si>
  <si>
    <t>Course_Name</t>
  </si>
  <si>
    <t>CRS001</t>
  </si>
  <si>
    <t>CRS002</t>
  </si>
  <si>
    <t>Power BI</t>
  </si>
  <si>
    <t>Data Analytics</t>
  </si>
  <si>
    <t>CRS003</t>
  </si>
  <si>
    <t>CRS004</t>
  </si>
  <si>
    <t>Tax Code</t>
  </si>
  <si>
    <t>Excel Basics</t>
  </si>
  <si>
    <t>Complete Excel Course</t>
  </si>
  <si>
    <t>CRS005</t>
  </si>
  <si>
    <t>SQL</t>
  </si>
  <si>
    <t>CRS006</t>
  </si>
  <si>
    <t>Microsoft Word</t>
  </si>
  <si>
    <t>CRS007</t>
  </si>
  <si>
    <t>CRS008</t>
  </si>
  <si>
    <t>Adolescent Psychology</t>
  </si>
  <si>
    <t>Finance &amp; Taxation</t>
  </si>
  <si>
    <t>Microsoft Office</t>
  </si>
  <si>
    <t>PowerPoint</t>
  </si>
  <si>
    <t>Psychology</t>
  </si>
  <si>
    <t>Holiday</t>
  </si>
  <si>
    <t>New Year</t>
  </si>
  <si>
    <t>Mother's Day</t>
  </si>
  <si>
    <t>Easter</t>
  </si>
  <si>
    <t>26/05/2026</t>
  </si>
  <si>
    <t>Independence Day</t>
  </si>
  <si>
    <t>Payment Method</t>
  </si>
  <si>
    <t>Fee</t>
  </si>
  <si>
    <t>Payment_Method</t>
  </si>
  <si>
    <t>Visa Debit</t>
  </si>
  <si>
    <t>Mastercard Debit</t>
  </si>
  <si>
    <t>Visa Credit</t>
  </si>
  <si>
    <t>Mastercard Credit</t>
  </si>
  <si>
    <t>Bank Transfer</t>
  </si>
  <si>
    <t>Payment Status</t>
  </si>
  <si>
    <t>Pending</t>
  </si>
  <si>
    <t>Refunded</t>
  </si>
  <si>
    <t>Expected Revenue</t>
  </si>
  <si>
    <t>Metric</t>
  </si>
  <si>
    <t>Value</t>
  </si>
  <si>
    <t>Total Sales</t>
  </si>
  <si>
    <t>Refund Amount</t>
  </si>
  <si>
    <t>Total Discounts</t>
  </si>
  <si>
    <t>Total Bank Fees</t>
  </si>
  <si>
    <t>Total Ads fees</t>
  </si>
  <si>
    <t>Tax fees</t>
  </si>
  <si>
    <t>Gender</t>
  </si>
  <si>
    <t>Order Date</t>
  </si>
  <si>
    <t>Customer Type</t>
  </si>
  <si>
    <t>Bank Commision Amount</t>
  </si>
  <si>
    <t>Income Tax amount</t>
  </si>
  <si>
    <t>Payment Date</t>
  </si>
  <si>
    <t>Customer ID</t>
  </si>
  <si>
    <t>Original Price</t>
  </si>
  <si>
    <t>Discount Amount</t>
  </si>
  <si>
    <t>Final Paid Amount</t>
  </si>
  <si>
    <t>Bank Commission %</t>
  </si>
  <si>
    <t>Income Tax %</t>
  </si>
  <si>
    <t>Net Revenue</t>
  </si>
  <si>
    <t>Marketing Channel</t>
  </si>
  <si>
    <t>Ad Spend</t>
  </si>
  <si>
    <t>Column Name</t>
  </si>
  <si>
    <t>Description</t>
  </si>
  <si>
    <t>Unique identifier for each sales transaction</t>
  </si>
  <si>
    <t>Date when the customer placed the order</t>
  </si>
  <si>
    <t>Date when the payment was completed</t>
  </si>
  <si>
    <t>Unique identifier for each customer</t>
  </si>
  <si>
    <t>Type of customer (New customer, Returning customer, etc.)</t>
  </si>
  <si>
    <t>Customer gender information</t>
  </si>
  <si>
    <t>Customer location</t>
  </si>
  <si>
    <t>Name of the purchased course</t>
  </si>
  <si>
    <t>Category of the purchased course</t>
  </si>
  <si>
    <t>Course price before applying discounts</t>
  </si>
  <si>
    <t>Current payment status (Paid, Pending, Refunded)</t>
  </si>
  <si>
    <t>Method used to complete the payment</t>
  </si>
  <si>
    <t>Amount deducted from the original price as a discount</t>
  </si>
  <si>
    <t>Actual amount paid by the customer after discount</t>
  </si>
  <si>
    <t>Expected revenue from pending payments only; excludes completed payments</t>
  </si>
  <si>
    <t>Percentage charged by the bank/payment provider</t>
  </si>
  <si>
    <t>Bank Commission Amount</t>
  </si>
  <si>
    <t>Amount deducted as bank processing fees</t>
  </si>
  <si>
    <t>Applied income tax rate</t>
  </si>
  <si>
    <t>Income Tax Amount</t>
  </si>
  <si>
    <t>Calculated income tax amount</t>
  </si>
  <si>
    <t>Amount returned to customers for refunded transactions</t>
  </si>
  <si>
    <t>Final revenue after deducting bank commissions, taxes, and refunds</t>
  </si>
  <si>
    <t>Source that generated the customer (Facebook, Instagram, Google, etc.)</t>
  </si>
  <si>
    <t>Amount spent on advertising campaigns</t>
  </si>
  <si>
    <t>Total Tax Fees</t>
  </si>
  <si>
    <t>Total Ad Spend</t>
  </si>
  <si>
    <t>Profit</t>
  </si>
  <si>
    <t>Profit Margin %</t>
  </si>
  <si>
    <t>Month</t>
  </si>
  <si>
    <t>Sales Count</t>
  </si>
  <si>
    <t>January</t>
  </si>
  <si>
    <t>February</t>
  </si>
  <si>
    <t>March</t>
  </si>
  <si>
    <t>Number of Sales</t>
  </si>
  <si>
    <t>Sales</t>
  </si>
  <si>
    <t>ROAS</t>
  </si>
  <si>
    <t>Number of Orders</t>
  </si>
  <si>
    <t>Amount</t>
  </si>
  <si>
    <t>Paid</t>
  </si>
  <si>
    <t>Customers</t>
  </si>
  <si>
    <t>Number of Students</t>
  </si>
  <si>
    <t>1.Sales Overview</t>
  </si>
  <si>
    <t>2.Monthly Sales Analysis</t>
  </si>
  <si>
    <t>3.Course Performance</t>
  </si>
  <si>
    <t>4. Marketing Analysis</t>
  </si>
  <si>
    <t>5.Payment Analysis</t>
  </si>
  <si>
    <t>6.Customer Analysis</t>
  </si>
  <si>
    <t>7.City Analysis</t>
  </si>
  <si>
    <t>New Customer</t>
  </si>
  <si>
    <t>Returning Customer</t>
  </si>
  <si>
    <t>Other charges</t>
  </si>
  <si>
    <t>Total  Unique Students</t>
  </si>
  <si>
    <t>Average Revenue per Student</t>
  </si>
  <si>
    <t>April</t>
  </si>
  <si>
    <t>May</t>
  </si>
  <si>
    <t>June</t>
  </si>
  <si>
    <t>July</t>
  </si>
  <si>
    <t>TOTAL</t>
  </si>
  <si>
    <t>Facebook</t>
  </si>
  <si>
    <t>Instagram</t>
  </si>
  <si>
    <t>Tiktok</t>
  </si>
  <si>
    <t>Total sales</t>
  </si>
  <si>
    <t>Gori</t>
  </si>
  <si>
    <t>Batumi</t>
  </si>
  <si>
    <t>Kutaisi</t>
  </si>
  <si>
    <t>Poti</t>
  </si>
  <si>
    <t>Rustavi</t>
  </si>
  <si>
    <t>Telavi</t>
  </si>
  <si>
    <t>Zugdidi</t>
  </si>
  <si>
    <t>Tbilisi</t>
  </si>
  <si>
    <t>Total Saled Course</t>
  </si>
  <si>
    <t>Kursebi.Online Sales Dashboard</t>
  </si>
  <si>
    <t>Sum of Net Revenue</t>
  </si>
  <si>
    <t>Sum of Total Sales</t>
  </si>
  <si>
    <t>Sum of Final Paid Amount</t>
  </si>
  <si>
    <t>Sum of Refund Amount</t>
  </si>
  <si>
    <t>Row Labels</t>
  </si>
  <si>
    <t>Grand Total</t>
  </si>
  <si>
    <t>Sum of Ad Spend</t>
  </si>
  <si>
    <t>Sum of Expected Revenue</t>
  </si>
  <si>
    <t>Count of Customer ID</t>
  </si>
  <si>
    <t>Female</t>
  </si>
  <si>
    <t>Male</t>
  </si>
  <si>
    <t>Not specified</t>
  </si>
  <si>
    <t>Column Labels</t>
  </si>
  <si>
    <t>Count of Sales ID</t>
  </si>
  <si>
    <t>Distribution Analysis</t>
  </si>
  <si>
    <t>Key Performance Indicators</t>
  </si>
  <si>
    <t>Sales Performance</t>
  </si>
  <si>
    <t xml:space="preserve"> </t>
  </si>
  <si>
    <t>Dashboard Filters</t>
  </si>
  <si>
    <t>Interactive Sales Dashboard | Jan–Jul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</si>
</sst>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GEL]\ * #,##0.00_);_([$GEL]\ * \(#,##0.00\);_([$GEL]\ * &quot;-&quot;??_);_(@_)"/>
    <numFmt numFmtId="165" formatCode="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b/>
      <i/>
      <sz val="14"/>
      <color theme="1"/>
      <name val="Calibri"/>
      <family val="2"/>
      <scheme val="minor"/>
    </font>
    <font>
      <i/>
      <sz val="11"/>
      <color theme="1"/>
      <name val="Calibri"/>
      <family val="2"/>
      <scheme val="minor"/>
    </font>
    <font>
      <b/>
      <sz val="12"/>
      <color theme="1"/>
      <name val="Calibri"/>
      <family val="2"/>
      <scheme val="minor"/>
    </font>
    <font>
      <b/>
      <sz val="72"/>
      <color theme="3" tint="-0.499984740745262"/>
      <name val="Calibri"/>
      <family val="2"/>
      <scheme val="minor"/>
    </font>
    <font>
      <b/>
      <sz val="24"/>
      <color rgb="FFFF0000"/>
      <name val="Calibri"/>
      <family val="2"/>
      <scheme val="minor"/>
    </font>
    <font>
      <b/>
      <sz val="48"/>
      <color theme="4" tint="-0.499984740745262"/>
      <name val="Calibri"/>
      <family val="2"/>
      <scheme val="minor"/>
    </font>
    <font>
      <b/>
      <sz val="100"/>
      <color theme="3" tint="-0.499984740745262"/>
      <name val="Calibri"/>
      <family val="2"/>
      <scheme val="minor"/>
    </font>
    <font>
      <b/>
      <sz val="72"/>
      <color theme="3" tint="-0.249977111117893"/>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tint="-4.9989318521683403E-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theme="4" tint="-0.249977111117893"/>
      </left>
      <right/>
      <top style="medium">
        <color theme="4" tint="-0.249977111117893"/>
      </top>
      <bottom/>
      <diagonal/>
    </border>
    <border>
      <left/>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top/>
      <bottom style="medium">
        <color theme="4" tint="-0.249977111117893"/>
      </bottom>
      <diagonal/>
    </border>
    <border>
      <left/>
      <right/>
      <top/>
      <bottom style="medium">
        <color theme="4" tint="-0.249977111117893"/>
      </bottom>
      <diagonal/>
    </border>
    <border>
      <left/>
      <right style="medium">
        <color theme="4" tint="-0.249977111117893"/>
      </right>
      <top/>
      <bottom style="medium">
        <color theme="4" tint="-0.249977111117893"/>
      </bottom>
      <diagonal/>
    </border>
    <border>
      <left style="medium">
        <color theme="4" tint="-0.249977111117893"/>
      </left>
      <right/>
      <top/>
      <bottom/>
      <diagonal/>
    </border>
    <border>
      <left/>
      <right style="medium">
        <color theme="4" tint="-0.249977111117893"/>
      </right>
      <top/>
      <bottom/>
      <diagonal/>
    </border>
  </borders>
  <cellStyleXfs count="2">
    <xf numFmtId="0" fontId="0" fillId="0" borderId="0"/>
    <xf numFmtId="9" fontId="1" fillId="0" borderId="0" applyFont="0" applyFill="0" applyBorder="0" applyAlignment="0" applyProtection="0"/>
  </cellStyleXfs>
  <cellXfs count="132">
    <xf numFmtId="0" fontId="0" fillId="0" borderId="0" xfId="0"/>
    <xf numFmtId="164" fontId="0" fillId="0" borderId="0" xfId="0" applyNumberFormat="1"/>
    <xf numFmtId="0" fontId="2" fillId="0" borderId="0" xfId="0" applyFont="1"/>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xf numFmtId="14" fontId="0" fillId="0" borderId="1" xfId="0" applyNumberFormat="1" applyBorder="1"/>
    <xf numFmtId="164" fontId="0" fillId="0" borderId="1" xfId="0" applyNumberFormat="1" applyBorder="1"/>
    <xf numFmtId="165" fontId="0" fillId="0" borderId="1" xfId="1" applyNumberFormat="1" applyFont="1" applyBorder="1"/>
    <xf numFmtId="164" fontId="0" fillId="0" borderId="1" xfId="1" applyNumberFormat="1" applyFont="1" applyBorder="1"/>
    <xf numFmtId="164" fontId="0" fillId="0" borderId="6" xfId="0" applyNumberFormat="1" applyBorder="1"/>
    <xf numFmtId="0" fontId="0" fillId="0" borderId="7" xfId="0" applyBorder="1"/>
    <xf numFmtId="14" fontId="0" fillId="0" borderId="8" xfId="0" applyNumberFormat="1" applyBorder="1"/>
    <xf numFmtId="0" fontId="0" fillId="0" borderId="8" xfId="0" applyBorder="1"/>
    <xf numFmtId="164" fontId="0" fillId="0" borderId="8" xfId="0" applyNumberFormat="1" applyBorder="1"/>
    <xf numFmtId="165" fontId="0" fillId="0" borderId="8" xfId="1" applyNumberFormat="1" applyFont="1" applyBorder="1"/>
    <xf numFmtId="164" fontId="0" fillId="0" borderId="8" xfId="1" applyNumberFormat="1" applyFont="1" applyBorder="1"/>
    <xf numFmtId="14" fontId="0" fillId="0" borderId="11" xfId="0" applyNumberFormat="1" applyBorder="1"/>
    <xf numFmtId="0" fontId="0" fillId="0" borderId="11" xfId="0" applyBorder="1"/>
    <xf numFmtId="164" fontId="0" fillId="0" borderId="11" xfId="0" applyNumberFormat="1" applyBorder="1"/>
    <xf numFmtId="165" fontId="0" fillId="0" borderId="11" xfId="1" applyNumberFormat="1" applyFont="1" applyBorder="1"/>
    <xf numFmtId="164" fontId="0" fillId="0" borderId="11" xfId="1" applyNumberFormat="1" applyFont="1" applyBorder="1"/>
    <xf numFmtId="0" fontId="0" fillId="0" borderId="1" xfId="0" applyBorder="1" applyAlignment="1">
      <alignment vertical="center" wrapText="1"/>
    </xf>
    <xf numFmtId="9" fontId="0" fillId="0" borderId="1" xfId="0" applyNumberFormat="1" applyBorder="1" applyAlignment="1">
      <alignment horizontal="right" vertical="center" wrapText="1"/>
    </xf>
    <xf numFmtId="10" fontId="0" fillId="0" borderId="1" xfId="0" applyNumberFormat="1" applyBorder="1" applyAlignment="1">
      <alignment horizontal="right" vertical="center" wrapText="1"/>
    </xf>
    <xf numFmtId="0" fontId="0" fillId="0" borderId="11" xfId="0" applyBorder="1" applyAlignment="1">
      <alignment vertical="center" wrapText="1"/>
    </xf>
    <xf numFmtId="9" fontId="0" fillId="0" borderId="11" xfId="0" applyNumberFormat="1" applyBorder="1" applyAlignment="1">
      <alignment horizontal="right"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right" vertical="center" wrapText="1"/>
    </xf>
    <xf numFmtId="0" fontId="0" fillId="0" borderId="10" xfId="0" applyBorder="1" applyAlignment="1">
      <alignment vertical="center" wrapText="1"/>
    </xf>
    <xf numFmtId="0" fontId="0" fillId="0" borderId="5" xfId="0" applyBorder="1" applyAlignment="1">
      <alignment vertical="center" wrapText="1"/>
    </xf>
    <xf numFmtId="0" fontId="0" fillId="0" borderId="7" xfId="0" applyBorder="1" applyAlignment="1">
      <alignment vertical="center" wrapText="1"/>
    </xf>
    <xf numFmtId="164" fontId="0" fillId="0" borderId="12" xfId="0" applyNumberFormat="1" applyBorder="1" applyAlignment="1">
      <alignment horizontal="right" vertical="center" wrapText="1"/>
    </xf>
    <xf numFmtId="164" fontId="0" fillId="0" borderId="6" xfId="0" applyNumberFormat="1" applyBorder="1" applyAlignment="1">
      <alignment horizontal="right" vertical="center" wrapText="1"/>
    </xf>
    <xf numFmtId="164" fontId="0" fillId="0" borderId="9" xfId="0" applyNumberFormat="1" applyBorder="1" applyAlignment="1">
      <alignment horizontal="right" vertical="center" wrapText="1"/>
    </xf>
    <xf numFmtId="0" fontId="2" fillId="2" borderId="13"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0" fillId="0" borderId="10" xfId="0" applyBorder="1" applyAlignment="1">
      <alignment horizontal="left" vertical="center" wrapText="1"/>
    </xf>
    <xf numFmtId="9" fontId="0" fillId="0" borderId="11" xfId="0" applyNumberFormat="1" applyBorder="1" applyAlignment="1">
      <alignment horizontal="left" vertical="center" wrapText="1"/>
    </xf>
    <xf numFmtId="0" fontId="0" fillId="0" borderId="11" xfId="0" applyBorder="1" applyAlignment="1">
      <alignment horizontal="left" vertical="center" wrapText="1"/>
    </xf>
    <xf numFmtId="164" fontId="0" fillId="0" borderId="12" xfId="0" applyNumberFormat="1" applyBorder="1" applyAlignment="1">
      <alignment horizontal="left" vertical="center" wrapText="1"/>
    </xf>
    <xf numFmtId="0" fontId="0" fillId="0" borderId="5" xfId="0" applyBorder="1" applyAlignment="1">
      <alignment horizontal="left" vertical="center" wrapText="1"/>
    </xf>
    <xf numFmtId="9" fontId="0" fillId="0" borderId="1" xfId="0" applyNumberFormat="1" applyBorder="1" applyAlignment="1">
      <alignment horizontal="left" vertical="center" wrapText="1"/>
    </xf>
    <xf numFmtId="0" fontId="0" fillId="0" borderId="1" xfId="0" applyBorder="1" applyAlignment="1">
      <alignment horizontal="left" vertical="center" wrapText="1"/>
    </xf>
    <xf numFmtId="164" fontId="0" fillId="0" borderId="6" xfId="0" applyNumberFormat="1" applyBorder="1" applyAlignment="1">
      <alignment horizontal="left" vertical="center" wrapText="1"/>
    </xf>
    <xf numFmtId="10" fontId="0" fillId="0" borderId="1" xfId="0" applyNumberFormat="1" applyBorder="1" applyAlignment="1">
      <alignment horizontal="left" vertical="center" wrapText="1"/>
    </xf>
    <xf numFmtId="0" fontId="0" fillId="0" borderId="7" xfId="0" applyBorder="1" applyAlignment="1">
      <alignment horizontal="left" vertical="center" wrapText="1"/>
    </xf>
    <xf numFmtId="10" fontId="0" fillId="0" borderId="8" xfId="0" applyNumberFormat="1" applyBorder="1" applyAlignment="1">
      <alignment horizontal="left" vertical="center" wrapText="1"/>
    </xf>
    <xf numFmtId="0" fontId="0" fillId="0" borderId="8" xfId="0" applyBorder="1" applyAlignment="1">
      <alignment horizontal="left" vertical="center" wrapText="1"/>
    </xf>
    <xf numFmtId="164" fontId="0" fillId="0" borderId="9" xfId="0" applyNumberFormat="1" applyBorder="1" applyAlignment="1">
      <alignment horizontal="left" vertical="center" wrapText="1"/>
    </xf>
    <xf numFmtId="0" fontId="0" fillId="0" borderId="0" xfId="0" applyAlignment="1">
      <alignment horizontal="left"/>
    </xf>
    <xf numFmtId="164" fontId="0" fillId="0" borderId="0" xfId="0" applyNumberFormat="1" applyAlignment="1">
      <alignment horizontal="left"/>
    </xf>
    <xf numFmtId="0" fontId="6" fillId="0" borderId="0" xfId="0" applyFont="1"/>
    <xf numFmtId="0" fontId="7" fillId="3" borderId="1" xfId="0" applyFont="1" applyFill="1" applyBorder="1" applyAlignment="1">
      <alignment horizontal="center" vertical="center" wrapText="1"/>
    </xf>
    <xf numFmtId="0" fontId="2" fillId="4" borderId="1" xfId="0" applyFont="1" applyFill="1" applyBorder="1" applyAlignment="1">
      <alignment horizontal="left"/>
    </xf>
    <xf numFmtId="14" fontId="0" fillId="0" borderId="5" xfId="0" applyNumberFormat="1" applyBorder="1" applyAlignment="1">
      <alignment horizontal="left" vertical="center" wrapText="1"/>
    </xf>
    <xf numFmtId="164" fontId="0" fillId="0" borderId="1" xfId="0" applyNumberFormat="1" applyBorder="1" applyAlignment="1">
      <alignment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2" fillId="4" borderId="2" xfId="0" applyFont="1" applyFill="1" applyBorder="1" applyAlignment="1">
      <alignment horizontal="left"/>
    </xf>
    <xf numFmtId="0" fontId="2" fillId="4" borderId="3" xfId="0" applyFont="1" applyFill="1" applyBorder="1" applyAlignment="1">
      <alignment horizontal="left"/>
    </xf>
    <xf numFmtId="0" fontId="2" fillId="4" borderId="4" xfId="0" applyFont="1" applyFill="1" applyBorder="1" applyAlignment="1">
      <alignment horizontal="left"/>
    </xf>
    <xf numFmtId="0" fontId="0" fillId="5" borderId="7" xfId="0" applyFill="1" applyBorder="1" applyAlignment="1">
      <alignment vertical="center" wrapText="1"/>
    </xf>
    <xf numFmtId="0" fontId="0" fillId="5" borderId="8" xfId="0" applyFill="1" applyBorder="1" applyAlignment="1">
      <alignment vertical="center" wrapText="1"/>
    </xf>
    <xf numFmtId="9" fontId="0" fillId="0" borderId="5" xfId="0" applyNumberFormat="1" applyBorder="1" applyAlignment="1">
      <alignment horizontal="left" vertical="center" wrapText="1"/>
    </xf>
    <xf numFmtId="10" fontId="0" fillId="0" borderId="5" xfId="0" applyNumberFormat="1" applyBorder="1" applyAlignment="1">
      <alignment horizontal="left" vertical="center" wrapText="1"/>
    </xf>
    <xf numFmtId="10" fontId="0" fillId="0" borderId="7" xfId="0" applyNumberFormat="1" applyBorder="1" applyAlignment="1">
      <alignment horizontal="left" vertical="center" wrapText="1"/>
    </xf>
    <xf numFmtId="0" fontId="2" fillId="4" borderId="16" xfId="0" applyFont="1" applyFill="1" applyBorder="1" applyAlignment="1">
      <alignment horizontal="left" vertical="center"/>
    </xf>
    <xf numFmtId="0" fontId="2" fillId="4" borderId="15" xfId="0" applyFont="1" applyFill="1" applyBorder="1" applyAlignment="1">
      <alignment horizontal="left"/>
    </xf>
    <xf numFmtId="0" fontId="2" fillId="4" borderId="17" xfId="0" applyFont="1" applyFill="1" applyBorder="1" applyAlignment="1">
      <alignment horizontal="left"/>
    </xf>
    <xf numFmtId="0" fontId="0" fillId="0" borderId="24" xfId="0" applyBorder="1"/>
    <xf numFmtId="164" fontId="0" fillId="5" borderId="9" xfId="0" applyNumberFormat="1" applyFill="1" applyBorder="1" applyAlignment="1">
      <alignment vertical="center" wrapText="1"/>
    </xf>
    <xf numFmtId="164" fontId="0" fillId="0" borderId="6" xfId="0" applyNumberFormat="1" applyBorder="1" applyAlignment="1">
      <alignment vertical="center" wrapText="1"/>
    </xf>
    <xf numFmtId="164" fontId="0" fillId="5" borderId="8" xfId="0" applyNumberFormat="1" applyFill="1" applyBorder="1" applyAlignment="1">
      <alignment vertical="center" wrapText="1"/>
    </xf>
    <xf numFmtId="0" fontId="0" fillId="0" borderId="6" xfId="0" applyBorder="1" applyAlignment="1">
      <alignment horizontal="right" vertical="center" wrapText="1"/>
    </xf>
    <xf numFmtId="0" fontId="0" fillId="0" borderId="25" xfId="0" applyBorder="1"/>
    <xf numFmtId="0" fontId="0" fillId="0" borderId="26" xfId="0" applyBorder="1"/>
    <xf numFmtId="164" fontId="0" fillId="0" borderId="28" xfId="0" applyNumberFormat="1" applyBorder="1"/>
    <xf numFmtId="164" fontId="0" fillId="0" borderId="29" xfId="0" applyNumberFormat="1" applyBorder="1"/>
    <xf numFmtId="164" fontId="0" fillId="0" borderId="27" xfId="0" applyNumberFormat="1" applyBorder="1"/>
    <xf numFmtId="0" fontId="2" fillId="2" borderId="30"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22" xfId="0" applyFont="1" applyFill="1" applyBorder="1" applyAlignment="1">
      <alignment horizontal="center" vertical="center"/>
    </xf>
    <xf numFmtId="0" fontId="2" fillId="2" borderId="31" xfId="0" applyFont="1" applyFill="1" applyBorder="1" applyAlignment="1">
      <alignment horizontal="center" vertical="center" wrapText="1"/>
    </xf>
    <xf numFmtId="0" fontId="0" fillId="0" borderId="0" xfId="0" pivotButton="1"/>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5" xfId="0" applyFont="1" applyBorder="1" applyAlignment="1">
      <alignment horizontal="left" vertical="center" wrapText="1"/>
    </xf>
    <xf numFmtId="0" fontId="5" fillId="2" borderId="2" xfId="0" applyFont="1" applyFill="1" applyBorder="1" applyAlignment="1">
      <alignment horizontal="left" vertical="center" wrapText="1"/>
    </xf>
    <xf numFmtId="0" fontId="2" fillId="0" borderId="7" xfId="0" applyFont="1" applyBorder="1" applyAlignment="1">
      <alignment horizontal="left" vertical="center" wrapText="1"/>
    </xf>
    <xf numFmtId="0" fontId="2" fillId="4" borderId="0" xfId="0" applyFont="1" applyFill="1" applyAlignment="1">
      <alignment horizontal="left"/>
    </xf>
    <xf numFmtId="0" fontId="2" fillId="4" borderId="2" xfId="0" applyFont="1" applyFill="1" applyBorder="1" applyAlignment="1">
      <alignment horizontal="left"/>
    </xf>
    <xf numFmtId="0" fontId="2" fillId="4" borderId="3" xfId="0" applyFont="1" applyFill="1" applyBorder="1" applyAlignment="1">
      <alignment horizontal="left"/>
    </xf>
    <xf numFmtId="0" fontId="2" fillId="4" borderId="4" xfId="0" applyFont="1" applyFill="1" applyBorder="1" applyAlignment="1">
      <alignment horizontal="left"/>
    </xf>
    <xf numFmtId="0" fontId="2" fillId="4" borderId="2" xfId="0" applyFont="1" applyFill="1" applyBorder="1" applyAlignment="1">
      <alignment horizontal="left" vertical="center"/>
    </xf>
    <xf numFmtId="0" fontId="2" fillId="4" borderId="3" xfId="0" applyFont="1" applyFill="1" applyBorder="1" applyAlignment="1">
      <alignment horizontal="left" vertical="center"/>
    </xf>
    <xf numFmtId="0" fontId="2" fillId="4" borderId="4" xfId="0" applyFont="1" applyFill="1" applyBorder="1" applyAlignment="1">
      <alignment horizontal="left" vertical="center"/>
    </xf>
    <xf numFmtId="0" fontId="0" fillId="0" borderId="1" xfId="0" applyBorder="1" applyAlignment="1">
      <alignment horizontal="center" vertical="center" wrapText="1"/>
    </xf>
    <xf numFmtId="0" fontId="0" fillId="0" borderId="8" xfId="0" applyBorder="1" applyAlignment="1">
      <alignment horizontal="center" vertical="center" wrapText="1"/>
    </xf>
    <xf numFmtId="0" fontId="2" fillId="4" borderId="16" xfId="0" applyFont="1" applyFill="1" applyBorder="1" applyAlignment="1">
      <alignment horizontal="center"/>
    </xf>
    <xf numFmtId="0" fontId="2" fillId="4" borderId="15" xfId="0" applyFont="1" applyFill="1" applyBorder="1" applyAlignment="1">
      <alignment horizontal="center"/>
    </xf>
    <xf numFmtId="0" fontId="2" fillId="4" borderId="17" xfId="0" applyFont="1" applyFill="1" applyBorder="1" applyAlignment="1">
      <alignment horizontal="center"/>
    </xf>
    <xf numFmtId="164" fontId="0" fillId="0" borderId="18" xfId="0" applyNumberFormat="1" applyBorder="1" applyAlignment="1">
      <alignment horizontal="center" vertical="center" wrapText="1"/>
    </xf>
    <xf numFmtId="164" fontId="0" fillId="0" borderId="19" xfId="0" applyNumberFormat="1" applyBorder="1" applyAlignment="1">
      <alignment horizontal="center" vertical="center" wrapText="1"/>
    </xf>
    <xf numFmtId="164" fontId="0" fillId="0" borderId="22" xfId="0" applyNumberFormat="1" applyBorder="1" applyAlignment="1">
      <alignment horizontal="center" vertical="center" wrapText="1"/>
    </xf>
    <xf numFmtId="164" fontId="0" fillId="0" borderId="20" xfId="0" applyNumberFormat="1" applyBorder="1" applyAlignment="1">
      <alignment horizontal="center" vertical="center" wrapText="1"/>
    </xf>
    <xf numFmtId="164" fontId="0" fillId="0" borderId="21" xfId="0" applyNumberFormat="1" applyBorder="1" applyAlignment="1">
      <alignment horizontal="center" vertical="center" wrapText="1"/>
    </xf>
    <xf numFmtId="164" fontId="0" fillId="0" borderId="23" xfId="0" applyNumberFormat="1" applyBorder="1" applyAlignment="1">
      <alignment horizontal="center" vertical="center" wrapText="1"/>
    </xf>
    <xf numFmtId="0" fontId="11" fillId="6" borderId="0" xfId="0" applyFont="1" applyFill="1" applyAlignment="1">
      <alignment horizontal="center" vertical="center"/>
    </xf>
    <xf numFmtId="0" fontId="0" fillId="6" borderId="0" xfId="0" applyFill="1"/>
    <xf numFmtId="0" fontId="8" fillId="6" borderId="0" xfId="0" applyFont="1" applyFill="1" applyAlignment="1">
      <alignment vertical="center"/>
    </xf>
    <xf numFmtId="0" fontId="12" fillId="6" borderId="0" xfId="0" applyFont="1" applyFill="1" applyAlignment="1">
      <alignment horizontal="right" vertical="center"/>
    </xf>
    <xf numFmtId="0" fontId="10" fillId="6" borderId="0" xfId="0" applyFont="1" applyFill="1" applyAlignment="1">
      <alignment horizontal="center" vertical="center"/>
    </xf>
    <xf numFmtId="0" fontId="9" fillId="6" borderId="0" xfId="0" applyFont="1" applyFill="1" applyAlignment="1">
      <alignment horizontal="center" vertical="center"/>
    </xf>
    <xf numFmtId="0" fontId="0" fillId="6" borderId="33" xfId="0" applyFill="1" applyBorder="1" applyAlignment="1">
      <alignment horizontal="center"/>
    </xf>
    <xf numFmtId="0" fontId="0" fillId="6" borderId="0" xfId="0" applyFill="1" applyAlignment="1">
      <alignment horizontal="center"/>
    </xf>
    <xf numFmtId="0" fontId="10" fillId="6" borderId="0" xfId="0" applyFont="1" applyFill="1" applyAlignment="1">
      <alignment horizontal="left" vertical="center" indent="16"/>
    </xf>
    <xf numFmtId="0" fontId="0" fillId="6" borderId="32" xfId="0" applyFill="1" applyBorder="1" applyAlignment="1">
      <alignment horizontal="center"/>
    </xf>
    <xf numFmtId="0" fontId="0" fillId="6" borderId="33" xfId="0" applyFill="1" applyBorder="1" applyAlignment="1">
      <alignment horizontal="center"/>
    </xf>
    <xf numFmtId="0" fontId="0" fillId="6" borderId="34" xfId="0" applyFill="1" applyBorder="1" applyAlignment="1">
      <alignment horizontal="center"/>
    </xf>
    <xf numFmtId="0" fontId="0" fillId="6" borderId="38" xfId="0" applyFill="1" applyBorder="1" applyAlignment="1">
      <alignment horizontal="center"/>
    </xf>
    <xf numFmtId="0" fontId="0" fillId="6" borderId="0" xfId="0" applyFill="1" applyAlignment="1">
      <alignment horizontal="center"/>
    </xf>
    <xf numFmtId="0" fontId="0" fillId="6" borderId="39" xfId="0" applyFill="1" applyBorder="1" applyAlignment="1">
      <alignment horizontal="center"/>
    </xf>
    <xf numFmtId="0" fontId="0" fillId="6" borderId="35" xfId="0" applyFill="1" applyBorder="1" applyAlignment="1">
      <alignment horizontal="center"/>
    </xf>
    <xf numFmtId="0" fontId="0" fillId="6" borderId="36" xfId="0" applyFill="1" applyBorder="1" applyAlignment="1">
      <alignment horizontal="center"/>
    </xf>
    <xf numFmtId="0" fontId="0" fillId="6" borderId="37" xfId="0" applyFill="1" applyBorder="1" applyAlignment="1">
      <alignment horizontal="center"/>
    </xf>
    <xf numFmtId="0" fontId="10" fillId="6"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30">
    <dxf>
      <font>
        <color rgb="FF9C0006"/>
      </font>
      <fill>
        <patternFill>
          <bgColor rgb="FFFFC7CE"/>
        </patternFill>
      </fill>
    </dxf>
    <dxf>
      <font>
        <color rgb="FF9C5700"/>
      </font>
      <fill>
        <patternFill>
          <bgColor rgb="FFFFEB9C"/>
        </patternFill>
      </fill>
    </dxf>
    <dxf>
      <numFmt numFmtId="164" formatCode="_([$GEL]\ * #,##0.00_);_([$GEL]\ * \(#,##0.00\);_([$GEL]\ * &quot;-&quot;??_);_(@_)"/>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_([$GEL]\ * #,##0.00_);_([$GEL]\ * \(#,##0.00\);_([$GEL]\ * &quot;-&quot;??_);_(@_)"/>
      <border diagonalUp="0" diagonalDown="0">
        <left style="thin">
          <color indexed="64"/>
        </left>
        <right style="thin">
          <color indexed="64"/>
        </right>
        <top style="thin">
          <color indexed="64"/>
        </top>
        <bottom style="thin">
          <color indexed="64"/>
        </bottom>
        <vertical/>
        <horizontal/>
      </border>
    </dxf>
    <dxf>
      <numFmt numFmtId="164" formatCode="_([$GEL]\ * #,##0.00_);_([$GEL]\ * \(#,##0.00\);_([$GEL]\ *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4" formatCode="_([$GEL]\ * #,##0.00_);_([$GEL]\ * \(#,##0.00\);_([$GEL]\ *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4" formatCode="_([$GEL]\ * #,##0.00_);_([$GEL]\ * \(#,##0.00\);_([$GEL]\ *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0.0%"/>
      <border diagonalUp="0" diagonalDown="0">
        <left style="thin">
          <color indexed="64"/>
        </left>
        <right style="thin">
          <color indexed="64"/>
        </right>
        <top style="thin">
          <color indexed="64"/>
        </top>
        <bottom style="thin">
          <color indexed="64"/>
        </bottom>
        <vertical/>
        <horizontal/>
      </border>
    </dxf>
    <dxf>
      <numFmt numFmtId="164" formatCode="_([$GEL]\ * #,##0.00_);_([$GEL]\ * \(#,##0.00\);_([$GEL]\ * &quot;-&quot;??_);_(@_)"/>
      <border diagonalUp="0" diagonalDown="0">
        <left style="thin">
          <color indexed="64"/>
        </left>
        <right style="thin">
          <color indexed="64"/>
        </right>
        <top style="thin">
          <color indexed="64"/>
        </top>
        <bottom style="thin">
          <color indexed="64"/>
        </bottom>
        <vertical/>
        <horizontal/>
      </border>
    </dxf>
    <dxf>
      <numFmt numFmtId="164" formatCode="_([$GEL]\ * #,##0.00_);_([$GEL]\ * \(#,##0.00\);_([$GEL]\ * &quot;-&quot;??_);_(@_)"/>
      <border diagonalUp="0" diagonalDown="0">
        <left style="thin">
          <color indexed="64"/>
        </left>
        <right style="thin">
          <color indexed="64"/>
        </right>
        <top/>
        <bottom style="thin">
          <color indexed="64"/>
        </bottom>
        <vertical/>
        <horizontal/>
      </border>
    </dxf>
    <dxf>
      <numFmt numFmtId="164" formatCode="_([$GEL]\ * #,##0.00_);_([$GEL]\ * \(#,##0.00\);_([$GEL]\ * &quot;-&quot;??_);_(@_)"/>
      <border diagonalUp="0" diagonalDown="0">
        <left style="thin">
          <color indexed="64"/>
        </left>
        <right style="thin">
          <color indexed="64"/>
        </right>
        <top style="thin">
          <color indexed="64"/>
        </top>
        <bottom style="thin">
          <color indexed="64"/>
        </bottom>
        <vertical/>
        <horizontal/>
      </border>
    </dxf>
    <dxf>
      <numFmt numFmtId="164" formatCode="_([$GEL]\ * #,##0.00_);_([$GEL]\ * \(#,##0.00\);_([$GEL]\ *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_([$GEL]\ * #,##0.00_);_([$GEL]\ * \(#,##0.00\);_([$GEL]\ * &quot;-&quot;??_);_(@_)"/>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thin">
          <color indexed="64"/>
        </top>
      </border>
    </dxf>
    <dxf>
      <border outline="0">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[Kursebi_Sales_Data.xlsx]Pivots!PivotTable6</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baseline="0"/>
              <a:t>Revenue by Category</a:t>
            </a:r>
            <a:endParaRPr lang="en-US" sz="2000" baseline="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Pivots!$H$3</c:f>
              <c:strCache>
                <c:ptCount val="1"/>
                <c:pt idx="0">
                  <c:v>Total</c:v>
                </c:pt>
              </c:strCache>
            </c:strRef>
          </c:tx>
          <c:spPr>
            <a:solidFill>
              <a:schemeClr val="accent1"/>
            </a:solidFill>
            <a:ln>
              <a:noFill/>
            </a:ln>
            <a:effectLst/>
          </c:spPr>
          <c:invertIfNegative val="0"/>
          <c:cat>
            <c:strRef>
              <c:f>Pivots!$G$4:$G$8</c:f>
              <c:strCache>
                <c:ptCount val="4"/>
                <c:pt idx="0">
                  <c:v>Data Analytics</c:v>
                </c:pt>
                <c:pt idx="1">
                  <c:v>Finance &amp; Taxation</c:v>
                </c:pt>
                <c:pt idx="2">
                  <c:v>Microsoft Office</c:v>
                </c:pt>
                <c:pt idx="3">
                  <c:v>Psychology</c:v>
                </c:pt>
              </c:strCache>
            </c:strRef>
          </c:cat>
          <c:val>
            <c:numRef>
              <c:f>Pivots!$H$4:$H$8</c:f>
              <c:numCache>
                <c:formatCode>_([$GEL]\ * #,##0.00_);_([$GEL]\ * \(#,##0.00\);_([$GEL]\ * "-"??_);_(@_)</c:formatCode>
                <c:ptCount val="4"/>
                <c:pt idx="0">
                  <c:v>9455.7226499999888</c:v>
                </c:pt>
                <c:pt idx="1">
                  <c:v>2126.416049999998</c:v>
                </c:pt>
                <c:pt idx="2">
                  <c:v>5753.206799999989</c:v>
                </c:pt>
                <c:pt idx="3">
                  <c:v>2751.135749999999</c:v>
                </c:pt>
              </c:numCache>
            </c:numRef>
          </c:val>
          <c:extLst>
            <c:ext xmlns:c16="http://schemas.microsoft.com/office/drawing/2014/chart" uri="{C3380CC4-5D6E-409C-BE32-E72D297353CC}">
              <c16:uniqueId val="{00000000-23F2-4F5E-82B1-3F884831C34B}"/>
            </c:ext>
          </c:extLst>
        </c:ser>
        <c:dLbls>
          <c:showLegendKey val="0"/>
          <c:showVal val="0"/>
          <c:showCatName val="0"/>
          <c:showSerName val="0"/>
          <c:showPercent val="0"/>
          <c:showBubbleSize val="0"/>
        </c:dLbls>
        <c:gapWidth val="219"/>
        <c:overlap val="-27"/>
        <c:axId val="122119312"/>
        <c:axId val="1309174527"/>
      </c:barChart>
      <c:catAx>
        <c:axId val="12211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174527"/>
        <c:crosses val="autoZero"/>
        <c:auto val="1"/>
        <c:lblAlgn val="ctr"/>
        <c:lblOffset val="100"/>
        <c:noMultiLvlLbl val="0"/>
      </c:catAx>
      <c:valAx>
        <c:axId val="1309174527"/>
        <c:scaling>
          <c:orientation val="minMax"/>
        </c:scaling>
        <c:delete val="0"/>
        <c:axPos val="l"/>
        <c:majorGridlines>
          <c:spPr>
            <a:ln w="9525" cap="flat" cmpd="sng" algn="ctr">
              <a:solidFill>
                <a:schemeClr val="tx1">
                  <a:lumMod val="15000"/>
                  <a:lumOff val="85000"/>
                </a:schemeClr>
              </a:solidFill>
              <a:round/>
            </a:ln>
            <a:effectLst/>
          </c:spPr>
        </c:majorGridlines>
        <c:numFmt formatCode="_([$GEL]\ * #,##0.00_);_([$GEL]\ * \(#,##0.00\);_([$GEL]\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1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[Kursebi_Sales_Data.xlsx]Pivots!PivotTable8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Pivots!$H$19</c:f>
              <c:strCache>
                <c:ptCount val="1"/>
                <c:pt idx="0">
                  <c:v>Sum of Net Revenue</c:v>
                </c:pt>
              </c:strCache>
            </c:strRef>
          </c:tx>
          <c:spPr>
            <a:solidFill>
              <a:schemeClr val="accent1"/>
            </a:solidFill>
            <a:ln>
              <a:noFill/>
            </a:ln>
            <a:effectLst/>
          </c:spPr>
          <c:invertIfNegative val="0"/>
          <c:cat>
            <c:strRef>
              <c:f>Pivots!$G$20:$G$23</c:f>
              <c:strCache>
                <c:ptCount val="3"/>
                <c:pt idx="0">
                  <c:v>Facebook</c:v>
                </c:pt>
                <c:pt idx="1">
                  <c:v>Instagram</c:v>
                </c:pt>
                <c:pt idx="2">
                  <c:v>Tiktok</c:v>
                </c:pt>
              </c:strCache>
            </c:strRef>
          </c:cat>
          <c:val>
            <c:numRef>
              <c:f>Pivots!$H$20:$H$23</c:f>
              <c:numCache>
                <c:formatCode>_([$GEL]\ * #,##0.00_);_([$GEL]\ * \(#,##0.00\);_([$GEL]\ * "-"??_);_(@_)</c:formatCode>
                <c:ptCount val="3"/>
                <c:pt idx="0">
                  <c:v>7113.1103999999814</c:v>
                </c:pt>
                <c:pt idx="1">
                  <c:v>5839.4852999999894</c:v>
                </c:pt>
                <c:pt idx="2">
                  <c:v>7133.88554999999</c:v>
                </c:pt>
              </c:numCache>
            </c:numRef>
          </c:val>
          <c:extLst>
            <c:ext xmlns:c16="http://schemas.microsoft.com/office/drawing/2014/chart" uri="{C3380CC4-5D6E-409C-BE32-E72D297353CC}">
              <c16:uniqueId val="{00000000-5F4C-4B9D-B2F0-DFF3229444FF}"/>
            </c:ext>
          </c:extLst>
        </c:ser>
        <c:dLbls>
          <c:showLegendKey val="0"/>
          <c:showVal val="0"/>
          <c:showCatName val="0"/>
          <c:showSerName val="0"/>
          <c:showPercent val="0"/>
          <c:showBubbleSize val="0"/>
        </c:dLbls>
        <c:gapWidth val="219"/>
        <c:overlap val="-27"/>
        <c:axId val="1349023247"/>
        <c:axId val="1994854399"/>
      </c:barChart>
      <c:lineChart>
        <c:grouping val="standard"/>
        <c:varyColors val="0"/>
        <c:ser>
          <c:idx val="1"/>
          <c:order val="1"/>
          <c:tx>
            <c:strRef>
              <c:f>Pivots!$I$19</c:f>
              <c:strCache>
                <c:ptCount val="1"/>
                <c:pt idx="0">
                  <c:v>Sum of Ad Spend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Pivots!$G$20:$G$23</c:f>
              <c:strCache>
                <c:ptCount val="3"/>
                <c:pt idx="0">
                  <c:v>Facebook</c:v>
                </c:pt>
                <c:pt idx="1">
                  <c:v>Instagram</c:v>
                </c:pt>
                <c:pt idx="2">
                  <c:v>Tiktok</c:v>
                </c:pt>
              </c:strCache>
            </c:strRef>
          </c:cat>
          <c:val>
            <c:numRef>
              <c:f>Pivots!$I$20:$I$23</c:f>
              <c:numCache>
                <c:formatCode>General</c:formatCode>
                <c:ptCount val="3"/>
                <c:pt idx="0">
                  <c:v>640</c:v>
                </c:pt>
                <c:pt idx="1">
                  <c:v>690</c:v>
                </c:pt>
                <c:pt idx="2">
                  <c:v>770</c:v>
                </c:pt>
              </c:numCache>
            </c:numRef>
          </c:val>
          <c:smooth val="0"/>
          <c:extLst>
            <c:ext xmlns:c16="http://schemas.microsoft.com/office/drawing/2014/chart" uri="{C3380CC4-5D6E-409C-BE32-E72D297353CC}">
              <c16:uniqueId val="{00000001-5F4C-4B9D-B2F0-DFF3229444FF}"/>
            </c:ext>
          </c:extLst>
        </c:ser>
        <c:dLbls>
          <c:showLegendKey val="0"/>
          <c:showVal val="0"/>
          <c:showCatName val="0"/>
          <c:showSerName val="0"/>
          <c:showPercent val="0"/>
          <c:showBubbleSize val="0"/>
        </c:dLbls>
        <c:marker val="1"/>
        <c:smooth val="0"/>
        <c:axId val="1349023247"/>
        <c:axId val="1994854399"/>
      </c:lineChart>
      <c:catAx>
        <c:axId val="1349023247"/>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b="0" i="0" u="none" strike="noStrike" baseline="0"/>
                  <a:t>Marketing Performance</a:t>
                </a:r>
                <a:endParaRPr lang="en-US" sz="2000" baseline="0"/>
              </a:p>
            </c:rich>
          </c:tx>
          <c:layout>
            <c:manualLayout>
              <c:xMode val="edge"/>
              <c:yMode val="edge"/>
              <c:x val="0.40442788240833516"/>
              <c:y val="2.6407018285241911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854399"/>
        <c:crosses val="autoZero"/>
        <c:auto val="1"/>
        <c:lblAlgn val="ctr"/>
        <c:lblOffset val="100"/>
        <c:noMultiLvlLbl val="0"/>
      </c:catAx>
      <c:valAx>
        <c:axId val="199485439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GEL]\ * #,##0.00_);_([$GEL]\ * \(#,##0.00\);_([$GEL]\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2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[Kursebi_Sales_Data.xlsx]Pivots!PivotTable5</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baseline="0"/>
              <a:t>Monthly Net Revenue</a:t>
            </a:r>
            <a:endParaRPr lang="en-US" sz="2000" baseline="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Pivots!$B$18</c:f>
              <c:strCache>
                <c:ptCount val="1"/>
                <c:pt idx="0">
                  <c:v>Total</c:v>
                </c:pt>
              </c:strCache>
            </c:strRef>
          </c:tx>
          <c:spPr>
            <a:ln w="28575" cap="rnd">
              <a:solidFill>
                <a:schemeClr val="accent1"/>
              </a:solidFill>
              <a:round/>
            </a:ln>
            <a:effectLst/>
          </c:spPr>
          <c:marker>
            <c:symbol val="none"/>
          </c:marker>
          <c:cat>
            <c:strRef>
              <c:f>Pivots!$A$19:$A$26</c:f>
              <c:strCache>
                <c:ptCount val="7"/>
                <c:pt idx="0">
                  <c:v>January</c:v>
                </c:pt>
                <c:pt idx="1">
                  <c:v>February</c:v>
                </c:pt>
                <c:pt idx="2">
                  <c:v>March</c:v>
                </c:pt>
                <c:pt idx="3">
                  <c:v>April</c:v>
                </c:pt>
                <c:pt idx="4">
                  <c:v>May</c:v>
                </c:pt>
                <c:pt idx="5">
                  <c:v>June</c:v>
                </c:pt>
                <c:pt idx="6">
                  <c:v>July</c:v>
                </c:pt>
              </c:strCache>
            </c:strRef>
          </c:cat>
          <c:val>
            <c:numRef>
              <c:f>Pivots!$B$19:$B$26</c:f>
              <c:numCache>
                <c:formatCode>_([$GEL]\ * #,##0.00_);_([$GEL]\ * \(#,##0.00\);_([$GEL]\ * "-"??_);_(@_)</c:formatCode>
                <c:ptCount val="7"/>
                <c:pt idx="0">
                  <c:v>24.175800000000315</c:v>
                </c:pt>
                <c:pt idx="1">
                  <c:v>4288.0463999999956</c:v>
                </c:pt>
                <c:pt idx="2">
                  <c:v>-116.89919999999974</c:v>
                </c:pt>
                <c:pt idx="3">
                  <c:v>4753.2176999999956</c:v>
                </c:pt>
                <c:pt idx="4">
                  <c:v>3602.7188999999989</c:v>
                </c:pt>
                <c:pt idx="5">
                  <c:v>3552.115049999999</c:v>
                </c:pt>
                <c:pt idx="6">
                  <c:v>3983.1065999999969</c:v>
                </c:pt>
              </c:numCache>
            </c:numRef>
          </c:val>
          <c:smooth val="0"/>
          <c:extLst>
            <c:ext xmlns:c16="http://schemas.microsoft.com/office/drawing/2014/chart" uri="{C3380CC4-5D6E-409C-BE32-E72D297353CC}">
              <c16:uniqueId val="{00000000-CDDE-44A0-81C5-ACE599031343}"/>
            </c:ext>
          </c:extLst>
        </c:ser>
        <c:dLbls>
          <c:showLegendKey val="0"/>
          <c:showVal val="0"/>
          <c:showCatName val="0"/>
          <c:showSerName val="0"/>
          <c:showPercent val="0"/>
          <c:showBubbleSize val="0"/>
        </c:dLbls>
        <c:smooth val="0"/>
        <c:axId val="1441778175"/>
        <c:axId val="1309172607"/>
      </c:lineChart>
      <c:catAx>
        <c:axId val="144177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172607"/>
        <c:crosses val="autoZero"/>
        <c:auto val="1"/>
        <c:lblAlgn val="ctr"/>
        <c:lblOffset val="100"/>
        <c:noMultiLvlLbl val="0"/>
      </c:catAx>
      <c:valAx>
        <c:axId val="1309172607"/>
        <c:scaling>
          <c:orientation val="minMax"/>
        </c:scaling>
        <c:delete val="0"/>
        <c:axPos val="l"/>
        <c:majorGridlines>
          <c:spPr>
            <a:ln w="9525" cap="flat" cmpd="sng" algn="ctr">
              <a:solidFill>
                <a:schemeClr val="tx1">
                  <a:lumMod val="15000"/>
                  <a:lumOff val="85000"/>
                </a:schemeClr>
              </a:solidFill>
              <a:round/>
            </a:ln>
            <a:effectLst/>
          </c:spPr>
        </c:majorGridlines>
        <c:numFmt formatCode="_([$GEL]\ * #,##0.00_);_([$GEL]\ * \(#,##0.00\);_([$GEL]\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7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[Kursebi_Sales_Data.xlsx]Pivots!PivotTable16</c:name>
    <c:fmtId val="2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baseline="0"/>
              <a:t>Customers by Gender</a:t>
            </a:r>
            <a:endParaRPr lang="en-US" sz="2000" baseline="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marker>
          <c:symbol val="none"/>
        </c:marker>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Pivots!$K$3:$K$4</c:f>
              <c:strCache>
                <c:ptCount val="1"/>
                <c:pt idx="0">
                  <c:v>Female</c:v>
                </c:pt>
              </c:strCache>
            </c:strRef>
          </c:tx>
          <c:spPr>
            <a:solidFill>
              <a:schemeClr val="accent1"/>
            </a:solidFill>
            <a:ln w="19050">
              <a:solidFill>
                <a:schemeClr val="lt1"/>
              </a:solidFill>
            </a:ln>
            <a:effectLst/>
          </c:spPr>
          <c:invertIfNegative val="0"/>
          <c:cat>
            <c:strRef>
              <c:f>Pivots!$J$5:$J$12</c:f>
              <c:strCache>
                <c:ptCount val="7"/>
                <c:pt idx="0">
                  <c:v>January</c:v>
                </c:pt>
                <c:pt idx="1">
                  <c:v>February</c:v>
                </c:pt>
                <c:pt idx="2">
                  <c:v>March</c:v>
                </c:pt>
                <c:pt idx="3">
                  <c:v>April</c:v>
                </c:pt>
                <c:pt idx="4">
                  <c:v>May</c:v>
                </c:pt>
                <c:pt idx="5">
                  <c:v>June</c:v>
                </c:pt>
                <c:pt idx="6">
                  <c:v>July</c:v>
                </c:pt>
              </c:strCache>
            </c:strRef>
          </c:cat>
          <c:val>
            <c:numRef>
              <c:f>Pivots!$K$5:$K$12</c:f>
              <c:numCache>
                <c:formatCode>General</c:formatCode>
                <c:ptCount val="7"/>
                <c:pt idx="0">
                  <c:v>54</c:v>
                </c:pt>
                <c:pt idx="1">
                  <c:v>47</c:v>
                </c:pt>
                <c:pt idx="2">
                  <c:v>48</c:v>
                </c:pt>
                <c:pt idx="3">
                  <c:v>52</c:v>
                </c:pt>
                <c:pt idx="4">
                  <c:v>52</c:v>
                </c:pt>
                <c:pt idx="5">
                  <c:v>45</c:v>
                </c:pt>
                <c:pt idx="6">
                  <c:v>51</c:v>
                </c:pt>
              </c:numCache>
            </c:numRef>
          </c:val>
          <c:extLst>
            <c:ext xmlns:c16="http://schemas.microsoft.com/office/drawing/2014/chart" uri="{C3380CC4-5D6E-409C-BE32-E72D297353CC}">
              <c16:uniqueId val="{00000000-52A1-42D2-9275-04CD99B5D71B}"/>
            </c:ext>
          </c:extLst>
        </c:ser>
        <c:ser>
          <c:idx val="1"/>
          <c:order val="1"/>
          <c:tx>
            <c:strRef>
              <c:f>Pivots!$L$3:$L$4</c:f>
              <c:strCache>
                <c:ptCount val="1"/>
                <c:pt idx="0">
                  <c:v>Male</c:v>
                </c:pt>
              </c:strCache>
            </c:strRef>
          </c:tx>
          <c:spPr>
            <a:solidFill>
              <a:schemeClr val="accent2"/>
            </a:solidFill>
            <a:ln w="19050">
              <a:solidFill>
                <a:schemeClr val="lt1"/>
              </a:solidFill>
            </a:ln>
            <a:effectLst/>
          </c:spPr>
          <c:invertIfNegative val="0"/>
          <c:cat>
            <c:strRef>
              <c:f>Pivots!$J$5:$J$12</c:f>
              <c:strCache>
                <c:ptCount val="7"/>
                <c:pt idx="0">
                  <c:v>January</c:v>
                </c:pt>
                <c:pt idx="1">
                  <c:v>February</c:v>
                </c:pt>
                <c:pt idx="2">
                  <c:v>March</c:v>
                </c:pt>
                <c:pt idx="3">
                  <c:v>April</c:v>
                </c:pt>
                <c:pt idx="4">
                  <c:v>May</c:v>
                </c:pt>
                <c:pt idx="5">
                  <c:v>June</c:v>
                </c:pt>
                <c:pt idx="6">
                  <c:v>July</c:v>
                </c:pt>
              </c:strCache>
            </c:strRef>
          </c:cat>
          <c:val>
            <c:numRef>
              <c:f>Pivots!$L$5:$L$12</c:f>
              <c:numCache>
                <c:formatCode>General</c:formatCode>
                <c:ptCount val="7"/>
                <c:pt idx="0">
                  <c:v>51</c:v>
                </c:pt>
                <c:pt idx="1">
                  <c:v>40</c:v>
                </c:pt>
                <c:pt idx="2">
                  <c:v>51</c:v>
                </c:pt>
                <c:pt idx="3">
                  <c:v>44</c:v>
                </c:pt>
                <c:pt idx="4">
                  <c:v>44</c:v>
                </c:pt>
                <c:pt idx="5">
                  <c:v>43</c:v>
                </c:pt>
                <c:pt idx="6">
                  <c:v>52</c:v>
                </c:pt>
              </c:numCache>
            </c:numRef>
          </c:val>
          <c:extLst>
            <c:ext xmlns:c16="http://schemas.microsoft.com/office/drawing/2014/chart" uri="{C3380CC4-5D6E-409C-BE32-E72D297353CC}">
              <c16:uniqueId val="{00000006-52A1-42D2-9275-04CD99B5D71B}"/>
            </c:ext>
          </c:extLst>
        </c:ser>
        <c:ser>
          <c:idx val="2"/>
          <c:order val="2"/>
          <c:tx>
            <c:strRef>
              <c:f>Pivots!$M$3:$M$4</c:f>
              <c:strCache>
                <c:ptCount val="1"/>
                <c:pt idx="0">
                  <c:v>Not specified</c:v>
                </c:pt>
              </c:strCache>
            </c:strRef>
          </c:tx>
          <c:spPr>
            <a:solidFill>
              <a:schemeClr val="accent3"/>
            </a:solidFill>
            <a:ln w="19050">
              <a:solidFill>
                <a:schemeClr val="lt1"/>
              </a:solidFill>
            </a:ln>
            <a:effectLst/>
          </c:spPr>
          <c:invertIfNegative val="0"/>
          <c:cat>
            <c:strRef>
              <c:f>Pivots!$J$5:$J$12</c:f>
              <c:strCache>
                <c:ptCount val="7"/>
                <c:pt idx="0">
                  <c:v>January</c:v>
                </c:pt>
                <c:pt idx="1">
                  <c:v>February</c:v>
                </c:pt>
                <c:pt idx="2">
                  <c:v>March</c:v>
                </c:pt>
                <c:pt idx="3">
                  <c:v>April</c:v>
                </c:pt>
                <c:pt idx="4">
                  <c:v>May</c:v>
                </c:pt>
                <c:pt idx="5">
                  <c:v>June</c:v>
                </c:pt>
                <c:pt idx="6">
                  <c:v>July</c:v>
                </c:pt>
              </c:strCache>
            </c:strRef>
          </c:cat>
          <c:val>
            <c:numRef>
              <c:f>Pivots!$M$5:$M$12</c:f>
              <c:numCache>
                <c:formatCode>General</c:formatCode>
                <c:ptCount val="7"/>
                <c:pt idx="0">
                  <c:v>47</c:v>
                </c:pt>
                <c:pt idx="1">
                  <c:v>41</c:v>
                </c:pt>
                <c:pt idx="2">
                  <c:v>46</c:v>
                </c:pt>
                <c:pt idx="3">
                  <c:v>45</c:v>
                </c:pt>
                <c:pt idx="4">
                  <c:v>50</c:v>
                </c:pt>
                <c:pt idx="5">
                  <c:v>44</c:v>
                </c:pt>
                <c:pt idx="6">
                  <c:v>53</c:v>
                </c:pt>
              </c:numCache>
            </c:numRef>
          </c:val>
          <c:extLst>
            <c:ext xmlns:c16="http://schemas.microsoft.com/office/drawing/2014/chart" uri="{C3380CC4-5D6E-409C-BE32-E72D297353CC}">
              <c16:uniqueId val="{00000007-52A1-42D2-9275-04CD99B5D71B}"/>
            </c:ext>
          </c:extLst>
        </c:ser>
        <c:dLbls>
          <c:showLegendKey val="0"/>
          <c:showVal val="0"/>
          <c:showCatName val="0"/>
          <c:showSerName val="0"/>
          <c:showPercent val="0"/>
          <c:showBubbleSize val="0"/>
        </c:dLbls>
        <c:gapWidth val="150"/>
        <c:axId val="1563742495"/>
        <c:axId val="1309153887"/>
      </c:barChart>
      <c:catAx>
        <c:axId val="1563742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153887"/>
        <c:crosses val="autoZero"/>
        <c:auto val="1"/>
        <c:lblAlgn val="ctr"/>
        <c:lblOffset val="100"/>
        <c:noMultiLvlLbl val="0"/>
      </c:catAx>
      <c:valAx>
        <c:axId val="130915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74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[Kursebi_Sales_Data.xlsx]Pivots!PivotTable8</c:name>
    <c:fmtId val="9"/>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baseline="0"/>
              <a:t>Revenue by Marketing Channel</a:t>
            </a:r>
            <a:endParaRPr lang="en-US" sz="2000" baseline="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Pivots!$H$19</c:f>
              <c:strCache>
                <c:ptCount val="1"/>
                <c:pt idx="0">
                  <c:v>Sum of Net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DA-44DA-8305-AAB4527223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DA-44DA-8305-AAB4527223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DA-44DA-8305-AAB45272234B}"/>
              </c:ext>
            </c:extLst>
          </c:dPt>
          <c:cat>
            <c:strRef>
              <c:f>Pivots!$G$20:$G$23</c:f>
              <c:strCache>
                <c:ptCount val="3"/>
                <c:pt idx="0">
                  <c:v>Facebook</c:v>
                </c:pt>
                <c:pt idx="1">
                  <c:v>Instagram</c:v>
                </c:pt>
                <c:pt idx="2">
                  <c:v>Tiktok</c:v>
                </c:pt>
              </c:strCache>
            </c:strRef>
          </c:cat>
          <c:val>
            <c:numRef>
              <c:f>Pivots!$H$20:$H$23</c:f>
              <c:numCache>
                <c:formatCode>_([$GEL]\ * #,##0.00_);_([$GEL]\ * \(#,##0.00\);_([$GEL]\ * "-"??_);_(@_)</c:formatCode>
                <c:ptCount val="3"/>
                <c:pt idx="0">
                  <c:v>7113.1103999999814</c:v>
                </c:pt>
                <c:pt idx="1">
                  <c:v>5839.4852999999894</c:v>
                </c:pt>
                <c:pt idx="2">
                  <c:v>7133.88554999999</c:v>
                </c:pt>
              </c:numCache>
            </c:numRef>
          </c:val>
          <c:extLst>
            <c:ext xmlns:c16="http://schemas.microsoft.com/office/drawing/2014/chart" uri="{C3380CC4-5D6E-409C-BE32-E72D297353CC}">
              <c16:uniqueId val="{00000006-29DA-44DA-8305-AAB45272234B}"/>
            </c:ext>
          </c:extLst>
        </c:ser>
        <c:ser>
          <c:idx val="1"/>
          <c:order val="1"/>
          <c:tx>
            <c:strRef>
              <c:f>Pivots!$I$19</c:f>
              <c:strCache>
                <c:ptCount val="1"/>
                <c:pt idx="0">
                  <c:v>Sum of Ad Spend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29DA-44DA-8305-AAB4527223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29DA-44DA-8305-AAB4527223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29DA-44DA-8305-AAB45272234B}"/>
              </c:ext>
            </c:extLst>
          </c:dPt>
          <c:cat>
            <c:strRef>
              <c:f>Pivots!$G$20:$G$23</c:f>
              <c:strCache>
                <c:ptCount val="3"/>
                <c:pt idx="0">
                  <c:v>Facebook</c:v>
                </c:pt>
                <c:pt idx="1">
                  <c:v>Instagram</c:v>
                </c:pt>
                <c:pt idx="2">
                  <c:v>Tiktok</c:v>
                </c:pt>
              </c:strCache>
            </c:strRef>
          </c:cat>
          <c:val>
            <c:numRef>
              <c:f>Pivots!$I$20:$I$23</c:f>
              <c:numCache>
                <c:formatCode>General</c:formatCode>
                <c:ptCount val="3"/>
                <c:pt idx="0">
                  <c:v>640</c:v>
                </c:pt>
                <c:pt idx="1">
                  <c:v>690</c:v>
                </c:pt>
                <c:pt idx="2">
                  <c:v>770</c:v>
                </c:pt>
              </c:numCache>
            </c:numRef>
          </c:val>
          <c:extLst>
            <c:ext xmlns:c16="http://schemas.microsoft.com/office/drawing/2014/chart" uri="{C3380CC4-5D6E-409C-BE32-E72D297353CC}">
              <c16:uniqueId val="{0000000D-29DA-44DA-8305-AAB45272234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544750715119653"/>
          <c:y val="0.74840736235348793"/>
          <c:w val="0.29295345381932186"/>
          <c:h val="0.25107484957608656"/>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[Kursebi_Sales_Data.xlsx]Pivots!PivotTable18</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baseline="0"/>
              <a:t>Payment Status Distribution</a:t>
            </a:r>
            <a:endParaRPr lang="en-US" sz="2000" baseline="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Pivots!$H$27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5B-49EA-8596-864D92B99D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5B-49EA-8596-864D92B99D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5B-49EA-8596-864D92B99D27}"/>
              </c:ext>
            </c:extLst>
          </c:dPt>
          <c:cat>
            <c:strRef>
              <c:f>Pivots!$G$28:$G$31</c:f>
              <c:strCache>
                <c:ptCount val="3"/>
                <c:pt idx="0">
                  <c:v>Paid</c:v>
                </c:pt>
                <c:pt idx="1">
                  <c:v>Pending</c:v>
                </c:pt>
                <c:pt idx="2">
                  <c:v>Refunded</c:v>
                </c:pt>
              </c:strCache>
            </c:strRef>
          </c:cat>
          <c:val>
            <c:numRef>
              <c:f>Pivots!$H$28:$H$31</c:f>
              <c:numCache>
                <c:formatCode>General</c:formatCode>
                <c:ptCount val="3"/>
                <c:pt idx="0">
                  <c:v>607</c:v>
                </c:pt>
                <c:pt idx="1">
                  <c:v>292</c:v>
                </c:pt>
                <c:pt idx="2">
                  <c:v>101</c:v>
                </c:pt>
              </c:numCache>
            </c:numRef>
          </c:val>
          <c:extLst>
            <c:ext xmlns:c16="http://schemas.microsoft.com/office/drawing/2014/chart" uri="{C3380CC4-5D6E-409C-BE32-E72D297353CC}">
              <c16:uniqueId val="{00000006-ED5B-49EA-8596-864D92B99D2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785842252632392"/>
          <c:y val="0.25226641663631688"/>
          <c:w val="0.27178775811684408"/>
          <c:h val="0.46551570051116742"/>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[Kursebi_Sales_Data.xlsx]Pivots!PivotTable19</c:name>
    <c:fmtId val="9"/>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baseline="0"/>
              <a:t>Payment Method Distribution</a:t>
            </a:r>
            <a:endParaRPr lang="en-US" sz="2000" baseline="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Pivots!$H$33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40-4939-AE86-459A938A33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40-4939-AE86-459A938A33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40-4939-AE86-459A938A33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40-4939-AE86-459A938A33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340-4939-AE86-459A938A3385}"/>
              </c:ext>
            </c:extLst>
          </c:dPt>
          <c:cat>
            <c:strRef>
              <c:f>Pivots!$G$34:$G$39</c:f>
              <c:strCache>
                <c:ptCount val="5"/>
                <c:pt idx="0">
                  <c:v>Bank Transfer</c:v>
                </c:pt>
                <c:pt idx="1">
                  <c:v>Mastercard Credit</c:v>
                </c:pt>
                <c:pt idx="2">
                  <c:v>Mastercard Debit</c:v>
                </c:pt>
                <c:pt idx="3">
                  <c:v>Visa Credit</c:v>
                </c:pt>
                <c:pt idx="4">
                  <c:v>Visa Debit</c:v>
                </c:pt>
              </c:strCache>
            </c:strRef>
          </c:cat>
          <c:val>
            <c:numRef>
              <c:f>Pivots!$H$34:$H$39</c:f>
              <c:numCache>
                <c:formatCode>General</c:formatCode>
                <c:ptCount val="5"/>
                <c:pt idx="0">
                  <c:v>177</c:v>
                </c:pt>
                <c:pt idx="1">
                  <c:v>203</c:v>
                </c:pt>
                <c:pt idx="2">
                  <c:v>221</c:v>
                </c:pt>
                <c:pt idx="3">
                  <c:v>200</c:v>
                </c:pt>
                <c:pt idx="4">
                  <c:v>199</c:v>
                </c:pt>
              </c:numCache>
            </c:numRef>
          </c:val>
          <c:extLst>
            <c:ext xmlns:c16="http://schemas.microsoft.com/office/drawing/2014/chart" uri="{C3380CC4-5D6E-409C-BE32-E72D297353CC}">
              <c16:uniqueId val="{0000000A-D340-4939-AE86-459A938A338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367597371582248"/>
          <c:y val="0.2805035466521163"/>
          <c:w val="0.26581719436149898"/>
          <c:h val="0.4583612648426742"/>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30480</xdr:rowOff>
    </xdr:from>
    <xdr:to>
      <xdr:col>9</xdr:col>
      <xdr:colOff>7620</xdr:colOff>
      <xdr:row>5</xdr:row>
      <xdr:rowOff>30480</xdr:rowOff>
    </xdr:to>
    <xdr:sp macro="" textlink="">
      <xdr:nvSpPr>
        <xdr:cNvPr id="2" name="TextBox 1">
          <a:extLst>
            <a:ext uri="{FF2B5EF4-FFF2-40B4-BE49-F238E27FC236}">
              <a16:creationId xmlns:a16="http://schemas.microsoft.com/office/drawing/2014/main" id="{06E56BA9-F280-4012-C17C-3FFF98838FF2}"/>
            </a:ext>
          </a:extLst>
        </xdr:cNvPr>
        <xdr:cNvSpPr txBox="1"/>
      </xdr:nvSpPr>
      <xdr:spPr>
        <a:xfrm>
          <a:off x="15240" y="30480"/>
          <a:ext cx="5478780" cy="91440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Project Description:</a:t>
          </a:r>
          <a:br>
            <a:rPr lang="en-US"/>
          </a:br>
          <a:r>
            <a:rPr lang="en-US" i="1"/>
            <a:t>This dataset analyzes course sales performance, customer behavior, revenue generation, payment status, and marketing effectiveness. The analysis focuses on understanding revenue trends, financial performance, and customer acquisition channels.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98612</xdr:colOff>
      <xdr:row>23</xdr:row>
      <xdr:rowOff>72568</xdr:rowOff>
    </xdr:from>
    <xdr:to>
      <xdr:col>6</xdr:col>
      <xdr:colOff>43961</xdr:colOff>
      <xdr:row>33</xdr:row>
      <xdr:rowOff>73268</xdr:rowOff>
    </xdr:to>
    <xdr:sp macro="" textlink="#REF!">
      <xdr:nvSpPr>
        <xdr:cNvPr id="7" name="Rectangle: Rounded Corners 6">
          <a:extLst>
            <a:ext uri="{FF2B5EF4-FFF2-40B4-BE49-F238E27FC236}">
              <a16:creationId xmlns:a16="http://schemas.microsoft.com/office/drawing/2014/main" id="{EAED59E1-4E5C-BDDB-678F-555911C6E992}"/>
            </a:ext>
          </a:extLst>
        </xdr:cNvPr>
        <xdr:cNvSpPr/>
      </xdr:nvSpPr>
      <xdr:spPr>
        <a:xfrm>
          <a:off x="98612" y="951799"/>
          <a:ext cx="4253580" cy="17738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201374</xdr:colOff>
      <xdr:row>23</xdr:row>
      <xdr:rowOff>145140</xdr:rowOff>
    </xdr:from>
    <xdr:to>
      <xdr:col>5</xdr:col>
      <xdr:colOff>581951</xdr:colOff>
      <xdr:row>32</xdr:row>
      <xdr:rowOff>160742</xdr:rowOff>
    </xdr:to>
    <xdr:sp macro="" textlink="Pivots!A6">
      <xdr:nvSpPr>
        <xdr:cNvPr id="8" name="TextBox 7">
          <a:extLst>
            <a:ext uri="{FF2B5EF4-FFF2-40B4-BE49-F238E27FC236}">
              <a16:creationId xmlns:a16="http://schemas.microsoft.com/office/drawing/2014/main" id="{6DBC255D-7A99-32FA-0346-ED2E3E088113}"/>
            </a:ext>
          </a:extLst>
        </xdr:cNvPr>
        <xdr:cNvSpPr txBox="1"/>
      </xdr:nvSpPr>
      <xdr:spPr>
        <a:xfrm>
          <a:off x="201374" y="1024371"/>
          <a:ext cx="3970769" cy="16128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rgbClr val="000000"/>
              </a:solidFill>
              <a:latin typeface="Calibri"/>
              <a:ea typeface="Calibri"/>
              <a:cs typeface="Calibri"/>
            </a:rPr>
            <a:t>Total</a:t>
          </a:r>
          <a:r>
            <a:rPr lang="en-US" sz="2800" b="0" i="0" u="none" strike="noStrike" baseline="0">
              <a:solidFill>
                <a:srgbClr val="000000"/>
              </a:solidFill>
              <a:latin typeface="Calibri"/>
              <a:ea typeface="Calibri"/>
              <a:cs typeface="Calibri"/>
            </a:rPr>
            <a:t> Sales</a:t>
          </a:r>
          <a:endParaRPr lang="en-US" sz="1100" b="0" i="0" u="none" strike="noStrike">
            <a:solidFill>
              <a:srgbClr val="000000"/>
            </a:solidFill>
            <a:latin typeface="Calibri"/>
            <a:ea typeface="Calibri"/>
            <a:cs typeface="Calibri"/>
          </a:endParaRPr>
        </a:p>
        <a:p>
          <a:endParaRPr lang="en-US" sz="2000" b="0" i="0" u="none" strike="noStrike">
            <a:solidFill>
              <a:srgbClr val="000000"/>
            </a:solidFill>
            <a:latin typeface="Calibri"/>
            <a:ea typeface="Calibri"/>
            <a:cs typeface="Calibri"/>
          </a:endParaRPr>
        </a:p>
        <a:p>
          <a:fld id="{97683274-5D64-4AF3-9BA3-416EDB0A5B69}" type="TxLink">
            <a:rPr lang="en-US" sz="2000" b="0" i="0" u="none" strike="noStrike">
              <a:solidFill>
                <a:srgbClr val="000000"/>
              </a:solidFill>
              <a:latin typeface="Calibri"/>
              <a:ea typeface="Calibri"/>
              <a:cs typeface="Calibri"/>
            </a:rPr>
            <a:pPr/>
            <a:t> GEL 23,581.47 </a:t>
          </a:fld>
          <a:endParaRPr lang="en-US" sz="2000" b="0" i="0" u="none" strike="noStrike">
            <a:solidFill>
              <a:srgbClr val="000000"/>
            </a:solidFill>
            <a:latin typeface="Calibri"/>
            <a:ea typeface="Calibri"/>
            <a:cs typeface="Calibri"/>
          </a:endParaRPr>
        </a:p>
        <a:p>
          <a:endParaRPr lang="en-US" sz="2000"/>
        </a:p>
      </xdr:txBody>
    </xdr:sp>
    <xdr:clientData/>
  </xdr:twoCellAnchor>
  <xdr:twoCellAnchor>
    <xdr:from>
      <xdr:col>16</xdr:col>
      <xdr:colOff>266095</xdr:colOff>
      <xdr:row>116</xdr:row>
      <xdr:rowOff>12095</xdr:rowOff>
    </xdr:from>
    <xdr:to>
      <xdr:col>32</xdr:col>
      <xdr:colOff>30268</xdr:colOff>
      <xdr:row>145</xdr:row>
      <xdr:rowOff>102477</xdr:rowOff>
    </xdr:to>
    <xdr:graphicFrame macro="">
      <xdr:nvGraphicFramePr>
        <xdr:cNvPr id="2" name="Chart 1">
          <a:extLst>
            <a:ext uri="{FF2B5EF4-FFF2-40B4-BE49-F238E27FC236}">
              <a16:creationId xmlns:a16="http://schemas.microsoft.com/office/drawing/2014/main" id="{3F470664-A6A6-4B78-A078-65EB33D07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236483</xdr:colOff>
      <xdr:row>82</xdr:row>
      <xdr:rowOff>49930</xdr:rowOff>
    </xdr:from>
    <xdr:to>
      <xdr:col>32</xdr:col>
      <xdr:colOff>131378</xdr:colOff>
      <xdr:row>111</xdr:row>
      <xdr:rowOff>157655</xdr:rowOff>
    </xdr:to>
    <xdr:graphicFrame macro="">
      <xdr:nvGraphicFramePr>
        <xdr:cNvPr id="5" name="Chart 4">
          <a:extLst>
            <a:ext uri="{FF2B5EF4-FFF2-40B4-BE49-F238E27FC236}">
              <a16:creationId xmlns:a16="http://schemas.microsoft.com/office/drawing/2014/main" id="{940C927B-B366-463D-9924-DE245775D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82</xdr:row>
      <xdr:rowOff>48381</xdr:rowOff>
    </xdr:from>
    <xdr:to>
      <xdr:col>15</xdr:col>
      <xdr:colOff>36286</xdr:colOff>
      <xdr:row>111</xdr:row>
      <xdr:rowOff>157655</xdr:rowOff>
    </xdr:to>
    <xdr:graphicFrame macro="">
      <xdr:nvGraphicFramePr>
        <xdr:cNvPr id="9" name="Chart 8">
          <a:extLst>
            <a:ext uri="{FF2B5EF4-FFF2-40B4-BE49-F238E27FC236}">
              <a16:creationId xmlns:a16="http://schemas.microsoft.com/office/drawing/2014/main" id="{EDC33E09-CC60-4ECD-A209-09917A74A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510803</xdr:colOff>
      <xdr:row>50</xdr:row>
      <xdr:rowOff>98605</xdr:rowOff>
    </xdr:from>
    <xdr:to>
      <xdr:col>32</xdr:col>
      <xdr:colOff>325120</xdr:colOff>
      <xdr:row>60</xdr:row>
      <xdr:rowOff>4740</xdr:rowOff>
    </xdr:to>
    <mc:AlternateContent xmlns:mc="http://schemas.openxmlformats.org/markup-compatibility/2006" xmlns:a14="http://schemas.microsoft.com/office/drawing/2010/main">
      <mc:Choice Requires="a14">
        <xdr:graphicFrame macro="">
          <xdr:nvGraphicFramePr>
            <xdr:cNvPr id="11" name="Payment Status">
              <a:extLst>
                <a:ext uri="{FF2B5EF4-FFF2-40B4-BE49-F238E27FC236}">
                  <a16:creationId xmlns:a16="http://schemas.microsoft.com/office/drawing/2014/main" id="{71D45EF4-B804-4EAB-8CF3-C946C5894CF1}"/>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mlns="">
        <xdr:sp macro="" textlink="">
          <xdr:nvSpPr>
            <xdr:cNvPr id="0" name=""/>
            <xdr:cNvSpPr>
              <a:spLocks noTextEdit="1"/>
            </xdr:cNvSpPr>
          </xdr:nvSpPr>
          <xdr:spPr>
            <a:xfrm>
              <a:off x="15692188" y="6995682"/>
              <a:ext cx="7297547" cy="16645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36230</xdr:colOff>
      <xdr:row>62</xdr:row>
      <xdr:rowOff>30968</xdr:rowOff>
    </xdr:from>
    <xdr:to>
      <xdr:col>28</xdr:col>
      <xdr:colOff>448304</xdr:colOff>
      <xdr:row>71</xdr:row>
      <xdr:rowOff>112948</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27FB1B3A-0655-401B-9785-D22845C35A4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880076" y="9038199"/>
              <a:ext cx="9810074" cy="1664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683172</xdr:colOff>
      <xdr:row>62</xdr:row>
      <xdr:rowOff>30968</xdr:rowOff>
    </xdr:from>
    <xdr:to>
      <xdr:col>13</xdr:col>
      <xdr:colOff>636926</xdr:colOff>
      <xdr:row>71</xdr:row>
      <xdr:rowOff>112948</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87A8C9B7-66A4-4125-81FF-8FFAC48AD1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29018" y="9038199"/>
              <a:ext cx="7905908" cy="1664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631632</xdr:colOff>
      <xdr:row>23</xdr:row>
      <xdr:rowOff>101878</xdr:rowOff>
    </xdr:from>
    <xdr:to>
      <xdr:col>14</xdr:col>
      <xdr:colOff>177018</xdr:colOff>
      <xdr:row>33</xdr:row>
      <xdr:rowOff>43963</xdr:rowOff>
    </xdr:to>
    <xdr:sp macro="" textlink="#REF!">
      <xdr:nvSpPr>
        <xdr:cNvPr id="15" name="Rectangle: Rounded Corners 14">
          <a:extLst>
            <a:ext uri="{FF2B5EF4-FFF2-40B4-BE49-F238E27FC236}">
              <a16:creationId xmlns:a16="http://schemas.microsoft.com/office/drawing/2014/main" id="{6A2C186A-44CD-460B-A18A-7A75AD2FBA60}"/>
            </a:ext>
          </a:extLst>
        </xdr:cNvPr>
        <xdr:cNvSpPr/>
      </xdr:nvSpPr>
      <xdr:spPr>
        <a:xfrm>
          <a:off x="5752272" y="2235478"/>
          <a:ext cx="4666026" cy="17708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143300</xdr:colOff>
      <xdr:row>23</xdr:row>
      <xdr:rowOff>156305</xdr:rowOff>
    </xdr:from>
    <xdr:to>
      <xdr:col>13</xdr:col>
      <xdr:colOff>689903</xdr:colOff>
      <xdr:row>32</xdr:row>
      <xdr:rowOff>131885</xdr:rowOff>
    </xdr:to>
    <xdr:sp macro="" textlink="Pivots!B6">
      <xdr:nvSpPr>
        <xdr:cNvPr id="16" name="TextBox 15">
          <a:extLst>
            <a:ext uri="{FF2B5EF4-FFF2-40B4-BE49-F238E27FC236}">
              <a16:creationId xmlns:a16="http://schemas.microsoft.com/office/drawing/2014/main" id="{1738425D-2B94-418E-A2F0-65D840CEF4E3}"/>
            </a:ext>
          </a:extLst>
        </xdr:cNvPr>
        <xdr:cNvSpPr txBox="1"/>
      </xdr:nvSpPr>
      <xdr:spPr>
        <a:xfrm>
          <a:off x="5995460" y="2289905"/>
          <a:ext cx="4204203" cy="162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rgbClr val="000000"/>
              </a:solidFill>
              <a:latin typeface="Calibri"/>
              <a:ea typeface="Calibri"/>
              <a:cs typeface="Calibri"/>
            </a:rPr>
            <a:t>Net Revenue</a:t>
          </a:r>
          <a:br>
            <a:rPr lang="en-US" sz="1100" b="0" i="0" u="none" strike="noStrike">
              <a:solidFill>
                <a:srgbClr val="000000"/>
              </a:solidFill>
              <a:latin typeface="Calibri"/>
              <a:ea typeface="Calibri"/>
              <a:cs typeface="Calibri"/>
            </a:rPr>
          </a:br>
          <a:br>
            <a:rPr lang="en-US" sz="1100" b="0" i="0" u="none" strike="noStrike">
              <a:solidFill>
                <a:srgbClr val="000000"/>
              </a:solidFill>
              <a:latin typeface="Calibri"/>
              <a:ea typeface="Calibri"/>
              <a:cs typeface="Calibri"/>
            </a:rPr>
          </a:br>
          <a:fld id="{7199C6F3-24AF-47CE-AACF-0DC8B3BCAA8A}" type="TxLink">
            <a:rPr lang="en-US" sz="2000" b="0" i="0" u="none" strike="noStrike">
              <a:solidFill>
                <a:srgbClr val="000000"/>
              </a:solidFill>
              <a:latin typeface="Calibri"/>
              <a:ea typeface="Calibri"/>
              <a:cs typeface="Calibri"/>
            </a:rPr>
            <a:pPr/>
            <a:t> GEL 14,735.79 </a:t>
          </a:fld>
          <a:endParaRPr lang="en-US" sz="2000"/>
        </a:p>
      </xdr:txBody>
    </xdr:sp>
    <xdr:clientData/>
  </xdr:twoCellAnchor>
  <xdr:twoCellAnchor>
    <xdr:from>
      <xdr:col>0</xdr:col>
      <xdr:colOff>0</xdr:colOff>
      <xdr:row>116</xdr:row>
      <xdr:rowOff>0</xdr:rowOff>
    </xdr:from>
    <xdr:to>
      <xdr:col>14</xdr:col>
      <xdr:colOff>713619</xdr:colOff>
      <xdr:row>145</xdr:row>
      <xdr:rowOff>63400</xdr:rowOff>
    </xdr:to>
    <xdr:graphicFrame macro="">
      <xdr:nvGraphicFramePr>
        <xdr:cNvPr id="24" name="Chart 23">
          <a:extLst>
            <a:ext uri="{FF2B5EF4-FFF2-40B4-BE49-F238E27FC236}">
              <a16:creationId xmlns:a16="http://schemas.microsoft.com/office/drawing/2014/main" id="{7154AD16-2B04-435C-91F7-5898DF6BB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76200</xdr:colOff>
      <xdr:row>47</xdr:row>
      <xdr:rowOff>114300</xdr:rowOff>
    </xdr:from>
    <xdr:to>
      <xdr:col>49</xdr:col>
      <xdr:colOff>46573</xdr:colOff>
      <xdr:row>77</xdr:row>
      <xdr:rowOff>51349</xdr:rowOff>
    </xdr:to>
    <xdr:graphicFrame macro="">
      <xdr:nvGraphicFramePr>
        <xdr:cNvPr id="26" name="Chart 25">
          <a:extLst>
            <a:ext uri="{FF2B5EF4-FFF2-40B4-BE49-F238E27FC236}">
              <a16:creationId xmlns:a16="http://schemas.microsoft.com/office/drawing/2014/main" id="{B29CD02E-57FD-432A-94F8-38CBC53BB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552450</xdr:colOff>
      <xdr:row>116</xdr:row>
      <xdr:rowOff>95249</xdr:rowOff>
    </xdr:from>
    <xdr:to>
      <xdr:col>49</xdr:col>
      <xdr:colOff>46573</xdr:colOff>
      <xdr:row>145</xdr:row>
      <xdr:rowOff>102476</xdr:rowOff>
    </xdr:to>
    <xdr:graphicFrame macro="">
      <xdr:nvGraphicFramePr>
        <xdr:cNvPr id="27" name="Chart 26">
          <a:extLst>
            <a:ext uri="{FF2B5EF4-FFF2-40B4-BE49-F238E27FC236}">
              <a16:creationId xmlns:a16="http://schemas.microsoft.com/office/drawing/2014/main" id="{B4D47B47-2B02-4667-A7A3-0D49965E2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0</xdr:colOff>
      <xdr:row>82</xdr:row>
      <xdr:rowOff>76200</xdr:rowOff>
    </xdr:from>
    <xdr:to>
      <xdr:col>49</xdr:col>
      <xdr:colOff>46572</xdr:colOff>
      <xdr:row>111</xdr:row>
      <xdr:rowOff>157655</xdr:rowOff>
    </xdr:to>
    <xdr:graphicFrame macro="">
      <xdr:nvGraphicFramePr>
        <xdr:cNvPr id="28" name="Chart 27">
          <a:extLst>
            <a:ext uri="{FF2B5EF4-FFF2-40B4-BE49-F238E27FC236}">
              <a16:creationId xmlns:a16="http://schemas.microsoft.com/office/drawing/2014/main" id="{659F90FA-570E-4C66-AC0F-347F32D09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494714</xdr:colOff>
      <xdr:row>23</xdr:row>
      <xdr:rowOff>27435</xdr:rowOff>
    </xdr:from>
    <xdr:to>
      <xdr:col>22</xdr:col>
      <xdr:colOff>712572</xdr:colOff>
      <xdr:row>33</xdr:row>
      <xdr:rowOff>11818</xdr:rowOff>
    </xdr:to>
    <xdr:sp macro="" textlink="#REF!">
      <xdr:nvSpPr>
        <xdr:cNvPr id="29" name="Rectangle: Rounded Corners 28">
          <a:extLst>
            <a:ext uri="{FF2B5EF4-FFF2-40B4-BE49-F238E27FC236}">
              <a16:creationId xmlns:a16="http://schemas.microsoft.com/office/drawing/2014/main" id="{A2F56EE9-7F74-4987-88E4-0DED609BAA88}"/>
            </a:ext>
          </a:extLst>
        </xdr:cNvPr>
        <xdr:cNvSpPr/>
      </xdr:nvSpPr>
      <xdr:spPr>
        <a:xfrm>
          <a:off x="12199034" y="1856235"/>
          <a:ext cx="4606978" cy="18131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18299</xdr:colOff>
      <xdr:row>23</xdr:row>
      <xdr:rowOff>81864</xdr:rowOff>
    </xdr:from>
    <xdr:to>
      <xdr:col>22</xdr:col>
      <xdr:colOff>480060</xdr:colOff>
      <xdr:row>32</xdr:row>
      <xdr:rowOff>86751</xdr:rowOff>
    </xdr:to>
    <xdr:sp macro="" textlink="Pivots!C6">
      <xdr:nvSpPr>
        <xdr:cNvPr id="30" name="TextBox 29">
          <a:extLst>
            <a:ext uri="{FF2B5EF4-FFF2-40B4-BE49-F238E27FC236}">
              <a16:creationId xmlns:a16="http://schemas.microsoft.com/office/drawing/2014/main" id="{58B789A2-6C12-44C0-9E97-0BDED2112CF4}"/>
            </a:ext>
          </a:extLst>
        </xdr:cNvPr>
        <xdr:cNvSpPr txBox="1"/>
      </xdr:nvSpPr>
      <xdr:spPr>
        <a:xfrm>
          <a:off x="12454139" y="1910664"/>
          <a:ext cx="4119361" cy="1650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rgbClr val="000000"/>
              </a:solidFill>
              <a:latin typeface="Calibri"/>
              <a:ea typeface="Calibri"/>
              <a:cs typeface="Calibri"/>
            </a:rPr>
            <a:t>Expected Revenue</a:t>
          </a:r>
        </a:p>
        <a:p>
          <a:br>
            <a:rPr lang="en-US" sz="2000" b="0" i="0" u="none" strike="noStrike">
              <a:solidFill>
                <a:srgbClr val="000000"/>
              </a:solidFill>
              <a:latin typeface="Calibri"/>
              <a:ea typeface="Calibri"/>
              <a:cs typeface="Calibri"/>
            </a:rPr>
          </a:br>
          <a:fld id="{5A4426AC-E9FA-439A-923B-2947229F8B26}" type="TxLink">
            <a:rPr lang="en-US" sz="2000" b="0" i="0" u="none" strike="noStrike">
              <a:solidFill>
                <a:srgbClr val="000000"/>
              </a:solidFill>
              <a:latin typeface="Calibri"/>
              <a:ea typeface="Calibri"/>
              <a:cs typeface="Calibri"/>
            </a:rPr>
            <a:pPr/>
            <a:t> GEL 9,369.88 </a:t>
          </a:fld>
          <a:endParaRPr lang="en-US" sz="2000"/>
        </a:p>
      </xdr:txBody>
    </xdr:sp>
    <xdr:clientData/>
  </xdr:twoCellAnchor>
  <xdr:twoCellAnchor>
    <xdr:from>
      <xdr:col>24</xdr:col>
      <xdr:colOff>476081</xdr:colOff>
      <xdr:row>23</xdr:row>
      <xdr:rowOff>71396</xdr:rowOff>
    </xdr:from>
    <xdr:to>
      <xdr:col>32</xdr:col>
      <xdr:colOff>427890</xdr:colOff>
      <xdr:row>33</xdr:row>
      <xdr:rowOff>72097</xdr:rowOff>
    </xdr:to>
    <xdr:sp macro="" textlink="#REF!">
      <xdr:nvSpPr>
        <xdr:cNvPr id="31" name="Rectangle: Rounded Corners 30">
          <a:extLst>
            <a:ext uri="{FF2B5EF4-FFF2-40B4-BE49-F238E27FC236}">
              <a16:creationId xmlns:a16="http://schemas.microsoft.com/office/drawing/2014/main" id="{E93291D1-5E44-42E7-890B-C80B376D1C3F}"/>
            </a:ext>
          </a:extLst>
        </xdr:cNvPr>
        <xdr:cNvSpPr/>
      </xdr:nvSpPr>
      <xdr:spPr>
        <a:xfrm>
          <a:off x="18032561" y="1900196"/>
          <a:ext cx="5316289" cy="18295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665871</xdr:colOff>
      <xdr:row>23</xdr:row>
      <xdr:rowOff>116059</xdr:rowOff>
    </xdr:from>
    <xdr:to>
      <xdr:col>32</xdr:col>
      <xdr:colOff>213360</xdr:colOff>
      <xdr:row>32</xdr:row>
      <xdr:rowOff>1</xdr:rowOff>
    </xdr:to>
    <xdr:sp macro="" textlink="Pivots!E6">
      <xdr:nvSpPr>
        <xdr:cNvPr id="32" name="TextBox 31">
          <a:extLst>
            <a:ext uri="{FF2B5EF4-FFF2-40B4-BE49-F238E27FC236}">
              <a16:creationId xmlns:a16="http://schemas.microsoft.com/office/drawing/2014/main" id="{B38E7565-8F07-4D8F-9CC0-E05EC44D1B5D}"/>
            </a:ext>
          </a:extLst>
        </xdr:cNvPr>
        <xdr:cNvSpPr txBox="1"/>
      </xdr:nvSpPr>
      <xdr:spPr>
        <a:xfrm>
          <a:off x="18222351" y="2249659"/>
          <a:ext cx="4911969" cy="15298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a:solidFill>
                <a:schemeClr val="dk1"/>
              </a:solidFill>
              <a:effectLst/>
              <a:latin typeface="+mn-lt"/>
              <a:ea typeface="+mn-ea"/>
              <a:cs typeface="+mn-cs"/>
            </a:rPr>
            <a:t>Refund Amount</a:t>
          </a:r>
          <a:endParaRPr lang="en-US" sz="2400" b="0" i="0" u="none" strike="noStrike">
            <a:solidFill>
              <a:srgbClr val="000000"/>
            </a:solidFill>
            <a:latin typeface="Calibri"/>
            <a:ea typeface="Calibri"/>
            <a:cs typeface="Calibri"/>
          </a:endParaRPr>
        </a:p>
        <a:p>
          <a:endParaRPr lang="en-US" sz="1100" b="0" i="0" u="none" strike="noStrike">
            <a:solidFill>
              <a:srgbClr val="000000"/>
            </a:solidFill>
            <a:latin typeface="Calibri"/>
            <a:ea typeface="Calibri"/>
            <a:cs typeface="Calibri"/>
          </a:endParaRPr>
        </a:p>
        <a:p>
          <a:endParaRPr lang="en-US" sz="1800" b="0" i="0" u="none" strike="noStrike">
            <a:solidFill>
              <a:srgbClr val="000000"/>
            </a:solidFill>
            <a:latin typeface="Calibri"/>
            <a:ea typeface="Calibri"/>
            <a:cs typeface="Calibri"/>
          </a:endParaRPr>
        </a:p>
        <a:p>
          <a:fld id="{23F9FB20-6C10-4B7B-8501-3A01F159DC66}" type="TxLink">
            <a:rPr lang="en-US" sz="1800" b="0" i="0" u="none" strike="noStrike">
              <a:solidFill>
                <a:srgbClr val="000000"/>
              </a:solidFill>
              <a:latin typeface="Calibri"/>
              <a:ea typeface="Calibri"/>
              <a:cs typeface="Calibri"/>
            </a:rPr>
            <a:pPr/>
            <a:t> GEL 1,526.70 </a:t>
          </a:fld>
          <a:endParaRPr lang="en-US" sz="1800"/>
        </a:p>
      </xdr:txBody>
    </xdr:sp>
    <xdr:clientData/>
  </xdr:twoCellAnchor>
  <xdr:twoCellAnchor editAs="oneCell">
    <xdr:from>
      <xdr:col>0</xdr:col>
      <xdr:colOff>0</xdr:colOff>
      <xdr:row>50</xdr:row>
      <xdr:rowOff>98605</xdr:rowOff>
    </xdr:from>
    <xdr:to>
      <xdr:col>10</xdr:col>
      <xdr:colOff>81643</xdr:colOff>
      <xdr:row>60</xdr:row>
      <xdr:rowOff>22405</xdr:rowOff>
    </xdr:to>
    <mc:AlternateContent xmlns:mc="http://schemas.openxmlformats.org/markup-compatibility/2006" xmlns:a14="http://schemas.microsoft.com/office/drawing/2010/main">
      <mc:Choice Requires="a14">
        <xdr:graphicFrame macro="">
          <xdr:nvGraphicFramePr>
            <xdr:cNvPr id="35" name="Course">
              <a:extLst>
                <a:ext uri="{FF2B5EF4-FFF2-40B4-BE49-F238E27FC236}">
                  <a16:creationId xmlns:a16="http://schemas.microsoft.com/office/drawing/2014/main" id="{8ED34F55-ACA1-4CCB-B336-982BF55E26F7}"/>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0" y="6995682"/>
              <a:ext cx="7310874" cy="1682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697230</xdr:colOff>
      <xdr:row>50</xdr:row>
      <xdr:rowOff>98605</xdr:rowOff>
    </xdr:from>
    <xdr:to>
      <xdr:col>21</xdr:col>
      <xdr:colOff>15108</xdr:colOff>
      <xdr:row>60</xdr:row>
      <xdr:rowOff>4740</xdr:rowOff>
    </xdr:to>
    <mc:AlternateContent xmlns:mc="http://schemas.openxmlformats.org/markup-compatibility/2006" xmlns:a14="http://schemas.microsoft.com/office/drawing/2010/main">
      <mc:Choice Requires="a14">
        <xdr:graphicFrame macro="">
          <xdr:nvGraphicFramePr>
            <xdr:cNvPr id="36" name="Marketing Channel">
              <a:extLst>
                <a:ext uri="{FF2B5EF4-FFF2-40B4-BE49-F238E27FC236}">
                  <a16:creationId xmlns:a16="http://schemas.microsoft.com/office/drawing/2014/main" id="{34FDB1A9-F9A5-471B-941F-07F323680573}"/>
                </a:ext>
              </a:extLst>
            </xdr:cNvPr>
            <xdr:cNvGraphicFramePr/>
          </xdr:nvGraphicFramePr>
          <xdr:xfrm>
            <a:off x="0" y="0"/>
            <a:ext cx="0" cy="0"/>
          </xdr:xfrm>
          <a:graphic>
            <a:graphicData uri="http://schemas.microsoft.com/office/drawing/2010/slicer">
              <sle:slicer xmlns:sle="http://schemas.microsoft.com/office/drawing/2010/slicer" name="Marketing Channel"/>
            </a:graphicData>
          </a:graphic>
        </xdr:graphicFrame>
      </mc:Choice>
      <mc:Fallback xmlns="">
        <xdr:sp macro="" textlink="">
          <xdr:nvSpPr>
            <xdr:cNvPr id="0" name=""/>
            <xdr:cNvSpPr>
              <a:spLocks noTextEdit="1"/>
            </xdr:cNvSpPr>
          </xdr:nvSpPr>
          <xdr:spPr>
            <a:xfrm>
              <a:off x="7926461" y="6995682"/>
              <a:ext cx="7270032" cy="16645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0</xdr:rowOff>
    </xdr:from>
    <xdr:to>
      <xdr:col>4</xdr:col>
      <xdr:colOff>358140</xdr:colOff>
      <xdr:row>6</xdr:row>
      <xdr:rowOff>99060</xdr:rowOff>
    </xdr:to>
    <xdr:sp macro="" textlink="">
      <xdr:nvSpPr>
        <xdr:cNvPr id="2" name="TextBox 1">
          <a:extLst>
            <a:ext uri="{FF2B5EF4-FFF2-40B4-BE49-F238E27FC236}">
              <a16:creationId xmlns:a16="http://schemas.microsoft.com/office/drawing/2014/main" id="{8A47B42A-B3B2-4A0F-94FD-EB99A45A4D16}"/>
            </a:ext>
          </a:extLst>
        </xdr:cNvPr>
        <xdr:cNvSpPr txBox="1"/>
      </xdr:nvSpPr>
      <xdr:spPr>
        <a:xfrm>
          <a:off x="7620" y="0"/>
          <a:ext cx="3451860" cy="119634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KPI Summary</a:t>
          </a:r>
          <a:br>
            <a:rPr lang="en-US"/>
          </a:br>
          <a:r>
            <a:rPr lang="en-US" i="1"/>
            <a:t>This summary provides key business and financial metrics to evaluate sales performance, revenue generation, customer acquisition, discounts, operational costs, and marketing expenses.</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xdr:colOff>
      <xdr:row>0</xdr:row>
      <xdr:rowOff>22860</xdr:rowOff>
    </xdr:from>
    <xdr:to>
      <xdr:col>4</xdr:col>
      <xdr:colOff>144780</xdr:colOff>
      <xdr:row>5</xdr:row>
      <xdr:rowOff>121920</xdr:rowOff>
    </xdr:to>
    <xdr:sp macro="" textlink="">
      <xdr:nvSpPr>
        <xdr:cNvPr id="2" name="TextBox 1">
          <a:extLst>
            <a:ext uri="{FF2B5EF4-FFF2-40B4-BE49-F238E27FC236}">
              <a16:creationId xmlns:a16="http://schemas.microsoft.com/office/drawing/2014/main" id="{FE10A3C8-6A65-2C6A-CD67-8D77211E2AC0}"/>
            </a:ext>
          </a:extLst>
        </xdr:cNvPr>
        <xdr:cNvSpPr txBox="1"/>
      </xdr:nvSpPr>
      <xdr:spPr>
        <a:xfrm>
          <a:off x="30480" y="22860"/>
          <a:ext cx="3314700" cy="101346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Payment Method </a:t>
          </a:r>
          <a:r>
            <a:rPr lang="en-US" sz="1100" b="1">
              <a:solidFill>
                <a:schemeClr val="dk1"/>
              </a:solidFill>
              <a:latin typeface="+mn-lt"/>
              <a:ea typeface="+mn-ea"/>
              <a:cs typeface="+mn-cs"/>
            </a:rPr>
            <a:t>Reference</a:t>
          </a:r>
          <a:br>
            <a:rPr lang="en-US"/>
          </a:br>
          <a:r>
            <a:rPr lang="en-US" i="1"/>
            <a:t>This table defines the transaction fees associated with each payment method. These fees are used to calculate bank commission expenses and determine net revenue.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0</xdr:row>
      <xdr:rowOff>22860</xdr:rowOff>
    </xdr:from>
    <xdr:to>
      <xdr:col>3</xdr:col>
      <xdr:colOff>944880</xdr:colOff>
      <xdr:row>5</xdr:row>
      <xdr:rowOff>121920</xdr:rowOff>
    </xdr:to>
    <xdr:sp macro="" textlink="">
      <xdr:nvSpPr>
        <xdr:cNvPr id="2" name="TextBox 1">
          <a:extLst>
            <a:ext uri="{FF2B5EF4-FFF2-40B4-BE49-F238E27FC236}">
              <a16:creationId xmlns:a16="http://schemas.microsoft.com/office/drawing/2014/main" id="{BDFAD67C-E879-4DF4-BBA0-A766C5E14714}"/>
            </a:ext>
          </a:extLst>
        </xdr:cNvPr>
        <xdr:cNvSpPr txBox="1"/>
      </xdr:nvSpPr>
      <xdr:spPr>
        <a:xfrm>
          <a:off x="7620" y="22860"/>
          <a:ext cx="3451860" cy="101346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Holiday Discounts Reference</a:t>
          </a:r>
          <a:br>
            <a:rPr lang="en-US"/>
          </a:br>
          <a:r>
            <a:rPr lang="en-US" i="1"/>
            <a:t>This table contains holiday-based discount campaigns and their applicable discount rates. It is used to identify promotional periods and apply discounts to sales transactions.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7620</xdr:rowOff>
    </xdr:from>
    <xdr:to>
      <xdr:col>5</xdr:col>
      <xdr:colOff>541020</xdr:colOff>
      <xdr:row>5</xdr:row>
      <xdr:rowOff>106680</xdr:rowOff>
    </xdr:to>
    <xdr:sp macro="" textlink="">
      <xdr:nvSpPr>
        <xdr:cNvPr id="2" name="TextBox 1">
          <a:extLst>
            <a:ext uri="{FF2B5EF4-FFF2-40B4-BE49-F238E27FC236}">
              <a16:creationId xmlns:a16="http://schemas.microsoft.com/office/drawing/2014/main" id="{7DE0F95D-D85B-4513-8309-3CAA896B941F}"/>
            </a:ext>
          </a:extLst>
        </xdr:cNvPr>
        <xdr:cNvSpPr txBox="1"/>
      </xdr:nvSpPr>
      <xdr:spPr>
        <a:xfrm>
          <a:off x="0" y="7620"/>
          <a:ext cx="4602480" cy="101346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Courses Reference</a:t>
          </a:r>
          <a:br>
            <a:rPr lang="en-US"/>
          </a:br>
          <a:r>
            <a:rPr lang="en-US" i="1"/>
            <a:t>This table contains information about available courses, including course identifiers, categories, and standard prices. It is used as a reference table to connect course details with sales transactions.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3.062998958332" createdVersion="8" refreshedVersion="8" minRefreshableVersion="3" recordCount="1000" xr:uid="{09EC28D3-F35F-4468-924D-50F128115DA2}">
  <cacheSource type="worksheet">
    <worksheetSource name="Sales_Data"/>
  </cacheSource>
  <cacheFields count="25">
    <cacheField name="Sales ID" numFmtId="0">
      <sharedItems containsSemiMixedTypes="0" containsString="0" containsNumber="1" containsInteger="1" minValue="1" maxValue="1000"/>
    </cacheField>
    <cacheField name="Order Date" numFmtId="14">
      <sharedItems containsSemiMixedTypes="0" containsNonDate="0" containsDate="1" containsString="0" minDate="2026-01-01T00:00:00" maxDate="2026-07-31T00:00:00"/>
    </cacheField>
    <cacheField name="Payment Date" numFmtId="14">
      <sharedItems containsSemiMixedTypes="0" containsNonDate="0" containsDate="1" containsString="0" minDate="2026-01-02T00:00:00" maxDate="2026-07-31T00:00:00"/>
    </cacheField>
    <cacheField name="Month" numFmtId="14">
      <sharedItems count="7">
        <s v="March"/>
        <s v="June"/>
        <s v="July"/>
        <s v="May"/>
        <s v="January"/>
        <s v="April"/>
        <s v="February"/>
      </sharedItems>
    </cacheField>
    <cacheField name="Customer ID" numFmtId="0">
      <sharedItems/>
    </cacheField>
    <cacheField name="Customer Type" numFmtId="0">
      <sharedItems/>
    </cacheField>
    <cacheField name="Gender" numFmtId="0">
      <sharedItems count="3">
        <s v="Female"/>
        <s v="Not specified"/>
        <s v="Male"/>
      </sharedItems>
    </cacheField>
    <cacheField name="City" numFmtId="0">
      <sharedItems count="8">
        <s v="Gori"/>
        <s v="Batumi"/>
        <s v="Kutaisi"/>
        <s v="Poti"/>
        <s v="Rustavi"/>
        <s v="Telavi"/>
        <s v="Zugdidi"/>
        <s v="Tbilisi"/>
      </sharedItems>
    </cacheField>
    <cacheField name="Course" numFmtId="0">
      <sharedItems count="8">
        <s v="Tax Code"/>
        <s v="Adolescent Psychology"/>
        <s v="Microsoft Word"/>
        <s v="Power BI"/>
        <s v="Complete Excel Course"/>
        <s v="PowerPoint"/>
        <s v="Excel Basics"/>
        <s v="SQL"/>
      </sharedItems>
    </cacheField>
    <cacheField name="Category" numFmtId="0">
      <sharedItems count="4">
        <s v="Finance &amp; Taxation"/>
        <s v="Psychology"/>
        <s v="Microsoft Office"/>
        <s v="Data Analytics"/>
      </sharedItems>
    </cacheField>
    <cacheField name="Original Price" numFmtId="164">
      <sharedItems containsSemiMixedTypes="0" containsString="0" containsNumber="1" containsInteger="1" minValue="29" maxValue="99"/>
    </cacheField>
    <cacheField name="Payment Status" numFmtId="0">
      <sharedItems count="3">
        <s v="Pending"/>
        <s v="Paid"/>
        <s v="Refunded"/>
      </sharedItems>
    </cacheField>
    <cacheField name="Payment Method" numFmtId="165">
      <sharedItems count="5">
        <s v="Visa Debit"/>
        <s v="Bank Transfer"/>
        <s v="Visa Credit"/>
        <s v="Mastercard Debit"/>
        <s v="Mastercard Credit"/>
      </sharedItems>
    </cacheField>
    <cacheField name="Discount Amount" numFmtId="164">
      <sharedItems containsSemiMixedTypes="0" containsString="0" containsNumber="1" containsInteger="1" minValue="0" maxValue="20"/>
    </cacheField>
    <cacheField name="Final Paid Amount" numFmtId="164">
      <sharedItems containsSemiMixedTypes="0" containsString="0" containsNumber="1" containsInteger="1" minValue="-1121" maxValue="99"/>
    </cacheField>
    <cacheField name="Total Sales" numFmtId="164">
      <sharedItems containsSemiMixedTypes="0" containsString="0" containsNumber="1" minValue="-1121" maxValue="99"/>
    </cacheField>
    <cacheField name="Expected Revenue" numFmtId="164">
      <sharedItems containsSemiMixedTypes="0" containsString="0" containsNumber="1" minValue="-1109.79" maxValue="98.01"/>
    </cacheField>
    <cacheField name="Bank Commission %" numFmtId="165">
      <sharedItems containsSemiMixedTypes="0" containsString="0" containsNumber="1" minValue="0" maxValue="3.5000000000000003E-2"/>
    </cacheField>
    <cacheField name="Bank Commision Amount" numFmtId="164">
      <sharedItems containsSemiMixedTypes="0" containsString="0" containsNumber="1" minValue="-39.2349999999999" maxValue="3.4650000000000034"/>
    </cacheField>
    <cacheField name="Income Tax %" numFmtId="165">
      <sharedItems containsSemiMixedTypes="0" containsString="0" containsNumber="1" minValue="0.01" maxValue="0.01"/>
    </cacheField>
    <cacheField name="Income Tax amount" numFmtId="164">
      <sharedItems containsSemiMixedTypes="0" containsString="0" containsNumber="1" minValue="-11.210000000000036" maxValue="0.98999999999999488"/>
    </cacheField>
    <cacheField name="Refund Amount" numFmtId="164">
      <sharedItems containsSemiMixedTypes="0" containsString="0" containsNumber="1" minValue="-1087.5942" maxValue="98.01"/>
    </cacheField>
    <cacheField name="Net Revenue" numFmtId="164">
      <sharedItems containsSemiMixedTypes="0" containsString="0" containsNumber="1" minValue="-1109.79" maxValue="98.01"/>
    </cacheField>
    <cacheField name="Marketing Channel" numFmtId="0">
      <sharedItems count="3">
        <s v="Tiktok"/>
        <s v="Instagram"/>
        <s v="Facebook"/>
      </sharedItems>
    </cacheField>
    <cacheField name="Ad Spend" numFmtId="164">
      <sharedItems containsMixedTypes="1" containsNumber="1" containsInteger="1" minValue="10" maxValue="10"/>
    </cacheField>
  </cacheFields>
  <extLst>
    <ext xmlns:x14="http://schemas.microsoft.com/office/spreadsheetml/2009/9/main" uri="{725AE2AE-9491-48be-B2B4-4EB974FC3084}">
      <x14:pivotCacheDefinition pivotCacheId="1904892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6-02-28T00:00:00"/>
    <d v="2026-03-04T00:00:00"/>
    <x v="0"/>
    <s v="STU-32"/>
    <s v="New Customer"/>
    <x v="0"/>
    <x v="0"/>
    <x v="0"/>
    <x v="0"/>
    <n v="59"/>
    <x v="0"/>
    <x v="0"/>
    <n v="0"/>
    <n v="59"/>
    <n v="57.82"/>
    <n v="59"/>
    <n v="0.02"/>
    <n v="1.1799999999999997"/>
    <n v="0.01"/>
    <n v="0.57820000000000249"/>
    <n v="0"/>
    <n v="0"/>
    <x v="0"/>
    <s v=""/>
  </r>
  <r>
    <n v="2"/>
    <d v="2026-06-25T00:00:00"/>
    <d v="2026-06-29T00:00:00"/>
    <x v="1"/>
    <s v="STU-848"/>
    <s v="New Customer"/>
    <x v="1"/>
    <x v="1"/>
    <x v="1"/>
    <x v="1"/>
    <n v="29"/>
    <x v="1"/>
    <x v="1"/>
    <n v="0"/>
    <n v="29"/>
    <n v="29"/>
    <n v="0"/>
    <n v="0"/>
    <n v="0"/>
    <n v="0.01"/>
    <n v="0.28999999999999915"/>
    <n v="0"/>
    <n v="28.71"/>
    <x v="1"/>
    <s v=""/>
  </r>
  <r>
    <n v="3"/>
    <d v="2026-07-30T00:00:00"/>
    <d v="2026-07-30T00:00:00"/>
    <x v="2"/>
    <s v="STU-909"/>
    <s v="New Customer"/>
    <x v="1"/>
    <x v="2"/>
    <x v="2"/>
    <x v="2"/>
    <n v="29"/>
    <x v="0"/>
    <x v="1"/>
    <n v="0"/>
    <n v="29"/>
    <n v="29"/>
    <n v="28.71"/>
    <n v="0"/>
    <n v="0"/>
    <n v="0.01"/>
    <n v="0.28999999999999915"/>
    <n v="0"/>
    <n v="0"/>
    <x v="1"/>
    <s v=""/>
  </r>
  <r>
    <n v="4"/>
    <d v="2026-05-17T00:00:00"/>
    <d v="2026-05-21T00:00:00"/>
    <x v="3"/>
    <s v="STU-464"/>
    <s v="New Customer"/>
    <x v="1"/>
    <x v="2"/>
    <x v="3"/>
    <x v="3"/>
    <n v="59"/>
    <x v="0"/>
    <x v="2"/>
    <n v="0"/>
    <n v="59"/>
    <n v="56.935000000000002"/>
    <n v="56.365650000000002"/>
    <n v="3.5000000000000003E-2"/>
    <n v="2.0649999999999977"/>
    <n v="0.01"/>
    <n v="0.56935000000000002"/>
    <n v="0"/>
    <n v="0"/>
    <x v="2"/>
    <n v="10"/>
  </r>
  <r>
    <n v="5"/>
    <d v="2026-01-09T00:00:00"/>
    <d v="2026-01-13T00:00:00"/>
    <x v="4"/>
    <s v="STU-881"/>
    <s v="New Customer"/>
    <x v="1"/>
    <x v="3"/>
    <x v="4"/>
    <x v="2"/>
    <n v="59"/>
    <x v="2"/>
    <x v="2"/>
    <n v="0"/>
    <n v="59"/>
    <n v="56.935000000000002"/>
    <n v="0"/>
    <n v="3.5000000000000003E-2"/>
    <n v="2.0649999999999977"/>
    <n v="0.01"/>
    <n v="0.56935000000000002"/>
    <n v="56.365650000000002"/>
    <n v="0"/>
    <x v="1"/>
    <s v=""/>
  </r>
  <r>
    <n v="6"/>
    <d v="2026-04-14T00:00:00"/>
    <d v="2026-04-14T00:00:00"/>
    <x v="5"/>
    <s v="STU-352"/>
    <s v="New Customer"/>
    <x v="0"/>
    <x v="4"/>
    <x v="3"/>
    <x v="3"/>
    <n v="59"/>
    <x v="1"/>
    <x v="1"/>
    <n v="0"/>
    <n v="59"/>
    <n v="59"/>
    <n v="0"/>
    <n v="0"/>
    <n v="0"/>
    <n v="0.01"/>
    <n v="0.59000000000000341"/>
    <n v="0"/>
    <n v="58.41"/>
    <x v="2"/>
    <s v=""/>
  </r>
  <r>
    <n v="7"/>
    <d v="2026-05-13T00:00:00"/>
    <d v="2026-05-14T00:00:00"/>
    <x v="3"/>
    <s v="STU-331"/>
    <s v="New Customer"/>
    <x v="2"/>
    <x v="3"/>
    <x v="5"/>
    <x v="2"/>
    <n v="29"/>
    <x v="0"/>
    <x v="3"/>
    <n v="0"/>
    <n v="29"/>
    <n v="28.42"/>
    <n v="28.135800000000003"/>
    <n v="0.02"/>
    <n v="0.57999999999999829"/>
    <n v="0.01"/>
    <n v="0.28419999999999845"/>
    <n v="0"/>
    <n v="0"/>
    <x v="2"/>
    <n v="10"/>
  </r>
  <r>
    <n v="8"/>
    <d v="2026-01-17T00:00:00"/>
    <d v="2026-01-18T00:00:00"/>
    <x v="4"/>
    <s v="STU-98"/>
    <s v="New Customer"/>
    <x v="1"/>
    <x v="5"/>
    <x v="0"/>
    <x v="0"/>
    <n v="59"/>
    <x v="0"/>
    <x v="2"/>
    <n v="0"/>
    <n v="59"/>
    <n v="56.935000000000002"/>
    <n v="56.365650000000002"/>
    <n v="3.5000000000000003E-2"/>
    <n v="2.0649999999999977"/>
    <n v="0.01"/>
    <n v="0.56935000000000002"/>
    <n v="0"/>
    <n v="0"/>
    <x v="1"/>
    <s v=""/>
  </r>
  <r>
    <n v="9"/>
    <d v="2026-06-05T00:00:00"/>
    <d v="2026-06-07T00:00:00"/>
    <x v="1"/>
    <s v="STU-151"/>
    <s v="New Customer"/>
    <x v="0"/>
    <x v="0"/>
    <x v="2"/>
    <x v="2"/>
    <n v="29"/>
    <x v="2"/>
    <x v="4"/>
    <n v="0"/>
    <n v="29"/>
    <n v="27.984999999999999"/>
    <n v="0"/>
    <n v="3.5000000000000003E-2"/>
    <n v="1.0150000000000006"/>
    <n v="0.01"/>
    <n v="0.27984999999999971"/>
    <n v="27.70515"/>
    <n v="0"/>
    <x v="2"/>
    <s v=""/>
  </r>
  <r>
    <n v="10"/>
    <d v="2026-01-15T00:00:00"/>
    <d v="2026-01-20T00:00:00"/>
    <x v="4"/>
    <s v="STU-399"/>
    <s v="New Customer"/>
    <x v="2"/>
    <x v="1"/>
    <x v="5"/>
    <x v="2"/>
    <n v="29"/>
    <x v="1"/>
    <x v="3"/>
    <n v="0"/>
    <n v="29"/>
    <n v="28.42"/>
    <n v="0"/>
    <n v="0.02"/>
    <n v="0.57999999999999829"/>
    <n v="0.01"/>
    <n v="0.28419999999999845"/>
    <n v="0"/>
    <n v="28.135800000000003"/>
    <x v="2"/>
    <s v=""/>
  </r>
  <r>
    <n v="11"/>
    <d v="2026-07-25T00:00:00"/>
    <d v="2026-07-28T00:00:00"/>
    <x v="2"/>
    <s v="STU-860"/>
    <s v="New Customer"/>
    <x v="1"/>
    <x v="2"/>
    <x v="6"/>
    <x v="2"/>
    <n v="29"/>
    <x v="1"/>
    <x v="3"/>
    <n v="0"/>
    <n v="29"/>
    <n v="28.42"/>
    <n v="0"/>
    <n v="0.02"/>
    <n v="0.57999999999999829"/>
    <n v="0.01"/>
    <n v="0.28419999999999845"/>
    <n v="0"/>
    <n v="28.135800000000003"/>
    <x v="2"/>
    <s v=""/>
  </r>
  <r>
    <n v="12"/>
    <d v="2026-04-04T00:00:00"/>
    <d v="2026-04-04T00:00:00"/>
    <x v="5"/>
    <s v="STU-345"/>
    <s v="New Customer"/>
    <x v="0"/>
    <x v="3"/>
    <x v="1"/>
    <x v="1"/>
    <n v="29"/>
    <x v="1"/>
    <x v="4"/>
    <n v="0"/>
    <n v="29"/>
    <n v="27.984999999999999"/>
    <n v="0"/>
    <n v="3.5000000000000003E-2"/>
    <n v="1.0150000000000006"/>
    <n v="0.01"/>
    <n v="0.27984999999999971"/>
    <n v="0"/>
    <n v="27.70515"/>
    <x v="1"/>
    <s v=""/>
  </r>
  <r>
    <n v="13"/>
    <d v="2026-06-06T00:00:00"/>
    <d v="2026-06-08T00:00:00"/>
    <x v="1"/>
    <s v="STU-244"/>
    <s v="New Customer"/>
    <x v="0"/>
    <x v="2"/>
    <x v="7"/>
    <x v="3"/>
    <n v="99"/>
    <x v="1"/>
    <x v="4"/>
    <n v="0"/>
    <n v="99"/>
    <n v="95.534999999999997"/>
    <n v="0"/>
    <n v="3.5000000000000003E-2"/>
    <n v="3.4650000000000034"/>
    <n v="0.01"/>
    <n v="0.9553499999999957"/>
    <n v="0"/>
    <n v="94.579650000000001"/>
    <x v="2"/>
    <n v="10"/>
  </r>
  <r>
    <n v="14"/>
    <d v="2026-04-25T00:00:00"/>
    <d v="2026-04-27T00:00:00"/>
    <x v="5"/>
    <s v="STU-50"/>
    <s v="New Customer"/>
    <x v="0"/>
    <x v="4"/>
    <x v="6"/>
    <x v="2"/>
    <n v="29"/>
    <x v="1"/>
    <x v="1"/>
    <n v="0"/>
    <n v="29"/>
    <n v="29"/>
    <n v="0"/>
    <n v="0"/>
    <n v="0"/>
    <n v="0.01"/>
    <n v="0.28999999999999915"/>
    <n v="0"/>
    <n v="28.71"/>
    <x v="1"/>
    <s v=""/>
  </r>
  <r>
    <n v="15"/>
    <d v="2026-04-09T00:00:00"/>
    <d v="2026-04-09T00:00:00"/>
    <x v="5"/>
    <s v="STU-504"/>
    <s v="New Customer"/>
    <x v="2"/>
    <x v="0"/>
    <x v="4"/>
    <x v="2"/>
    <n v="59"/>
    <x v="1"/>
    <x v="4"/>
    <n v="0"/>
    <n v="59"/>
    <n v="56.935000000000002"/>
    <n v="0"/>
    <n v="3.5000000000000003E-2"/>
    <n v="2.0649999999999977"/>
    <n v="0.01"/>
    <n v="0.56935000000000002"/>
    <n v="0"/>
    <n v="56.365650000000002"/>
    <x v="2"/>
    <s v=""/>
  </r>
  <r>
    <n v="16"/>
    <d v="2026-05-03T00:00:00"/>
    <d v="2026-05-06T00:00:00"/>
    <x v="3"/>
    <s v="STU-407"/>
    <s v="New Customer"/>
    <x v="0"/>
    <x v="6"/>
    <x v="5"/>
    <x v="2"/>
    <n v="29"/>
    <x v="1"/>
    <x v="0"/>
    <n v="0"/>
    <n v="29"/>
    <n v="28.42"/>
    <n v="0"/>
    <n v="0.02"/>
    <n v="0.57999999999999829"/>
    <n v="0.01"/>
    <n v="0.28419999999999845"/>
    <n v="0"/>
    <n v="28.135800000000003"/>
    <x v="0"/>
    <n v="10"/>
  </r>
  <r>
    <n v="17"/>
    <d v="2026-05-30T00:00:00"/>
    <d v="2026-06-02T00:00:00"/>
    <x v="1"/>
    <s v="STU-697"/>
    <s v="New Customer"/>
    <x v="1"/>
    <x v="3"/>
    <x v="5"/>
    <x v="2"/>
    <n v="29"/>
    <x v="1"/>
    <x v="0"/>
    <n v="0"/>
    <n v="29"/>
    <n v="28.42"/>
    <n v="0"/>
    <n v="0.02"/>
    <n v="0.57999999999999829"/>
    <n v="0.01"/>
    <n v="0.28419999999999845"/>
    <n v="0"/>
    <n v="28.135800000000003"/>
    <x v="1"/>
    <s v=""/>
  </r>
  <r>
    <n v="18"/>
    <d v="2026-03-02T00:00:00"/>
    <d v="2026-03-07T00:00:00"/>
    <x v="0"/>
    <s v="STU-476"/>
    <s v="New Customer"/>
    <x v="2"/>
    <x v="6"/>
    <x v="1"/>
    <x v="1"/>
    <n v="29"/>
    <x v="1"/>
    <x v="2"/>
    <n v="0"/>
    <n v="29"/>
    <n v="27.984999999999999"/>
    <n v="0"/>
    <n v="3.5000000000000003E-2"/>
    <n v="1.0150000000000006"/>
    <n v="0.01"/>
    <n v="0.27984999999999971"/>
    <n v="0"/>
    <n v="27.70515"/>
    <x v="2"/>
    <s v=""/>
  </r>
  <r>
    <n v="19"/>
    <d v="2026-03-05T00:00:00"/>
    <d v="2026-03-06T00:00:00"/>
    <x v="0"/>
    <s v="STU-232"/>
    <s v="New Customer"/>
    <x v="0"/>
    <x v="0"/>
    <x v="3"/>
    <x v="3"/>
    <n v="59"/>
    <x v="2"/>
    <x v="2"/>
    <n v="0"/>
    <n v="59"/>
    <n v="56.935000000000002"/>
    <n v="0"/>
    <n v="3.5000000000000003E-2"/>
    <n v="2.0649999999999977"/>
    <n v="0.01"/>
    <n v="0.56935000000000002"/>
    <n v="56.365650000000002"/>
    <n v="0"/>
    <x v="0"/>
    <s v=""/>
  </r>
  <r>
    <n v="20"/>
    <d v="2026-02-05T00:00:00"/>
    <d v="2026-02-06T00:00:00"/>
    <x v="6"/>
    <s v="STU-561"/>
    <s v="New Customer"/>
    <x v="1"/>
    <x v="0"/>
    <x v="5"/>
    <x v="2"/>
    <n v="29"/>
    <x v="0"/>
    <x v="4"/>
    <n v="0"/>
    <n v="29"/>
    <n v="27.984999999999999"/>
    <n v="27.70515"/>
    <n v="3.5000000000000003E-2"/>
    <n v="1.0150000000000006"/>
    <n v="0.01"/>
    <n v="0.27984999999999971"/>
    <n v="0"/>
    <n v="0"/>
    <x v="0"/>
    <s v=""/>
  </r>
  <r>
    <n v="21"/>
    <d v="2026-01-05T00:00:00"/>
    <d v="2026-01-10T00:00:00"/>
    <x v="4"/>
    <s v="STU-119"/>
    <s v="New Customer"/>
    <x v="0"/>
    <x v="4"/>
    <x v="1"/>
    <x v="1"/>
    <n v="29"/>
    <x v="0"/>
    <x v="2"/>
    <n v="0"/>
    <n v="29"/>
    <n v="27.984999999999999"/>
    <n v="27.70515"/>
    <n v="3.5000000000000003E-2"/>
    <n v="1.0150000000000006"/>
    <n v="0.01"/>
    <n v="0.27984999999999971"/>
    <n v="0"/>
    <n v="0"/>
    <x v="0"/>
    <s v=""/>
  </r>
  <r>
    <n v="22"/>
    <d v="2026-05-28T00:00:00"/>
    <d v="2026-06-01T00:00:00"/>
    <x v="1"/>
    <s v="STU-475"/>
    <s v="New Customer"/>
    <x v="0"/>
    <x v="3"/>
    <x v="0"/>
    <x v="0"/>
    <n v="59"/>
    <x v="0"/>
    <x v="3"/>
    <n v="0"/>
    <n v="59"/>
    <n v="57.82"/>
    <n v="57.241799999999998"/>
    <n v="0.02"/>
    <n v="1.1799999999999997"/>
    <n v="0.01"/>
    <n v="0.57820000000000249"/>
    <n v="0"/>
    <n v="0"/>
    <x v="0"/>
    <s v=""/>
  </r>
  <r>
    <n v="23"/>
    <d v="2026-06-27T00:00:00"/>
    <d v="2026-06-27T00:00:00"/>
    <x v="1"/>
    <s v="STU-827"/>
    <s v="New Customer"/>
    <x v="2"/>
    <x v="7"/>
    <x v="4"/>
    <x v="2"/>
    <n v="59"/>
    <x v="1"/>
    <x v="0"/>
    <n v="0"/>
    <n v="59"/>
    <n v="57.82"/>
    <n v="0"/>
    <n v="0.02"/>
    <n v="1.1799999999999997"/>
    <n v="0.01"/>
    <n v="0.57820000000000249"/>
    <n v="0"/>
    <n v="57.241799999999998"/>
    <x v="0"/>
    <s v=""/>
  </r>
  <r>
    <n v="24"/>
    <d v="2026-06-28T00:00:00"/>
    <d v="2026-06-30T00:00:00"/>
    <x v="1"/>
    <s v="STU-146"/>
    <s v="New Customer"/>
    <x v="0"/>
    <x v="0"/>
    <x v="4"/>
    <x v="2"/>
    <n v="59"/>
    <x v="1"/>
    <x v="0"/>
    <n v="0"/>
    <n v="59"/>
    <n v="57.82"/>
    <n v="0"/>
    <n v="0.02"/>
    <n v="1.1799999999999997"/>
    <n v="0.01"/>
    <n v="0.57820000000000249"/>
    <n v="0"/>
    <n v="57.241799999999998"/>
    <x v="0"/>
    <n v="10"/>
  </r>
  <r>
    <n v="25"/>
    <d v="2026-07-29T00:00:00"/>
    <d v="2026-07-29T00:00:00"/>
    <x v="2"/>
    <s v="STU-383"/>
    <s v="New Customer"/>
    <x v="1"/>
    <x v="6"/>
    <x v="3"/>
    <x v="3"/>
    <n v="59"/>
    <x v="0"/>
    <x v="0"/>
    <n v="0"/>
    <n v="59"/>
    <n v="57.82"/>
    <n v="57.241799999999998"/>
    <n v="0.02"/>
    <n v="1.1799999999999997"/>
    <n v="0.01"/>
    <n v="0.57820000000000249"/>
    <n v="0"/>
    <n v="0"/>
    <x v="0"/>
    <s v=""/>
  </r>
  <r>
    <n v="26"/>
    <d v="2026-02-25T00:00:00"/>
    <d v="2026-02-28T00:00:00"/>
    <x v="6"/>
    <s v="STU-329"/>
    <s v="New Customer"/>
    <x v="1"/>
    <x v="1"/>
    <x v="0"/>
    <x v="0"/>
    <n v="59"/>
    <x v="1"/>
    <x v="3"/>
    <n v="0"/>
    <n v="59"/>
    <n v="57.82"/>
    <n v="0"/>
    <n v="0.02"/>
    <n v="1.1799999999999997"/>
    <n v="0.01"/>
    <n v="0.57820000000000249"/>
    <n v="0"/>
    <n v="57.241799999999998"/>
    <x v="2"/>
    <n v="10"/>
  </r>
  <r>
    <n v="27"/>
    <d v="2026-07-12T00:00:00"/>
    <d v="2026-07-13T00:00:00"/>
    <x v="2"/>
    <s v="STU-265"/>
    <s v="New Customer"/>
    <x v="2"/>
    <x v="5"/>
    <x v="5"/>
    <x v="2"/>
    <n v="29"/>
    <x v="0"/>
    <x v="4"/>
    <n v="0"/>
    <n v="29"/>
    <n v="27.984999999999999"/>
    <n v="27.70515"/>
    <n v="3.5000000000000003E-2"/>
    <n v="1.0150000000000006"/>
    <n v="0.01"/>
    <n v="0.27984999999999971"/>
    <n v="0"/>
    <n v="0"/>
    <x v="0"/>
    <s v=""/>
  </r>
  <r>
    <n v="28"/>
    <d v="2026-07-10T00:00:00"/>
    <d v="2026-07-10T00:00:00"/>
    <x v="2"/>
    <s v="STU-958"/>
    <s v="New Customer"/>
    <x v="0"/>
    <x v="4"/>
    <x v="4"/>
    <x v="2"/>
    <n v="59"/>
    <x v="0"/>
    <x v="4"/>
    <n v="0"/>
    <n v="59"/>
    <n v="56.935000000000002"/>
    <n v="56.365650000000002"/>
    <n v="3.5000000000000003E-2"/>
    <n v="2.0649999999999977"/>
    <n v="0.01"/>
    <n v="0.56935000000000002"/>
    <n v="0"/>
    <n v="0"/>
    <x v="0"/>
    <s v=""/>
  </r>
  <r>
    <n v="29"/>
    <d v="2026-03-18T00:00:00"/>
    <d v="2026-03-18T00:00:00"/>
    <x v="0"/>
    <s v="STU-670"/>
    <s v="New Customer"/>
    <x v="1"/>
    <x v="0"/>
    <x v="4"/>
    <x v="2"/>
    <n v="59"/>
    <x v="0"/>
    <x v="1"/>
    <n v="0"/>
    <n v="59"/>
    <n v="59"/>
    <n v="58.41"/>
    <n v="0"/>
    <n v="0"/>
    <n v="0.01"/>
    <n v="0.59000000000000341"/>
    <n v="0"/>
    <n v="0"/>
    <x v="2"/>
    <n v="10"/>
  </r>
  <r>
    <n v="30"/>
    <d v="2026-01-31T00:00:00"/>
    <d v="2026-02-03T00:00:00"/>
    <x v="6"/>
    <s v="STU-809"/>
    <s v="New Customer"/>
    <x v="1"/>
    <x v="2"/>
    <x v="3"/>
    <x v="3"/>
    <n v="59"/>
    <x v="1"/>
    <x v="1"/>
    <n v="0"/>
    <n v="59"/>
    <n v="59"/>
    <n v="0"/>
    <n v="0"/>
    <n v="0"/>
    <n v="0.01"/>
    <n v="0.59000000000000341"/>
    <n v="0"/>
    <n v="58.41"/>
    <x v="2"/>
    <n v="10"/>
  </r>
  <r>
    <n v="31"/>
    <d v="2026-06-06T00:00:00"/>
    <d v="2026-06-07T00:00:00"/>
    <x v="1"/>
    <s v="STU-816"/>
    <s v="New Customer"/>
    <x v="1"/>
    <x v="2"/>
    <x v="2"/>
    <x v="2"/>
    <n v="29"/>
    <x v="0"/>
    <x v="4"/>
    <n v="0"/>
    <n v="29"/>
    <n v="27.984999999999999"/>
    <n v="27.70515"/>
    <n v="3.5000000000000003E-2"/>
    <n v="1.0150000000000006"/>
    <n v="0.01"/>
    <n v="0.27984999999999971"/>
    <n v="0"/>
    <n v="0"/>
    <x v="2"/>
    <s v=""/>
  </r>
  <r>
    <n v="32"/>
    <d v="2026-04-06T00:00:00"/>
    <d v="2026-04-06T00:00:00"/>
    <x v="5"/>
    <s v="STU-921"/>
    <s v="New Customer"/>
    <x v="2"/>
    <x v="3"/>
    <x v="7"/>
    <x v="3"/>
    <n v="99"/>
    <x v="1"/>
    <x v="4"/>
    <n v="0"/>
    <n v="99"/>
    <n v="95.534999999999997"/>
    <n v="0"/>
    <n v="3.5000000000000003E-2"/>
    <n v="3.4650000000000034"/>
    <n v="0.01"/>
    <n v="0.9553499999999957"/>
    <n v="0"/>
    <n v="94.579650000000001"/>
    <x v="0"/>
    <s v=""/>
  </r>
  <r>
    <n v="33"/>
    <d v="2026-03-11T00:00:00"/>
    <d v="2026-03-16T00:00:00"/>
    <x v="0"/>
    <s v="STU-806"/>
    <s v="New Customer"/>
    <x v="0"/>
    <x v="7"/>
    <x v="1"/>
    <x v="1"/>
    <n v="29"/>
    <x v="1"/>
    <x v="3"/>
    <n v="0"/>
    <n v="29"/>
    <n v="28.42"/>
    <n v="0"/>
    <n v="0.02"/>
    <n v="0.57999999999999829"/>
    <n v="0.01"/>
    <n v="0.28419999999999845"/>
    <n v="0"/>
    <n v="28.135800000000003"/>
    <x v="1"/>
    <n v="10"/>
  </r>
  <r>
    <n v="34"/>
    <d v="2026-05-15T00:00:00"/>
    <d v="2026-05-15T00:00:00"/>
    <x v="3"/>
    <s v="STU-772"/>
    <s v="New Customer"/>
    <x v="1"/>
    <x v="2"/>
    <x v="5"/>
    <x v="2"/>
    <n v="29"/>
    <x v="0"/>
    <x v="3"/>
    <n v="0"/>
    <n v="29"/>
    <n v="28.42"/>
    <n v="28.135800000000003"/>
    <n v="0.02"/>
    <n v="0.57999999999999829"/>
    <n v="0.01"/>
    <n v="0.28419999999999845"/>
    <n v="0"/>
    <n v="0"/>
    <x v="2"/>
    <s v=""/>
  </r>
  <r>
    <n v="35"/>
    <d v="2026-01-26T00:00:00"/>
    <d v="2026-01-29T00:00:00"/>
    <x v="4"/>
    <s v="STU-883"/>
    <s v="New Customer"/>
    <x v="2"/>
    <x v="0"/>
    <x v="1"/>
    <x v="1"/>
    <n v="29"/>
    <x v="2"/>
    <x v="1"/>
    <n v="0"/>
    <n v="29"/>
    <n v="29"/>
    <n v="0"/>
    <n v="0"/>
    <n v="0"/>
    <n v="0.01"/>
    <n v="0.28999999999999915"/>
    <n v="28.71"/>
    <n v="0"/>
    <x v="0"/>
    <n v="10"/>
  </r>
  <r>
    <n v="36"/>
    <d v="2026-07-03T00:00:00"/>
    <d v="2026-07-06T00:00:00"/>
    <x v="2"/>
    <s v="STU-854"/>
    <s v="New Customer"/>
    <x v="2"/>
    <x v="6"/>
    <x v="3"/>
    <x v="3"/>
    <n v="59"/>
    <x v="1"/>
    <x v="2"/>
    <n v="0"/>
    <n v="59"/>
    <n v="56.935000000000002"/>
    <n v="0"/>
    <n v="3.5000000000000003E-2"/>
    <n v="2.0649999999999977"/>
    <n v="0.01"/>
    <n v="0.56935000000000002"/>
    <n v="0"/>
    <n v="56.365650000000002"/>
    <x v="0"/>
    <s v=""/>
  </r>
  <r>
    <n v="37"/>
    <d v="2026-05-29T00:00:00"/>
    <d v="2026-06-03T00:00:00"/>
    <x v="1"/>
    <s v="STU-153"/>
    <s v="New Customer"/>
    <x v="0"/>
    <x v="7"/>
    <x v="5"/>
    <x v="2"/>
    <n v="29"/>
    <x v="1"/>
    <x v="4"/>
    <n v="0"/>
    <n v="29"/>
    <n v="27.984999999999999"/>
    <n v="0"/>
    <n v="3.5000000000000003E-2"/>
    <n v="1.0150000000000006"/>
    <n v="0.01"/>
    <n v="0.27984999999999971"/>
    <n v="0"/>
    <n v="27.70515"/>
    <x v="2"/>
    <s v=""/>
  </r>
  <r>
    <n v="38"/>
    <d v="2026-06-28T00:00:00"/>
    <d v="2026-07-02T00:00:00"/>
    <x v="2"/>
    <s v="STU-180"/>
    <s v="New Customer"/>
    <x v="0"/>
    <x v="6"/>
    <x v="1"/>
    <x v="1"/>
    <n v="29"/>
    <x v="2"/>
    <x v="3"/>
    <n v="0"/>
    <n v="29"/>
    <n v="28.42"/>
    <n v="0"/>
    <n v="0.02"/>
    <n v="0.57999999999999829"/>
    <n v="0.01"/>
    <n v="0.28419999999999845"/>
    <n v="28.135800000000003"/>
    <n v="0"/>
    <x v="2"/>
    <s v=""/>
  </r>
  <r>
    <n v="39"/>
    <d v="2026-06-11T00:00:00"/>
    <d v="2026-06-15T00:00:00"/>
    <x v="1"/>
    <s v="STU-136"/>
    <s v="New Customer"/>
    <x v="2"/>
    <x v="7"/>
    <x v="7"/>
    <x v="3"/>
    <n v="99"/>
    <x v="1"/>
    <x v="3"/>
    <n v="0"/>
    <n v="99"/>
    <n v="97.02"/>
    <n v="0"/>
    <n v="0.02"/>
    <n v="1.980000000000004"/>
    <n v="0.01"/>
    <n v="0.9702000000000055"/>
    <n v="0"/>
    <n v="96.049799999999991"/>
    <x v="1"/>
    <s v=""/>
  </r>
  <r>
    <n v="40"/>
    <d v="2026-02-06T00:00:00"/>
    <d v="2026-02-10T00:00:00"/>
    <x v="6"/>
    <s v="STU-113"/>
    <s v="New Customer"/>
    <x v="2"/>
    <x v="3"/>
    <x v="0"/>
    <x v="0"/>
    <n v="59"/>
    <x v="1"/>
    <x v="2"/>
    <n v="0"/>
    <n v="59"/>
    <n v="56.935000000000002"/>
    <n v="0"/>
    <n v="3.5000000000000003E-2"/>
    <n v="2.0649999999999977"/>
    <n v="0.01"/>
    <n v="0.56935000000000002"/>
    <n v="0"/>
    <n v="56.365650000000002"/>
    <x v="0"/>
    <s v=""/>
  </r>
  <r>
    <n v="41"/>
    <d v="2026-04-13T00:00:00"/>
    <d v="2026-04-15T00:00:00"/>
    <x v="5"/>
    <s v="STU-498"/>
    <s v="New Customer"/>
    <x v="2"/>
    <x v="3"/>
    <x v="2"/>
    <x v="2"/>
    <n v="29"/>
    <x v="1"/>
    <x v="2"/>
    <n v="0"/>
    <n v="29"/>
    <n v="27.984999999999999"/>
    <n v="0"/>
    <n v="3.5000000000000003E-2"/>
    <n v="1.0150000000000006"/>
    <n v="0.01"/>
    <n v="0.27984999999999971"/>
    <n v="0"/>
    <n v="27.70515"/>
    <x v="2"/>
    <n v="10"/>
  </r>
  <r>
    <n v="42"/>
    <d v="2026-06-09T00:00:00"/>
    <d v="2026-06-09T00:00:00"/>
    <x v="1"/>
    <s v="STU-6"/>
    <s v="New Customer"/>
    <x v="2"/>
    <x v="2"/>
    <x v="1"/>
    <x v="1"/>
    <n v="29"/>
    <x v="0"/>
    <x v="4"/>
    <n v="0"/>
    <n v="29"/>
    <n v="27.984999999999999"/>
    <n v="27.70515"/>
    <n v="3.5000000000000003E-2"/>
    <n v="1.0150000000000006"/>
    <n v="0.01"/>
    <n v="0.27984999999999971"/>
    <n v="0"/>
    <n v="0"/>
    <x v="0"/>
    <s v=""/>
  </r>
  <r>
    <n v="43"/>
    <d v="2026-03-06T00:00:00"/>
    <d v="2026-03-09T00:00:00"/>
    <x v="0"/>
    <s v="STU-165"/>
    <s v="New Customer"/>
    <x v="0"/>
    <x v="2"/>
    <x v="1"/>
    <x v="1"/>
    <n v="29"/>
    <x v="1"/>
    <x v="2"/>
    <n v="0"/>
    <n v="29"/>
    <n v="27.984999999999999"/>
    <n v="0"/>
    <n v="3.5000000000000003E-2"/>
    <n v="1.0150000000000006"/>
    <n v="0.01"/>
    <n v="0.27984999999999971"/>
    <n v="0"/>
    <n v="27.70515"/>
    <x v="1"/>
    <n v="10"/>
  </r>
  <r>
    <n v="44"/>
    <d v="2026-06-05T00:00:00"/>
    <d v="2026-06-10T00:00:00"/>
    <x v="1"/>
    <s v="STU-724"/>
    <s v="New Customer"/>
    <x v="0"/>
    <x v="3"/>
    <x v="4"/>
    <x v="2"/>
    <n v="59"/>
    <x v="2"/>
    <x v="0"/>
    <n v="0"/>
    <n v="59"/>
    <n v="57.82"/>
    <n v="0"/>
    <n v="0.02"/>
    <n v="1.1799999999999997"/>
    <n v="0.01"/>
    <n v="0.57820000000000249"/>
    <n v="57.241799999999998"/>
    <n v="0"/>
    <x v="2"/>
    <n v="10"/>
  </r>
  <r>
    <n v="45"/>
    <d v="2026-06-17T00:00:00"/>
    <d v="2026-06-17T00:00:00"/>
    <x v="1"/>
    <s v="STU-785"/>
    <s v="New Customer"/>
    <x v="0"/>
    <x v="2"/>
    <x v="0"/>
    <x v="0"/>
    <n v="59"/>
    <x v="1"/>
    <x v="4"/>
    <n v="0"/>
    <n v="59"/>
    <n v="56.935000000000002"/>
    <n v="0"/>
    <n v="3.5000000000000003E-2"/>
    <n v="2.0649999999999977"/>
    <n v="0.01"/>
    <n v="0.56935000000000002"/>
    <n v="0"/>
    <n v="56.365650000000002"/>
    <x v="1"/>
    <s v=""/>
  </r>
  <r>
    <n v="46"/>
    <d v="2026-01-09T00:00:00"/>
    <d v="2026-01-10T00:00:00"/>
    <x v="4"/>
    <s v="STU-811"/>
    <s v="New Customer"/>
    <x v="0"/>
    <x v="7"/>
    <x v="0"/>
    <x v="0"/>
    <n v="59"/>
    <x v="0"/>
    <x v="0"/>
    <n v="0"/>
    <n v="59"/>
    <n v="57.82"/>
    <n v="57.241799999999998"/>
    <n v="0.02"/>
    <n v="1.1799999999999997"/>
    <n v="0.01"/>
    <n v="0.57820000000000249"/>
    <n v="0"/>
    <n v="0"/>
    <x v="2"/>
    <n v="10"/>
  </r>
  <r>
    <n v="47"/>
    <d v="2026-04-09T00:00:00"/>
    <d v="2026-04-11T00:00:00"/>
    <x v="5"/>
    <s v="STU-643"/>
    <s v="New Customer"/>
    <x v="2"/>
    <x v="5"/>
    <x v="1"/>
    <x v="1"/>
    <n v="29"/>
    <x v="1"/>
    <x v="0"/>
    <n v="0"/>
    <n v="29"/>
    <n v="28.42"/>
    <n v="0"/>
    <n v="0.02"/>
    <n v="0.57999999999999829"/>
    <n v="0.01"/>
    <n v="0.28419999999999845"/>
    <n v="0"/>
    <n v="28.135800000000003"/>
    <x v="0"/>
    <s v=""/>
  </r>
  <r>
    <n v="48"/>
    <d v="2026-03-22T00:00:00"/>
    <d v="2026-03-22T00:00:00"/>
    <x v="0"/>
    <s v="STU-711"/>
    <s v="New Customer"/>
    <x v="1"/>
    <x v="0"/>
    <x v="4"/>
    <x v="2"/>
    <n v="59"/>
    <x v="1"/>
    <x v="4"/>
    <n v="0"/>
    <n v="59"/>
    <n v="56.935000000000002"/>
    <n v="0"/>
    <n v="3.5000000000000003E-2"/>
    <n v="2.0649999999999977"/>
    <n v="0.01"/>
    <n v="0.56935000000000002"/>
    <n v="0"/>
    <n v="56.365650000000002"/>
    <x v="2"/>
    <n v="10"/>
  </r>
  <r>
    <n v="49"/>
    <d v="2026-05-19T00:00:00"/>
    <d v="2026-05-22T00:00:00"/>
    <x v="3"/>
    <s v="STU-687"/>
    <s v="New Customer"/>
    <x v="0"/>
    <x v="3"/>
    <x v="0"/>
    <x v="0"/>
    <n v="59"/>
    <x v="1"/>
    <x v="0"/>
    <n v="0"/>
    <n v="59"/>
    <n v="57.82"/>
    <n v="0"/>
    <n v="0.02"/>
    <n v="1.1799999999999997"/>
    <n v="0.01"/>
    <n v="0.57820000000000249"/>
    <n v="0"/>
    <n v="57.241799999999998"/>
    <x v="2"/>
    <n v="10"/>
  </r>
  <r>
    <n v="50"/>
    <d v="2026-01-19T00:00:00"/>
    <d v="2026-01-21T00:00:00"/>
    <x v="4"/>
    <s v="STU-490"/>
    <s v="New Customer"/>
    <x v="0"/>
    <x v="7"/>
    <x v="4"/>
    <x v="2"/>
    <n v="59"/>
    <x v="0"/>
    <x v="2"/>
    <n v="0"/>
    <n v="59"/>
    <n v="56.935000000000002"/>
    <n v="56.365650000000002"/>
    <n v="3.5000000000000003E-2"/>
    <n v="2.0649999999999977"/>
    <n v="0.01"/>
    <n v="0.56935000000000002"/>
    <n v="0"/>
    <n v="0"/>
    <x v="2"/>
    <s v=""/>
  </r>
  <r>
    <n v="51"/>
    <d v="2026-05-14T00:00:00"/>
    <d v="2026-05-19T00:00:00"/>
    <x v="3"/>
    <s v="STU-406"/>
    <s v="New Customer"/>
    <x v="2"/>
    <x v="7"/>
    <x v="7"/>
    <x v="3"/>
    <n v="99"/>
    <x v="1"/>
    <x v="3"/>
    <n v="0"/>
    <n v="99"/>
    <n v="97.02"/>
    <n v="0"/>
    <n v="0.02"/>
    <n v="1.980000000000004"/>
    <n v="0.01"/>
    <n v="0.9702000000000055"/>
    <n v="0"/>
    <n v="96.049799999999991"/>
    <x v="1"/>
    <s v=""/>
  </r>
  <r>
    <n v="52"/>
    <d v="2026-04-09T00:00:00"/>
    <d v="2026-04-13T00:00:00"/>
    <x v="5"/>
    <s v="STU-204"/>
    <s v="New Customer"/>
    <x v="1"/>
    <x v="4"/>
    <x v="5"/>
    <x v="2"/>
    <n v="29"/>
    <x v="0"/>
    <x v="4"/>
    <n v="0"/>
    <n v="29"/>
    <n v="27.984999999999999"/>
    <n v="27.70515"/>
    <n v="3.5000000000000003E-2"/>
    <n v="1.0150000000000006"/>
    <n v="0.01"/>
    <n v="0.27984999999999971"/>
    <n v="0"/>
    <n v="0"/>
    <x v="2"/>
    <n v="10"/>
  </r>
  <r>
    <n v="53"/>
    <d v="2026-01-21T00:00:00"/>
    <d v="2026-01-23T00:00:00"/>
    <x v="4"/>
    <s v="STU-614"/>
    <s v="New Customer"/>
    <x v="0"/>
    <x v="0"/>
    <x v="6"/>
    <x v="2"/>
    <n v="29"/>
    <x v="1"/>
    <x v="4"/>
    <n v="0"/>
    <n v="29"/>
    <n v="27.984999999999999"/>
    <n v="0"/>
    <n v="3.5000000000000003E-2"/>
    <n v="1.0150000000000006"/>
    <n v="0.01"/>
    <n v="0.27984999999999971"/>
    <n v="0"/>
    <n v="27.70515"/>
    <x v="1"/>
    <n v="10"/>
  </r>
  <r>
    <n v="54"/>
    <d v="2026-05-03T00:00:00"/>
    <d v="2026-05-05T00:00:00"/>
    <x v="3"/>
    <s v="STU-348"/>
    <s v="New Customer"/>
    <x v="2"/>
    <x v="4"/>
    <x v="2"/>
    <x v="2"/>
    <n v="29"/>
    <x v="1"/>
    <x v="1"/>
    <n v="0"/>
    <n v="29"/>
    <n v="29"/>
    <n v="0"/>
    <n v="0"/>
    <n v="0"/>
    <n v="0.01"/>
    <n v="0.28999999999999915"/>
    <n v="0"/>
    <n v="28.71"/>
    <x v="0"/>
    <n v="10"/>
  </r>
  <r>
    <n v="55"/>
    <d v="2026-06-21T00:00:00"/>
    <d v="2026-06-21T00:00:00"/>
    <x v="1"/>
    <s v="STU-412"/>
    <s v="New Customer"/>
    <x v="0"/>
    <x v="4"/>
    <x v="6"/>
    <x v="2"/>
    <n v="29"/>
    <x v="0"/>
    <x v="1"/>
    <n v="0"/>
    <n v="29"/>
    <n v="29"/>
    <n v="28.71"/>
    <n v="0"/>
    <n v="0"/>
    <n v="0.01"/>
    <n v="0.28999999999999915"/>
    <n v="0"/>
    <n v="0"/>
    <x v="0"/>
    <s v=""/>
  </r>
  <r>
    <n v="56"/>
    <d v="2026-06-28T00:00:00"/>
    <d v="2026-07-01T00:00:00"/>
    <x v="2"/>
    <s v="STU-127"/>
    <s v="New Customer"/>
    <x v="2"/>
    <x v="3"/>
    <x v="4"/>
    <x v="2"/>
    <n v="59"/>
    <x v="2"/>
    <x v="0"/>
    <n v="0"/>
    <n v="59"/>
    <n v="57.82"/>
    <n v="0"/>
    <n v="0.02"/>
    <n v="1.1799999999999997"/>
    <n v="0.01"/>
    <n v="0.57820000000000249"/>
    <n v="57.241799999999998"/>
    <n v="0"/>
    <x v="0"/>
    <n v="10"/>
  </r>
  <r>
    <n v="57"/>
    <d v="2026-07-10T00:00:00"/>
    <d v="2026-07-12T00:00:00"/>
    <x v="2"/>
    <s v="STU-751"/>
    <s v="New Customer"/>
    <x v="0"/>
    <x v="7"/>
    <x v="6"/>
    <x v="2"/>
    <n v="29"/>
    <x v="1"/>
    <x v="0"/>
    <n v="0"/>
    <n v="29"/>
    <n v="28.42"/>
    <n v="0"/>
    <n v="0.02"/>
    <n v="0.57999999999999829"/>
    <n v="0.01"/>
    <n v="0.28419999999999845"/>
    <n v="0"/>
    <n v="28.135800000000003"/>
    <x v="0"/>
    <s v=""/>
  </r>
  <r>
    <n v="58"/>
    <d v="2026-04-18T00:00:00"/>
    <d v="2026-04-18T00:00:00"/>
    <x v="5"/>
    <s v="STU-168"/>
    <s v="New Customer"/>
    <x v="0"/>
    <x v="2"/>
    <x v="5"/>
    <x v="2"/>
    <n v="29"/>
    <x v="0"/>
    <x v="0"/>
    <n v="0"/>
    <n v="29"/>
    <n v="28.42"/>
    <n v="28.135800000000003"/>
    <n v="0.02"/>
    <n v="0.57999999999999829"/>
    <n v="0.01"/>
    <n v="0.28419999999999845"/>
    <n v="0"/>
    <n v="0"/>
    <x v="2"/>
    <n v="10"/>
  </r>
  <r>
    <n v="59"/>
    <d v="2026-04-03T00:00:00"/>
    <d v="2026-04-03T00:00:00"/>
    <x v="5"/>
    <s v="STU-228"/>
    <s v="New Customer"/>
    <x v="0"/>
    <x v="5"/>
    <x v="5"/>
    <x v="2"/>
    <n v="29"/>
    <x v="1"/>
    <x v="4"/>
    <n v="0"/>
    <n v="29"/>
    <n v="27.984999999999999"/>
    <n v="0"/>
    <n v="3.5000000000000003E-2"/>
    <n v="1.0150000000000006"/>
    <n v="0.01"/>
    <n v="0.27984999999999971"/>
    <n v="0"/>
    <n v="27.70515"/>
    <x v="2"/>
    <n v="10"/>
  </r>
  <r>
    <n v="60"/>
    <d v="2026-06-24T00:00:00"/>
    <d v="2026-06-29T00:00:00"/>
    <x v="1"/>
    <s v="STU-781"/>
    <s v="New Customer"/>
    <x v="0"/>
    <x v="5"/>
    <x v="5"/>
    <x v="2"/>
    <n v="29"/>
    <x v="1"/>
    <x v="3"/>
    <n v="0"/>
    <n v="29"/>
    <n v="28.42"/>
    <n v="0"/>
    <n v="0.02"/>
    <n v="0.57999999999999829"/>
    <n v="0.01"/>
    <n v="0.28419999999999845"/>
    <n v="0"/>
    <n v="28.135800000000003"/>
    <x v="2"/>
    <n v="10"/>
  </r>
  <r>
    <n v="61"/>
    <d v="2026-02-14T00:00:00"/>
    <d v="2026-02-17T00:00:00"/>
    <x v="6"/>
    <s v="STU-118"/>
    <s v="New Customer"/>
    <x v="2"/>
    <x v="3"/>
    <x v="6"/>
    <x v="2"/>
    <n v="29"/>
    <x v="1"/>
    <x v="1"/>
    <n v="0"/>
    <n v="29"/>
    <n v="29"/>
    <n v="0"/>
    <n v="0"/>
    <n v="0"/>
    <n v="0.01"/>
    <n v="0.28999999999999915"/>
    <n v="0"/>
    <n v="28.71"/>
    <x v="2"/>
    <s v=""/>
  </r>
  <r>
    <n v="62"/>
    <d v="2026-03-03T00:00:00"/>
    <d v="2026-03-03T00:00:00"/>
    <x v="0"/>
    <s v="STU-886"/>
    <s v="New Customer"/>
    <x v="2"/>
    <x v="6"/>
    <x v="6"/>
    <x v="2"/>
    <n v="29"/>
    <x v="1"/>
    <x v="0"/>
    <n v="20"/>
    <n v="-551"/>
    <n v="-539.98"/>
    <n v="0"/>
    <n v="0.02"/>
    <n v="-11.019999999999982"/>
    <n v="0.01"/>
    <n v="-5.3998000000000275"/>
    <n v="0"/>
    <n v="-534.58019999999999"/>
    <x v="2"/>
    <s v=""/>
  </r>
  <r>
    <n v="63"/>
    <d v="2026-02-18T00:00:00"/>
    <d v="2026-02-20T00:00:00"/>
    <x v="6"/>
    <s v="STU-182"/>
    <s v="New Customer"/>
    <x v="2"/>
    <x v="2"/>
    <x v="2"/>
    <x v="2"/>
    <n v="29"/>
    <x v="1"/>
    <x v="2"/>
    <n v="0"/>
    <n v="29"/>
    <n v="27.984999999999999"/>
    <n v="0"/>
    <n v="3.5000000000000003E-2"/>
    <n v="1.0150000000000006"/>
    <n v="0.01"/>
    <n v="0.27984999999999971"/>
    <n v="0"/>
    <n v="27.70515"/>
    <x v="0"/>
    <n v="10"/>
  </r>
  <r>
    <n v="64"/>
    <d v="2026-07-14T00:00:00"/>
    <d v="2026-07-14T00:00:00"/>
    <x v="2"/>
    <s v="STU-503"/>
    <s v="New Customer"/>
    <x v="1"/>
    <x v="4"/>
    <x v="4"/>
    <x v="2"/>
    <n v="59"/>
    <x v="1"/>
    <x v="2"/>
    <n v="0"/>
    <n v="59"/>
    <n v="56.935000000000002"/>
    <n v="0"/>
    <n v="3.5000000000000003E-2"/>
    <n v="2.0649999999999977"/>
    <n v="0.01"/>
    <n v="0.56935000000000002"/>
    <n v="0"/>
    <n v="56.365650000000002"/>
    <x v="0"/>
    <s v=""/>
  </r>
  <r>
    <n v="65"/>
    <d v="2026-04-29T00:00:00"/>
    <d v="2026-05-03T00:00:00"/>
    <x v="3"/>
    <s v="STU-880"/>
    <s v="New Customer"/>
    <x v="2"/>
    <x v="4"/>
    <x v="3"/>
    <x v="3"/>
    <n v="59"/>
    <x v="1"/>
    <x v="4"/>
    <n v="0"/>
    <n v="59"/>
    <n v="56.935000000000002"/>
    <n v="0"/>
    <n v="3.5000000000000003E-2"/>
    <n v="2.0649999999999977"/>
    <n v="0.01"/>
    <n v="0.56935000000000002"/>
    <n v="0"/>
    <n v="56.365650000000002"/>
    <x v="0"/>
    <n v="10"/>
  </r>
  <r>
    <n v="66"/>
    <d v="2026-05-14T00:00:00"/>
    <d v="2026-05-15T00:00:00"/>
    <x v="3"/>
    <s v="STU-125"/>
    <s v="New Customer"/>
    <x v="0"/>
    <x v="0"/>
    <x v="7"/>
    <x v="3"/>
    <n v="99"/>
    <x v="0"/>
    <x v="4"/>
    <n v="0"/>
    <n v="99"/>
    <n v="95.534999999999997"/>
    <n v="94.579650000000001"/>
    <n v="3.5000000000000003E-2"/>
    <n v="3.4650000000000034"/>
    <n v="0.01"/>
    <n v="0.9553499999999957"/>
    <n v="0"/>
    <n v="0"/>
    <x v="2"/>
    <s v=""/>
  </r>
  <r>
    <n v="67"/>
    <d v="2026-01-03T00:00:00"/>
    <d v="2026-01-07T00:00:00"/>
    <x v="4"/>
    <s v="STU-808"/>
    <s v="New Customer"/>
    <x v="1"/>
    <x v="7"/>
    <x v="5"/>
    <x v="2"/>
    <n v="29"/>
    <x v="1"/>
    <x v="1"/>
    <n v="0"/>
    <n v="29"/>
    <n v="29"/>
    <n v="0"/>
    <n v="0"/>
    <n v="0"/>
    <n v="0.01"/>
    <n v="0.28999999999999915"/>
    <n v="0"/>
    <n v="28.71"/>
    <x v="2"/>
    <n v="10"/>
  </r>
  <r>
    <n v="68"/>
    <d v="2026-04-09T00:00:00"/>
    <d v="2026-04-09T00:00:00"/>
    <x v="5"/>
    <s v="STU-775"/>
    <s v="New Customer"/>
    <x v="1"/>
    <x v="7"/>
    <x v="7"/>
    <x v="3"/>
    <n v="99"/>
    <x v="0"/>
    <x v="4"/>
    <n v="0"/>
    <n v="99"/>
    <n v="95.534999999999997"/>
    <n v="94.579650000000001"/>
    <n v="3.5000000000000003E-2"/>
    <n v="3.4650000000000034"/>
    <n v="0.01"/>
    <n v="0.9553499999999957"/>
    <n v="0"/>
    <n v="0"/>
    <x v="1"/>
    <s v=""/>
  </r>
  <r>
    <n v="69"/>
    <d v="2026-07-01T00:00:00"/>
    <d v="2026-07-04T00:00:00"/>
    <x v="2"/>
    <s v="STU-582"/>
    <s v="New Customer"/>
    <x v="1"/>
    <x v="6"/>
    <x v="4"/>
    <x v="2"/>
    <n v="59"/>
    <x v="1"/>
    <x v="2"/>
    <n v="0"/>
    <n v="59"/>
    <n v="56.935000000000002"/>
    <n v="0"/>
    <n v="3.5000000000000003E-2"/>
    <n v="2.0649999999999977"/>
    <n v="0.01"/>
    <n v="0.56935000000000002"/>
    <n v="0"/>
    <n v="56.365650000000002"/>
    <x v="0"/>
    <s v=""/>
  </r>
  <r>
    <n v="70"/>
    <d v="2026-05-02T00:00:00"/>
    <d v="2026-05-02T00:00:00"/>
    <x v="3"/>
    <s v="STU-234"/>
    <s v="New Customer"/>
    <x v="0"/>
    <x v="1"/>
    <x v="0"/>
    <x v="0"/>
    <n v="59"/>
    <x v="1"/>
    <x v="4"/>
    <n v="0"/>
    <n v="59"/>
    <n v="56.935000000000002"/>
    <n v="0"/>
    <n v="3.5000000000000003E-2"/>
    <n v="2.0649999999999977"/>
    <n v="0.01"/>
    <n v="0.56935000000000002"/>
    <n v="0"/>
    <n v="56.365650000000002"/>
    <x v="0"/>
    <n v="10"/>
  </r>
  <r>
    <n v="71"/>
    <d v="2026-07-17T00:00:00"/>
    <d v="2026-07-20T00:00:00"/>
    <x v="2"/>
    <s v="STU-52"/>
    <s v="New Customer"/>
    <x v="2"/>
    <x v="1"/>
    <x v="4"/>
    <x v="2"/>
    <n v="59"/>
    <x v="1"/>
    <x v="3"/>
    <n v="0"/>
    <n v="59"/>
    <n v="57.82"/>
    <n v="0"/>
    <n v="0.02"/>
    <n v="1.1799999999999997"/>
    <n v="0.01"/>
    <n v="0.57820000000000249"/>
    <n v="0"/>
    <n v="57.241799999999998"/>
    <x v="0"/>
    <n v="10"/>
  </r>
  <r>
    <n v="72"/>
    <d v="2026-02-05T00:00:00"/>
    <d v="2026-02-06T00:00:00"/>
    <x v="6"/>
    <s v="STU-420"/>
    <s v="New Customer"/>
    <x v="2"/>
    <x v="6"/>
    <x v="4"/>
    <x v="2"/>
    <n v="59"/>
    <x v="0"/>
    <x v="4"/>
    <n v="0"/>
    <n v="59"/>
    <n v="56.935000000000002"/>
    <n v="56.365650000000002"/>
    <n v="3.5000000000000003E-2"/>
    <n v="2.0649999999999977"/>
    <n v="0.01"/>
    <n v="0.56935000000000002"/>
    <n v="0"/>
    <n v="0"/>
    <x v="0"/>
    <s v=""/>
  </r>
  <r>
    <n v="73"/>
    <d v="2026-07-07T00:00:00"/>
    <d v="2026-07-11T00:00:00"/>
    <x v="2"/>
    <s v="STU-333"/>
    <s v="New Customer"/>
    <x v="2"/>
    <x v="0"/>
    <x v="6"/>
    <x v="2"/>
    <n v="29"/>
    <x v="1"/>
    <x v="0"/>
    <n v="0"/>
    <n v="29"/>
    <n v="28.42"/>
    <n v="0"/>
    <n v="0.02"/>
    <n v="0.57999999999999829"/>
    <n v="0.01"/>
    <n v="0.28419999999999845"/>
    <n v="0"/>
    <n v="28.135800000000003"/>
    <x v="0"/>
    <s v=""/>
  </r>
  <r>
    <n v="74"/>
    <d v="2026-07-14T00:00:00"/>
    <d v="2026-07-17T00:00:00"/>
    <x v="2"/>
    <s v="STU-509"/>
    <s v="New Customer"/>
    <x v="1"/>
    <x v="7"/>
    <x v="1"/>
    <x v="1"/>
    <n v="29"/>
    <x v="1"/>
    <x v="3"/>
    <n v="0"/>
    <n v="29"/>
    <n v="28.42"/>
    <n v="0"/>
    <n v="0.02"/>
    <n v="0.57999999999999829"/>
    <n v="0.01"/>
    <n v="0.28419999999999845"/>
    <n v="0"/>
    <n v="28.135800000000003"/>
    <x v="2"/>
    <s v=""/>
  </r>
  <r>
    <n v="75"/>
    <d v="2026-07-22T00:00:00"/>
    <d v="2026-07-25T00:00:00"/>
    <x v="2"/>
    <s v="STU-501"/>
    <s v="New Customer"/>
    <x v="0"/>
    <x v="0"/>
    <x v="2"/>
    <x v="2"/>
    <n v="29"/>
    <x v="0"/>
    <x v="3"/>
    <n v="0"/>
    <n v="29"/>
    <n v="28.42"/>
    <n v="28.135800000000003"/>
    <n v="0.02"/>
    <n v="0.57999999999999829"/>
    <n v="0.01"/>
    <n v="0.28419999999999845"/>
    <n v="0"/>
    <n v="0"/>
    <x v="0"/>
    <n v="10"/>
  </r>
  <r>
    <n v="76"/>
    <d v="2026-03-10T00:00:00"/>
    <d v="2026-03-12T00:00:00"/>
    <x v="0"/>
    <s v="STU-359"/>
    <s v="New Customer"/>
    <x v="1"/>
    <x v="7"/>
    <x v="5"/>
    <x v="2"/>
    <n v="29"/>
    <x v="1"/>
    <x v="2"/>
    <n v="0"/>
    <n v="29"/>
    <n v="27.984999999999999"/>
    <n v="0"/>
    <n v="3.5000000000000003E-2"/>
    <n v="1.0150000000000006"/>
    <n v="0.01"/>
    <n v="0.27984999999999971"/>
    <n v="0"/>
    <n v="27.70515"/>
    <x v="0"/>
    <s v=""/>
  </r>
  <r>
    <n v="77"/>
    <d v="2026-03-20T00:00:00"/>
    <d v="2026-03-21T00:00:00"/>
    <x v="0"/>
    <s v="STU-704"/>
    <s v="New Customer"/>
    <x v="2"/>
    <x v="1"/>
    <x v="7"/>
    <x v="3"/>
    <n v="99"/>
    <x v="1"/>
    <x v="0"/>
    <n v="0"/>
    <n v="99"/>
    <n v="97.02"/>
    <n v="0"/>
    <n v="0.02"/>
    <n v="1.980000000000004"/>
    <n v="0.01"/>
    <n v="0.9702000000000055"/>
    <n v="0"/>
    <n v="96.049799999999991"/>
    <x v="2"/>
    <s v=""/>
  </r>
  <r>
    <n v="78"/>
    <d v="2026-07-14T00:00:00"/>
    <d v="2026-07-16T00:00:00"/>
    <x v="2"/>
    <s v="STU-541"/>
    <s v="New Customer"/>
    <x v="2"/>
    <x v="5"/>
    <x v="7"/>
    <x v="3"/>
    <n v="99"/>
    <x v="1"/>
    <x v="1"/>
    <n v="0"/>
    <n v="99"/>
    <n v="99"/>
    <n v="0"/>
    <n v="0"/>
    <n v="0"/>
    <n v="0.01"/>
    <n v="0.98999999999999488"/>
    <n v="0"/>
    <n v="98.01"/>
    <x v="2"/>
    <s v=""/>
  </r>
  <r>
    <n v="79"/>
    <d v="2026-07-27T00:00:00"/>
    <d v="2026-07-16T00:00:00"/>
    <x v="2"/>
    <s v="STU-749"/>
    <s v="New Customer"/>
    <x v="2"/>
    <x v="6"/>
    <x v="3"/>
    <x v="3"/>
    <n v="59"/>
    <x v="0"/>
    <x v="2"/>
    <n v="0"/>
    <n v="59"/>
    <n v="56.935000000000002"/>
    <n v="56.365650000000002"/>
    <n v="3.5000000000000003E-2"/>
    <n v="2.0649999999999977"/>
    <n v="0.01"/>
    <n v="0.56935000000000002"/>
    <n v="0"/>
    <n v="0"/>
    <x v="1"/>
    <n v="10"/>
  </r>
  <r>
    <n v="80"/>
    <d v="2026-03-09T00:00:00"/>
    <d v="2026-03-10T00:00:00"/>
    <x v="0"/>
    <s v="STU-892"/>
    <s v="New Customer"/>
    <x v="0"/>
    <x v="1"/>
    <x v="5"/>
    <x v="2"/>
    <n v="29"/>
    <x v="0"/>
    <x v="2"/>
    <n v="0"/>
    <n v="29"/>
    <n v="27.984999999999999"/>
    <n v="27.70515"/>
    <n v="3.5000000000000003E-2"/>
    <n v="1.0150000000000006"/>
    <n v="0.01"/>
    <n v="0.27984999999999971"/>
    <n v="0"/>
    <n v="0"/>
    <x v="1"/>
    <s v=""/>
  </r>
  <r>
    <n v="81"/>
    <d v="2026-02-17T00:00:00"/>
    <d v="2026-02-21T00:00:00"/>
    <x v="6"/>
    <s v="STU-418"/>
    <s v="New Customer"/>
    <x v="1"/>
    <x v="6"/>
    <x v="3"/>
    <x v="3"/>
    <n v="59"/>
    <x v="0"/>
    <x v="1"/>
    <n v="0"/>
    <n v="59"/>
    <n v="59"/>
    <n v="58.41"/>
    <n v="0"/>
    <n v="0"/>
    <n v="0.01"/>
    <n v="0.59000000000000341"/>
    <n v="0"/>
    <n v="0"/>
    <x v="1"/>
    <n v="10"/>
  </r>
  <r>
    <n v="82"/>
    <d v="2026-02-26T00:00:00"/>
    <d v="2026-02-28T00:00:00"/>
    <x v="6"/>
    <s v="STU-537"/>
    <s v="New Customer"/>
    <x v="1"/>
    <x v="6"/>
    <x v="2"/>
    <x v="2"/>
    <n v="29"/>
    <x v="1"/>
    <x v="4"/>
    <n v="0"/>
    <n v="29"/>
    <n v="27.984999999999999"/>
    <n v="0"/>
    <n v="3.5000000000000003E-2"/>
    <n v="1.0150000000000006"/>
    <n v="0.01"/>
    <n v="0.27984999999999971"/>
    <n v="0"/>
    <n v="27.70515"/>
    <x v="1"/>
    <n v="10"/>
  </r>
  <r>
    <n v="83"/>
    <d v="2026-03-05T00:00:00"/>
    <d v="2026-03-07T00:00:00"/>
    <x v="0"/>
    <s v="STU-965"/>
    <s v="New Customer"/>
    <x v="2"/>
    <x v="0"/>
    <x v="0"/>
    <x v="0"/>
    <n v="59"/>
    <x v="2"/>
    <x v="3"/>
    <n v="0"/>
    <n v="59"/>
    <n v="57.82"/>
    <n v="0"/>
    <n v="0.02"/>
    <n v="1.1799999999999997"/>
    <n v="0.01"/>
    <n v="0.57820000000000249"/>
    <n v="57.241799999999998"/>
    <n v="0"/>
    <x v="0"/>
    <s v=""/>
  </r>
  <r>
    <n v="84"/>
    <d v="2026-03-24T00:00:00"/>
    <d v="2026-03-25T00:00:00"/>
    <x v="0"/>
    <s v="STU-562"/>
    <s v="New Customer"/>
    <x v="1"/>
    <x v="2"/>
    <x v="0"/>
    <x v="0"/>
    <n v="59"/>
    <x v="0"/>
    <x v="2"/>
    <n v="0"/>
    <n v="59"/>
    <n v="56.935000000000002"/>
    <n v="56.365650000000002"/>
    <n v="3.5000000000000003E-2"/>
    <n v="2.0649999999999977"/>
    <n v="0.01"/>
    <n v="0.56935000000000002"/>
    <n v="0"/>
    <n v="0"/>
    <x v="1"/>
    <s v=""/>
  </r>
  <r>
    <n v="85"/>
    <d v="2026-04-22T00:00:00"/>
    <d v="2026-04-24T00:00:00"/>
    <x v="5"/>
    <s v="STU-169"/>
    <s v="New Customer"/>
    <x v="1"/>
    <x v="2"/>
    <x v="1"/>
    <x v="1"/>
    <n v="29"/>
    <x v="1"/>
    <x v="4"/>
    <n v="0"/>
    <n v="29"/>
    <n v="27.984999999999999"/>
    <n v="0"/>
    <n v="3.5000000000000003E-2"/>
    <n v="1.0150000000000006"/>
    <n v="0.01"/>
    <n v="0.27984999999999971"/>
    <n v="0"/>
    <n v="27.70515"/>
    <x v="0"/>
    <s v=""/>
  </r>
  <r>
    <n v="86"/>
    <d v="2026-07-24T00:00:00"/>
    <d v="2026-07-25T00:00:00"/>
    <x v="2"/>
    <s v="STU-884"/>
    <s v="New Customer"/>
    <x v="0"/>
    <x v="4"/>
    <x v="7"/>
    <x v="3"/>
    <n v="99"/>
    <x v="0"/>
    <x v="0"/>
    <n v="0"/>
    <n v="99"/>
    <n v="97.02"/>
    <n v="96.049799999999991"/>
    <n v="0.02"/>
    <n v="1.980000000000004"/>
    <n v="0.01"/>
    <n v="0.9702000000000055"/>
    <n v="0"/>
    <n v="0"/>
    <x v="1"/>
    <s v=""/>
  </r>
  <r>
    <n v="87"/>
    <d v="2026-04-04T00:00:00"/>
    <d v="2026-04-09T00:00:00"/>
    <x v="5"/>
    <s v="STU-531"/>
    <s v="New Customer"/>
    <x v="1"/>
    <x v="4"/>
    <x v="4"/>
    <x v="2"/>
    <n v="59"/>
    <x v="1"/>
    <x v="2"/>
    <n v="0"/>
    <n v="59"/>
    <n v="56.935000000000002"/>
    <n v="0"/>
    <n v="3.5000000000000003E-2"/>
    <n v="2.0649999999999977"/>
    <n v="0.01"/>
    <n v="0.56935000000000002"/>
    <n v="0"/>
    <n v="56.365650000000002"/>
    <x v="1"/>
    <s v=""/>
  </r>
  <r>
    <n v="88"/>
    <d v="2026-05-05T00:00:00"/>
    <d v="2026-05-06T00:00:00"/>
    <x v="3"/>
    <s v="STU-922"/>
    <s v="New Customer"/>
    <x v="2"/>
    <x v="0"/>
    <x v="1"/>
    <x v="1"/>
    <n v="29"/>
    <x v="1"/>
    <x v="0"/>
    <n v="0"/>
    <n v="29"/>
    <n v="28.42"/>
    <n v="0"/>
    <n v="0.02"/>
    <n v="0.57999999999999829"/>
    <n v="0.01"/>
    <n v="0.28419999999999845"/>
    <n v="0"/>
    <n v="28.135800000000003"/>
    <x v="0"/>
    <n v="10"/>
  </r>
  <r>
    <n v="89"/>
    <d v="2026-03-19T00:00:00"/>
    <d v="2026-03-22T00:00:00"/>
    <x v="0"/>
    <s v="STU-723"/>
    <s v="New Customer"/>
    <x v="1"/>
    <x v="4"/>
    <x v="7"/>
    <x v="3"/>
    <n v="99"/>
    <x v="0"/>
    <x v="1"/>
    <n v="0"/>
    <n v="99"/>
    <n v="99"/>
    <n v="98.01"/>
    <n v="0"/>
    <n v="0"/>
    <n v="0.01"/>
    <n v="0.98999999999999488"/>
    <n v="0"/>
    <n v="0"/>
    <x v="0"/>
    <n v="10"/>
  </r>
  <r>
    <n v="90"/>
    <d v="2026-02-15T00:00:00"/>
    <d v="2026-02-18T00:00:00"/>
    <x v="6"/>
    <s v="STU-106"/>
    <s v="New Customer"/>
    <x v="0"/>
    <x v="5"/>
    <x v="6"/>
    <x v="2"/>
    <n v="29"/>
    <x v="1"/>
    <x v="0"/>
    <n v="0"/>
    <n v="29"/>
    <n v="28.42"/>
    <n v="0"/>
    <n v="0.02"/>
    <n v="0.57999999999999829"/>
    <n v="0.01"/>
    <n v="0.28419999999999845"/>
    <n v="0"/>
    <n v="28.135800000000003"/>
    <x v="2"/>
    <s v=""/>
  </r>
  <r>
    <n v="91"/>
    <d v="2026-02-04T00:00:00"/>
    <d v="2026-02-09T00:00:00"/>
    <x v="6"/>
    <s v="STU-215"/>
    <s v="New Customer"/>
    <x v="2"/>
    <x v="7"/>
    <x v="7"/>
    <x v="3"/>
    <n v="99"/>
    <x v="1"/>
    <x v="3"/>
    <n v="0"/>
    <n v="99"/>
    <n v="97.02"/>
    <n v="0"/>
    <n v="0.02"/>
    <n v="1.980000000000004"/>
    <n v="0.01"/>
    <n v="0.9702000000000055"/>
    <n v="0"/>
    <n v="96.049799999999991"/>
    <x v="2"/>
    <s v=""/>
  </r>
  <r>
    <n v="92"/>
    <d v="2026-06-15T00:00:00"/>
    <d v="2026-06-19T00:00:00"/>
    <x v="1"/>
    <s v="STU-581"/>
    <s v="New Customer"/>
    <x v="1"/>
    <x v="2"/>
    <x v="3"/>
    <x v="3"/>
    <n v="59"/>
    <x v="0"/>
    <x v="4"/>
    <n v="0"/>
    <n v="59"/>
    <n v="56.935000000000002"/>
    <n v="56.365650000000002"/>
    <n v="3.5000000000000003E-2"/>
    <n v="2.0649999999999977"/>
    <n v="0.01"/>
    <n v="0.56935000000000002"/>
    <n v="0"/>
    <n v="0"/>
    <x v="1"/>
    <s v=""/>
  </r>
  <r>
    <n v="93"/>
    <d v="2026-01-07T00:00:00"/>
    <d v="2026-01-09T00:00:00"/>
    <x v="4"/>
    <s v="STU-628"/>
    <s v="New Customer"/>
    <x v="2"/>
    <x v="2"/>
    <x v="5"/>
    <x v="2"/>
    <n v="29"/>
    <x v="0"/>
    <x v="2"/>
    <n v="0"/>
    <n v="29"/>
    <n v="27.984999999999999"/>
    <n v="27.70515"/>
    <n v="3.5000000000000003E-2"/>
    <n v="1.0150000000000006"/>
    <n v="0.01"/>
    <n v="0.27984999999999971"/>
    <n v="0"/>
    <n v="0"/>
    <x v="1"/>
    <n v="10"/>
  </r>
  <r>
    <n v="94"/>
    <d v="2026-01-17T00:00:00"/>
    <d v="2026-01-19T00:00:00"/>
    <x v="4"/>
    <s v="STU-522"/>
    <s v="New Customer"/>
    <x v="1"/>
    <x v="0"/>
    <x v="4"/>
    <x v="2"/>
    <n v="59"/>
    <x v="0"/>
    <x v="2"/>
    <n v="0"/>
    <n v="59"/>
    <n v="56.935000000000002"/>
    <n v="56.365650000000002"/>
    <n v="3.5000000000000003E-2"/>
    <n v="2.0649999999999977"/>
    <n v="0.01"/>
    <n v="0.56935000000000002"/>
    <n v="0"/>
    <n v="0"/>
    <x v="0"/>
    <n v="10"/>
  </r>
  <r>
    <n v="95"/>
    <d v="2026-03-11T00:00:00"/>
    <d v="2026-03-12T00:00:00"/>
    <x v="0"/>
    <s v="STU-506"/>
    <s v="New Customer"/>
    <x v="1"/>
    <x v="5"/>
    <x v="1"/>
    <x v="1"/>
    <n v="29"/>
    <x v="0"/>
    <x v="4"/>
    <n v="0"/>
    <n v="29"/>
    <n v="27.984999999999999"/>
    <n v="27.70515"/>
    <n v="3.5000000000000003E-2"/>
    <n v="1.0150000000000006"/>
    <n v="0.01"/>
    <n v="0.27984999999999971"/>
    <n v="0"/>
    <n v="0"/>
    <x v="0"/>
    <s v=""/>
  </r>
  <r>
    <n v="96"/>
    <d v="2026-05-19T00:00:00"/>
    <d v="2026-05-20T00:00:00"/>
    <x v="3"/>
    <s v="STU-180"/>
    <s v="Returning Customer"/>
    <x v="1"/>
    <x v="5"/>
    <x v="1"/>
    <x v="1"/>
    <n v="29"/>
    <x v="1"/>
    <x v="3"/>
    <n v="0"/>
    <n v="29"/>
    <n v="28.42"/>
    <n v="0"/>
    <n v="0.02"/>
    <n v="0.57999999999999829"/>
    <n v="0.01"/>
    <n v="0.28419999999999845"/>
    <n v="0"/>
    <n v="28.135800000000003"/>
    <x v="2"/>
    <s v=""/>
  </r>
  <r>
    <n v="97"/>
    <d v="2026-04-09T00:00:00"/>
    <d v="2026-04-14T00:00:00"/>
    <x v="5"/>
    <s v="STU-598"/>
    <s v="New Customer"/>
    <x v="2"/>
    <x v="0"/>
    <x v="0"/>
    <x v="0"/>
    <n v="59"/>
    <x v="1"/>
    <x v="4"/>
    <n v="0"/>
    <n v="59"/>
    <n v="56.935000000000002"/>
    <n v="0"/>
    <n v="3.5000000000000003E-2"/>
    <n v="2.0649999999999977"/>
    <n v="0.01"/>
    <n v="0.56935000000000002"/>
    <n v="0"/>
    <n v="56.365650000000002"/>
    <x v="2"/>
    <n v="10"/>
  </r>
  <r>
    <n v="98"/>
    <d v="2026-03-27T00:00:00"/>
    <d v="2026-03-30T00:00:00"/>
    <x v="0"/>
    <s v="STU-394"/>
    <s v="New Customer"/>
    <x v="0"/>
    <x v="0"/>
    <x v="0"/>
    <x v="0"/>
    <n v="59"/>
    <x v="1"/>
    <x v="4"/>
    <n v="0"/>
    <n v="59"/>
    <n v="56.935000000000002"/>
    <n v="0"/>
    <n v="3.5000000000000003E-2"/>
    <n v="2.0649999999999977"/>
    <n v="0.01"/>
    <n v="0.56935000000000002"/>
    <n v="0"/>
    <n v="56.365650000000002"/>
    <x v="2"/>
    <s v=""/>
  </r>
  <r>
    <n v="99"/>
    <d v="2026-03-28T00:00:00"/>
    <d v="2026-04-01T00:00:00"/>
    <x v="5"/>
    <s v="STU-989"/>
    <s v="New Customer"/>
    <x v="1"/>
    <x v="6"/>
    <x v="7"/>
    <x v="3"/>
    <n v="99"/>
    <x v="0"/>
    <x v="3"/>
    <n v="0"/>
    <n v="99"/>
    <n v="97.02"/>
    <n v="96.049799999999991"/>
    <n v="0.02"/>
    <n v="1.980000000000004"/>
    <n v="0.01"/>
    <n v="0.9702000000000055"/>
    <n v="0"/>
    <n v="0"/>
    <x v="0"/>
    <s v=""/>
  </r>
  <r>
    <n v="100"/>
    <d v="2026-07-03T00:00:00"/>
    <d v="2026-07-04T00:00:00"/>
    <x v="2"/>
    <s v="STU-617"/>
    <s v="New Customer"/>
    <x v="0"/>
    <x v="3"/>
    <x v="4"/>
    <x v="2"/>
    <n v="59"/>
    <x v="2"/>
    <x v="1"/>
    <n v="0"/>
    <n v="59"/>
    <n v="59"/>
    <n v="0"/>
    <n v="0"/>
    <n v="0"/>
    <n v="0.01"/>
    <n v="0.59000000000000341"/>
    <n v="58.41"/>
    <n v="0"/>
    <x v="1"/>
    <s v=""/>
  </r>
  <r>
    <n v="101"/>
    <d v="2026-07-17T00:00:00"/>
    <d v="2026-07-20T00:00:00"/>
    <x v="2"/>
    <s v="STU-291"/>
    <s v="New Customer"/>
    <x v="1"/>
    <x v="6"/>
    <x v="6"/>
    <x v="2"/>
    <n v="29"/>
    <x v="0"/>
    <x v="4"/>
    <n v="0"/>
    <n v="29"/>
    <n v="27.984999999999999"/>
    <n v="27.70515"/>
    <n v="3.5000000000000003E-2"/>
    <n v="1.0150000000000006"/>
    <n v="0.01"/>
    <n v="0.27984999999999971"/>
    <n v="0"/>
    <n v="0"/>
    <x v="1"/>
    <s v=""/>
  </r>
  <r>
    <n v="102"/>
    <d v="2026-07-04T00:00:00"/>
    <d v="2026-07-07T00:00:00"/>
    <x v="2"/>
    <s v="STU-863"/>
    <s v="New Customer"/>
    <x v="2"/>
    <x v="2"/>
    <x v="5"/>
    <x v="2"/>
    <n v="29"/>
    <x v="0"/>
    <x v="4"/>
    <n v="0"/>
    <n v="29"/>
    <n v="27.984999999999999"/>
    <n v="27.70515"/>
    <n v="3.5000000000000003E-2"/>
    <n v="1.0150000000000006"/>
    <n v="0.01"/>
    <n v="0.27984999999999971"/>
    <n v="0"/>
    <n v="0"/>
    <x v="0"/>
    <n v="10"/>
  </r>
  <r>
    <n v="103"/>
    <d v="2026-03-05T00:00:00"/>
    <d v="2026-03-09T00:00:00"/>
    <x v="0"/>
    <s v="STU-303"/>
    <s v="New Customer"/>
    <x v="1"/>
    <x v="3"/>
    <x v="1"/>
    <x v="1"/>
    <n v="29"/>
    <x v="1"/>
    <x v="2"/>
    <n v="0"/>
    <n v="29"/>
    <n v="27.984999999999999"/>
    <n v="0"/>
    <n v="3.5000000000000003E-2"/>
    <n v="1.0150000000000006"/>
    <n v="0.01"/>
    <n v="0.27984999999999971"/>
    <n v="0"/>
    <n v="27.70515"/>
    <x v="1"/>
    <s v=""/>
  </r>
  <r>
    <n v="104"/>
    <d v="2026-03-28T00:00:00"/>
    <d v="2026-04-01T00:00:00"/>
    <x v="5"/>
    <s v="STU-444"/>
    <s v="New Customer"/>
    <x v="1"/>
    <x v="4"/>
    <x v="4"/>
    <x v="2"/>
    <n v="59"/>
    <x v="1"/>
    <x v="2"/>
    <n v="0"/>
    <n v="59"/>
    <n v="56.935000000000002"/>
    <n v="0"/>
    <n v="3.5000000000000003E-2"/>
    <n v="2.0649999999999977"/>
    <n v="0.01"/>
    <n v="0.56935000000000002"/>
    <n v="0"/>
    <n v="56.365650000000002"/>
    <x v="2"/>
    <s v=""/>
  </r>
  <r>
    <n v="105"/>
    <d v="2026-05-18T00:00:00"/>
    <d v="2026-05-18T00:00:00"/>
    <x v="3"/>
    <s v="STU-42"/>
    <s v="New Customer"/>
    <x v="1"/>
    <x v="0"/>
    <x v="2"/>
    <x v="2"/>
    <n v="29"/>
    <x v="0"/>
    <x v="1"/>
    <n v="0"/>
    <n v="29"/>
    <n v="29"/>
    <n v="28.71"/>
    <n v="0"/>
    <n v="0"/>
    <n v="0.01"/>
    <n v="0.28999999999999915"/>
    <n v="0"/>
    <n v="0"/>
    <x v="1"/>
    <s v=""/>
  </r>
  <r>
    <n v="106"/>
    <d v="2026-02-26T00:00:00"/>
    <d v="2026-03-02T00:00:00"/>
    <x v="0"/>
    <s v="STU-752"/>
    <s v="New Customer"/>
    <x v="1"/>
    <x v="5"/>
    <x v="5"/>
    <x v="2"/>
    <n v="29"/>
    <x v="0"/>
    <x v="0"/>
    <n v="0"/>
    <n v="29"/>
    <n v="28.42"/>
    <n v="28.135800000000003"/>
    <n v="0.02"/>
    <n v="0.57999999999999829"/>
    <n v="0.01"/>
    <n v="0.28419999999999845"/>
    <n v="0"/>
    <n v="0"/>
    <x v="0"/>
    <n v="10"/>
  </r>
  <r>
    <n v="107"/>
    <d v="2026-04-16T00:00:00"/>
    <d v="2026-04-21T00:00:00"/>
    <x v="5"/>
    <s v="STU-456"/>
    <s v="New Customer"/>
    <x v="2"/>
    <x v="6"/>
    <x v="1"/>
    <x v="1"/>
    <n v="29"/>
    <x v="1"/>
    <x v="2"/>
    <n v="0"/>
    <n v="29"/>
    <n v="27.984999999999999"/>
    <n v="0"/>
    <n v="3.5000000000000003E-2"/>
    <n v="1.0150000000000006"/>
    <n v="0.01"/>
    <n v="0.27984999999999971"/>
    <n v="0"/>
    <n v="27.70515"/>
    <x v="1"/>
    <s v=""/>
  </r>
  <r>
    <n v="108"/>
    <d v="2026-05-19T00:00:00"/>
    <d v="2026-05-24T00:00:00"/>
    <x v="3"/>
    <s v="STU-540"/>
    <s v="New Customer"/>
    <x v="1"/>
    <x v="7"/>
    <x v="5"/>
    <x v="2"/>
    <n v="29"/>
    <x v="0"/>
    <x v="0"/>
    <n v="0"/>
    <n v="29"/>
    <n v="28.42"/>
    <n v="28.135800000000003"/>
    <n v="0.02"/>
    <n v="0.57999999999999829"/>
    <n v="0.01"/>
    <n v="0.28419999999999845"/>
    <n v="0"/>
    <n v="0"/>
    <x v="0"/>
    <s v=""/>
  </r>
  <r>
    <n v="109"/>
    <d v="2026-06-07T00:00:00"/>
    <d v="2026-06-09T00:00:00"/>
    <x v="1"/>
    <s v="STU-188"/>
    <s v="New Customer"/>
    <x v="1"/>
    <x v="1"/>
    <x v="4"/>
    <x v="2"/>
    <n v="59"/>
    <x v="2"/>
    <x v="1"/>
    <n v="0"/>
    <n v="59"/>
    <n v="59"/>
    <n v="0"/>
    <n v="0"/>
    <n v="0"/>
    <n v="0.01"/>
    <n v="0.59000000000000341"/>
    <n v="58.41"/>
    <n v="0"/>
    <x v="1"/>
    <n v="10"/>
  </r>
  <r>
    <n v="110"/>
    <d v="2026-03-31T00:00:00"/>
    <d v="2026-04-05T00:00:00"/>
    <x v="5"/>
    <s v="STU-92"/>
    <s v="New Customer"/>
    <x v="2"/>
    <x v="4"/>
    <x v="7"/>
    <x v="3"/>
    <n v="99"/>
    <x v="1"/>
    <x v="3"/>
    <n v="0"/>
    <n v="99"/>
    <n v="97.02"/>
    <n v="0"/>
    <n v="0.02"/>
    <n v="1.980000000000004"/>
    <n v="0.01"/>
    <n v="0.9702000000000055"/>
    <n v="0"/>
    <n v="96.049799999999991"/>
    <x v="1"/>
    <s v=""/>
  </r>
  <r>
    <n v="111"/>
    <d v="2026-01-02T00:00:00"/>
    <d v="2026-01-02T00:00:00"/>
    <x v="4"/>
    <s v="STU-26"/>
    <s v="New Customer"/>
    <x v="2"/>
    <x v="4"/>
    <x v="6"/>
    <x v="2"/>
    <n v="29"/>
    <x v="1"/>
    <x v="0"/>
    <n v="0"/>
    <n v="29"/>
    <n v="28.42"/>
    <n v="0"/>
    <n v="0.02"/>
    <n v="0.57999999999999829"/>
    <n v="0.01"/>
    <n v="0.28419999999999845"/>
    <n v="0"/>
    <n v="28.135800000000003"/>
    <x v="1"/>
    <s v=""/>
  </r>
  <r>
    <n v="112"/>
    <d v="2026-06-17T00:00:00"/>
    <d v="2026-06-22T00:00:00"/>
    <x v="1"/>
    <s v="STU-101"/>
    <s v="New Customer"/>
    <x v="1"/>
    <x v="7"/>
    <x v="7"/>
    <x v="3"/>
    <n v="99"/>
    <x v="2"/>
    <x v="1"/>
    <n v="0"/>
    <n v="99"/>
    <n v="99"/>
    <n v="0"/>
    <n v="0"/>
    <n v="0"/>
    <n v="0.01"/>
    <n v="0.98999999999999488"/>
    <n v="98.01"/>
    <n v="0"/>
    <x v="2"/>
    <n v="10"/>
  </r>
  <r>
    <n v="113"/>
    <d v="2026-05-28T00:00:00"/>
    <d v="2026-05-30T00:00:00"/>
    <x v="3"/>
    <s v="STU-426"/>
    <s v="New Customer"/>
    <x v="0"/>
    <x v="7"/>
    <x v="7"/>
    <x v="3"/>
    <n v="99"/>
    <x v="0"/>
    <x v="4"/>
    <n v="0"/>
    <n v="99"/>
    <n v="95.534999999999997"/>
    <n v="94.579650000000001"/>
    <n v="3.5000000000000003E-2"/>
    <n v="3.4650000000000034"/>
    <n v="0.01"/>
    <n v="0.9553499999999957"/>
    <n v="0"/>
    <n v="0"/>
    <x v="0"/>
    <n v="10"/>
  </r>
  <r>
    <n v="114"/>
    <d v="2026-03-21T00:00:00"/>
    <d v="2026-03-25T00:00:00"/>
    <x v="0"/>
    <s v="STU-670"/>
    <s v="Returning Customer"/>
    <x v="0"/>
    <x v="7"/>
    <x v="4"/>
    <x v="2"/>
    <n v="59"/>
    <x v="1"/>
    <x v="4"/>
    <n v="0"/>
    <n v="59"/>
    <n v="56.935000000000002"/>
    <n v="0"/>
    <n v="3.5000000000000003E-2"/>
    <n v="2.0649999999999977"/>
    <n v="0.01"/>
    <n v="0.56935000000000002"/>
    <n v="0"/>
    <n v="56.365650000000002"/>
    <x v="0"/>
    <s v=""/>
  </r>
  <r>
    <n v="115"/>
    <d v="2026-07-08T00:00:00"/>
    <d v="2026-07-13T00:00:00"/>
    <x v="2"/>
    <s v="STU-297"/>
    <s v="New Customer"/>
    <x v="1"/>
    <x v="3"/>
    <x v="2"/>
    <x v="2"/>
    <n v="29"/>
    <x v="0"/>
    <x v="3"/>
    <n v="0"/>
    <n v="29"/>
    <n v="28.42"/>
    <n v="28.135800000000003"/>
    <n v="0.02"/>
    <n v="0.57999999999999829"/>
    <n v="0.01"/>
    <n v="0.28419999999999845"/>
    <n v="0"/>
    <n v="0"/>
    <x v="0"/>
    <n v="10"/>
  </r>
  <r>
    <n v="116"/>
    <d v="2026-06-16T00:00:00"/>
    <d v="2026-06-19T00:00:00"/>
    <x v="1"/>
    <s v="STU-251"/>
    <s v="New Customer"/>
    <x v="0"/>
    <x v="7"/>
    <x v="5"/>
    <x v="2"/>
    <n v="29"/>
    <x v="0"/>
    <x v="3"/>
    <n v="0"/>
    <n v="29"/>
    <n v="28.42"/>
    <n v="28.135800000000003"/>
    <n v="0.02"/>
    <n v="0.57999999999999829"/>
    <n v="0.01"/>
    <n v="0.28419999999999845"/>
    <n v="0"/>
    <n v="0"/>
    <x v="2"/>
    <s v=""/>
  </r>
  <r>
    <n v="117"/>
    <d v="2026-03-30T00:00:00"/>
    <d v="2026-03-31T00:00:00"/>
    <x v="0"/>
    <s v="STU-338"/>
    <s v="New Customer"/>
    <x v="2"/>
    <x v="1"/>
    <x v="0"/>
    <x v="0"/>
    <n v="59"/>
    <x v="1"/>
    <x v="0"/>
    <n v="0"/>
    <n v="59"/>
    <n v="57.82"/>
    <n v="0"/>
    <n v="0.02"/>
    <n v="1.1799999999999997"/>
    <n v="0.01"/>
    <n v="0.57820000000000249"/>
    <n v="0"/>
    <n v="57.241799999999998"/>
    <x v="0"/>
    <s v=""/>
  </r>
  <r>
    <n v="118"/>
    <d v="2026-01-02T00:00:00"/>
    <d v="2026-01-02T00:00:00"/>
    <x v="4"/>
    <s v="STU-948"/>
    <s v="New Customer"/>
    <x v="1"/>
    <x v="2"/>
    <x v="5"/>
    <x v="2"/>
    <n v="29"/>
    <x v="1"/>
    <x v="4"/>
    <n v="0"/>
    <n v="29"/>
    <n v="27.984999999999999"/>
    <n v="0"/>
    <n v="3.5000000000000003E-2"/>
    <n v="1.0150000000000006"/>
    <n v="0.01"/>
    <n v="0.27984999999999971"/>
    <n v="0"/>
    <n v="27.70515"/>
    <x v="0"/>
    <n v="10"/>
  </r>
  <r>
    <n v="119"/>
    <d v="2026-03-07T00:00:00"/>
    <d v="2026-03-07T00:00:00"/>
    <x v="0"/>
    <s v="STU-703"/>
    <s v="New Customer"/>
    <x v="0"/>
    <x v="7"/>
    <x v="5"/>
    <x v="2"/>
    <n v="29"/>
    <x v="0"/>
    <x v="0"/>
    <n v="0"/>
    <n v="29"/>
    <n v="28.42"/>
    <n v="28.135800000000003"/>
    <n v="0.02"/>
    <n v="0.57999999999999829"/>
    <n v="0.01"/>
    <n v="0.28419999999999845"/>
    <n v="0"/>
    <n v="0"/>
    <x v="1"/>
    <s v=""/>
  </r>
  <r>
    <n v="120"/>
    <d v="2026-01-09T00:00:00"/>
    <d v="2026-01-12T00:00:00"/>
    <x v="4"/>
    <s v="STU-227"/>
    <s v="New Customer"/>
    <x v="1"/>
    <x v="6"/>
    <x v="4"/>
    <x v="2"/>
    <n v="59"/>
    <x v="0"/>
    <x v="3"/>
    <n v="0"/>
    <n v="59"/>
    <n v="57.82"/>
    <n v="57.241799999999998"/>
    <n v="0.02"/>
    <n v="1.1799999999999997"/>
    <n v="0.01"/>
    <n v="0.57820000000000249"/>
    <n v="0"/>
    <n v="0"/>
    <x v="1"/>
    <s v=""/>
  </r>
  <r>
    <n v="121"/>
    <d v="2026-06-14T00:00:00"/>
    <d v="2026-06-19T00:00:00"/>
    <x v="1"/>
    <s v="STU-996"/>
    <s v="New Customer"/>
    <x v="2"/>
    <x v="4"/>
    <x v="7"/>
    <x v="3"/>
    <n v="99"/>
    <x v="1"/>
    <x v="1"/>
    <n v="0"/>
    <n v="99"/>
    <n v="99"/>
    <n v="0"/>
    <n v="0"/>
    <n v="0"/>
    <n v="0.01"/>
    <n v="0.98999999999999488"/>
    <n v="0"/>
    <n v="98.01"/>
    <x v="0"/>
    <n v="10"/>
  </r>
  <r>
    <n v="122"/>
    <d v="2026-06-25T00:00:00"/>
    <d v="2026-06-25T00:00:00"/>
    <x v="1"/>
    <s v="STU-301"/>
    <s v="New Customer"/>
    <x v="1"/>
    <x v="1"/>
    <x v="6"/>
    <x v="2"/>
    <n v="29"/>
    <x v="1"/>
    <x v="2"/>
    <n v="0"/>
    <n v="29"/>
    <n v="27.984999999999999"/>
    <n v="0"/>
    <n v="3.5000000000000003E-2"/>
    <n v="1.0150000000000006"/>
    <n v="0.01"/>
    <n v="0.27984999999999971"/>
    <n v="0"/>
    <n v="27.70515"/>
    <x v="1"/>
    <s v=""/>
  </r>
  <r>
    <n v="123"/>
    <d v="2026-01-20T00:00:00"/>
    <d v="2026-01-24T00:00:00"/>
    <x v="4"/>
    <s v="STU-329"/>
    <s v="Returning Customer"/>
    <x v="0"/>
    <x v="5"/>
    <x v="4"/>
    <x v="2"/>
    <n v="59"/>
    <x v="0"/>
    <x v="3"/>
    <n v="0"/>
    <n v="59"/>
    <n v="57.82"/>
    <n v="57.241799999999998"/>
    <n v="0.02"/>
    <n v="1.1799999999999997"/>
    <n v="0.01"/>
    <n v="0.57820000000000249"/>
    <n v="0"/>
    <n v="0"/>
    <x v="0"/>
    <n v="10"/>
  </r>
  <r>
    <n v="124"/>
    <d v="2026-04-08T00:00:00"/>
    <d v="2026-04-12T00:00:00"/>
    <x v="5"/>
    <s v="STU-831"/>
    <s v="New Customer"/>
    <x v="2"/>
    <x v="6"/>
    <x v="1"/>
    <x v="1"/>
    <n v="29"/>
    <x v="1"/>
    <x v="3"/>
    <n v="0"/>
    <n v="29"/>
    <n v="28.42"/>
    <n v="0"/>
    <n v="0.02"/>
    <n v="0.57999999999999829"/>
    <n v="0.01"/>
    <n v="0.28419999999999845"/>
    <n v="0"/>
    <n v="28.135800000000003"/>
    <x v="1"/>
    <n v="10"/>
  </r>
  <r>
    <n v="125"/>
    <d v="2026-04-09T00:00:00"/>
    <d v="2026-04-14T00:00:00"/>
    <x v="5"/>
    <s v="STU-978"/>
    <s v="New Customer"/>
    <x v="1"/>
    <x v="0"/>
    <x v="0"/>
    <x v="0"/>
    <n v="59"/>
    <x v="1"/>
    <x v="3"/>
    <n v="0"/>
    <n v="59"/>
    <n v="57.82"/>
    <n v="0"/>
    <n v="0.02"/>
    <n v="1.1799999999999997"/>
    <n v="0.01"/>
    <n v="0.57820000000000249"/>
    <n v="0"/>
    <n v="57.241799999999998"/>
    <x v="2"/>
    <s v=""/>
  </r>
  <r>
    <n v="126"/>
    <d v="2026-01-30T00:00:00"/>
    <d v="2026-02-04T00:00:00"/>
    <x v="6"/>
    <s v="STU-689"/>
    <s v="New Customer"/>
    <x v="0"/>
    <x v="4"/>
    <x v="4"/>
    <x v="2"/>
    <n v="59"/>
    <x v="1"/>
    <x v="3"/>
    <n v="0"/>
    <n v="59"/>
    <n v="57.82"/>
    <n v="0"/>
    <n v="0.02"/>
    <n v="1.1799999999999997"/>
    <n v="0.01"/>
    <n v="0.57820000000000249"/>
    <n v="0"/>
    <n v="57.241799999999998"/>
    <x v="2"/>
    <s v=""/>
  </r>
  <r>
    <n v="127"/>
    <d v="2026-01-20T00:00:00"/>
    <d v="2026-01-22T00:00:00"/>
    <x v="4"/>
    <s v="STU-877"/>
    <s v="New Customer"/>
    <x v="2"/>
    <x v="1"/>
    <x v="5"/>
    <x v="2"/>
    <n v="29"/>
    <x v="1"/>
    <x v="3"/>
    <n v="0"/>
    <n v="29"/>
    <n v="28.42"/>
    <n v="0"/>
    <n v="0.02"/>
    <n v="0.57999999999999829"/>
    <n v="0.01"/>
    <n v="0.28419999999999845"/>
    <n v="0"/>
    <n v="28.135800000000003"/>
    <x v="2"/>
    <s v=""/>
  </r>
  <r>
    <n v="128"/>
    <d v="2026-02-19T00:00:00"/>
    <d v="2026-02-23T00:00:00"/>
    <x v="6"/>
    <s v="STU-406"/>
    <s v="Returning Customer"/>
    <x v="1"/>
    <x v="4"/>
    <x v="6"/>
    <x v="2"/>
    <n v="29"/>
    <x v="0"/>
    <x v="0"/>
    <n v="0"/>
    <n v="29"/>
    <n v="28.42"/>
    <n v="28.135800000000003"/>
    <n v="0.02"/>
    <n v="0.57999999999999829"/>
    <n v="0.01"/>
    <n v="0.28419999999999845"/>
    <n v="0"/>
    <n v="0"/>
    <x v="1"/>
    <n v="10"/>
  </r>
  <r>
    <n v="129"/>
    <d v="2026-02-14T00:00:00"/>
    <d v="2026-02-14T00:00:00"/>
    <x v="6"/>
    <s v="STU-533"/>
    <s v="New Customer"/>
    <x v="1"/>
    <x v="1"/>
    <x v="5"/>
    <x v="2"/>
    <n v="29"/>
    <x v="0"/>
    <x v="0"/>
    <n v="0"/>
    <n v="29"/>
    <n v="28.42"/>
    <n v="28.135800000000003"/>
    <n v="0.02"/>
    <n v="0.57999999999999829"/>
    <n v="0.01"/>
    <n v="0.28419999999999845"/>
    <n v="0"/>
    <n v="0"/>
    <x v="0"/>
    <s v=""/>
  </r>
  <r>
    <n v="130"/>
    <d v="2026-03-05T00:00:00"/>
    <d v="2026-03-05T00:00:00"/>
    <x v="0"/>
    <s v="STU-436"/>
    <s v="New Customer"/>
    <x v="0"/>
    <x v="3"/>
    <x v="5"/>
    <x v="2"/>
    <n v="29"/>
    <x v="0"/>
    <x v="2"/>
    <n v="0"/>
    <n v="29"/>
    <n v="27.984999999999999"/>
    <n v="27.70515"/>
    <n v="3.5000000000000003E-2"/>
    <n v="1.0150000000000006"/>
    <n v="0.01"/>
    <n v="0.27984999999999971"/>
    <n v="0"/>
    <n v="0"/>
    <x v="1"/>
    <n v="10"/>
  </r>
  <r>
    <n v="131"/>
    <d v="2026-03-30T00:00:00"/>
    <d v="2026-04-02T00:00:00"/>
    <x v="5"/>
    <s v="STU-106"/>
    <s v="Returning Customer"/>
    <x v="2"/>
    <x v="6"/>
    <x v="7"/>
    <x v="3"/>
    <n v="99"/>
    <x v="1"/>
    <x v="4"/>
    <n v="0"/>
    <n v="99"/>
    <n v="95.534999999999997"/>
    <n v="0"/>
    <n v="3.5000000000000003E-2"/>
    <n v="3.4650000000000034"/>
    <n v="0.01"/>
    <n v="0.9553499999999957"/>
    <n v="0"/>
    <n v="94.579650000000001"/>
    <x v="1"/>
    <n v="10"/>
  </r>
  <r>
    <n v="132"/>
    <d v="2026-01-23T00:00:00"/>
    <d v="2026-01-28T00:00:00"/>
    <x v="4"/>
    <s v="STU-114"/>
    <s v="New Customer"/>
    <x v="1"/>
    <x v="5"/>
    <x v="2"/>
    <x v="2"/>
    <n v="29"/>
    <x v="1"/>
    <x v="1"/>
    <n v="0"/>
    <n v="29"/>
    <n v="29"/>
    <n v="0"/>
    <n v="0"/>
    <n v="0"/>
    <n v="0.01"/>
    <n v="0.28999999999999915"/>
    <n v="0"/>
    <n v="28.71"/>
    <x v="2"/>
    <n v="10"/>
  </r>
  <r>
    <n v="133"/>
    <d v="2026-04-27T00:00:00"/>
    <d v="2026-05-02T00:00:00"/>
    <x v="3"/>
    <s v="STU-699"/>
    <s v="New Customer"/>
    <x v="2"/>
    <x v="5"/>
    <x v="6"/>
    <x v="2"/>
    <n v="29"/>
    <x v="1"/>
    <x v="2"/>
    <n v="0"/>
    <n v="29"/>
    <n v="27.984999999999999"/>
    <n v="0"/>
    <n v="3.5000000000000003E-2"/>
    <n v="1.0150000000000006"/>
    <n v="0.01"/>
    <n v="0.27984999999999971"/>
    <n v="0"/>
    <n v="27.70515"/>
    <x v="0"/>
    <n v="10"/>
  </r>
  <r>
    <n v="134"/>
    <d v="2026-07-05T00:00:00"/>
    <d v="2026-07-09T00:00:00"/>
    <x v="2"/>
    <s v="STU-876"/>
    <s v="New Customer"/>
    <x v="0"/>
    <x v="3"/>
    <x v="5"/>
    <x v="2"/>
    <n v="29"/>
    <x v="1"/>
    <x v="1"/>
    <n v="0"/>
    <n v="29"/>
    <n v="29"/>
    <n v="0"/>
    <n v="0"/>
    <n v="0"/>
    <n v="0.01"/>
    <n v="0.28999999999999915"/>
    <n v="0"/>
    <n v="28.71"/>
    <x v="2"/>
    <n v="10"/>
  </r>
  <r>
    <n v="135"/>
    <d v="2026-06-14T00:00:00"/>
    <d v="2026-06-14T00:00:00"/>
    <x v="1"/>
    <s v="STU-877"/>
    <s v="Returning Customer"/>
    <x v="2"/>
    <x v="1"/>
    <x v="0"/>
    <x v="0"/>
    <n v="59"/>
    <x v="0"/>
    <x v="3"/>
    <n v="0"/>
    <n v="59"/>
    <n v="57.82"/>
    <n v="57.241799999999998"/>
    <n v="0.02"/>
    <n v="1.1799999999999997"/>
    <n v="0.01"/>
    <n v="0.57820000000000249"/>
    <n v="0"/>
    <n v="0"/>
    <x v="2"/>
    <s v=""/>
  </r>
  <r>
    <n v="136"/>
    <d v="2026-06-01T00:00:00"/>
    <d v="2026-06-06T00:00:00"/>
    <x v="1"/>
    <s v="STU-672"/>
    <s v="New Customer"/>
    <x v="1"/>
    <x v="4"/>
    <x v="5"/>
    <x v="2"/>
    <n v="29"/>
    <x v="1"/>
    <x v="1"/>
    <n v="0"/>
    <n v="29"/>
    <n v="29"/>
    <n v="0"/>
    <n v="0"/>
    <n v="0"/>
    <n v="0.01"/>
    <n v="0.28999999999999915"/>
    <n v="0"/>
    <n v="28.71"/>
    <x v="0"/>
    <n v="10"/>
  </r>
  <r>
    <n v="137"/>
    <d v="2026-06-01T00:00:00"/>
    <d v="2026-06-04T00:00:00"/>
    <x v="1"/>
    <s v="STU-727"/>
    <s v="New Customer"/>
    <x v="2"/>
    <x v="4"/>
    <x v="1"/>
    <x v="1"/>
    <n v="29"/>
    <x v="1"/>
    <x v="3"/>
    <n v="0"/>
    <n v="29"/>
    <n v="28.42"/>
    <n v="0"/>
    <n v="0.02"/>
    <n v="0.57999999999999829"/>
    <n v="0.01"/>
    <n v="0.28419999999999845"/>
    <n v="0"/>
    <n v="28.135800000000003"/>
    <x v="1"/>
    <n v="10"/>
  </r>
  <r>
    <n v="138"/>
    <d v="2026-01-31T00:00:00"/>
    <d v="2026-02-03T00:00:00"/>
    <x v="6"/>
    <s v="STU-39"/>
    <s v="New Customer"/>
    <x v="2"/>
    <x v="7"/>
    <x v="4"/>
    <x v="2"/>
    <n v="59"/>
    <x v="0"/>
    <x v="1"/>
    <n v="0"/>
    <n v="59"/>
    <n v="59"/>
    <n v="58.41"/>
    <n v="0"/>
    <n v="0"/>
    <n v="0.01"/>
    <n v="0.59000000000000341"/>
    <n v="0"/>
    <n v="0"/>
    <x v="0"/>
    <n v="10"/>
  </r>
  <r>
    <n v="139"/>
    <d v="2026-01-02T00:00:00"/>
    <d v="2026-01-04T00:00:00"/>
    <x v="4"/>
    <s v="STU-946"/>
    <s v="New Customer"/>
    <x v="2"/>
    <x v="3"/>
    <x v="0"/>
    <x v="0"/>
    <n v="59"/>
    <x v="1"/>
    <x v="1"/>
    <n v="0"/>
    <n v="59"/>
    <n v="59"/>
    <n v="0"/>
    <n v="0"/>
    <n v="0"/>
    <n v="0.01"/>
    <n v="0.59000000000000341"/>
    <n v="0"/>
    <n v="58.41"/>
    <x v="1"/>
    <s v=""/>
  </r>
  <r>
    <n v="140"/>
    <d v="2026-04-30T00:00:00"/>
    <d v="2026-05-03T00:00:00"/>
    <x v="3"/>
    <s v="STU-579"/>
    <s v="New Customer"/>
    <x v="0"/>
    <x v="2"/>
    <x v="7"/>
    <x v="3"/>
    <n v="99"/>
    <x v="1"/>
    <x v="4"/>
    <n v="0"/>
    <n v="99"/>
    <n v="95.534999999999997"/>
    <n v="0"/>
    <n v="3.5000000000000003E-2"/>
    <n v="3.4650000000000034"/>
    <n v="0.01"/>
    <n v="0.9553499999999957"/>
    <n v="0"/>
    <n v="94.579650000000001"/>
    <x v="0"/>
    <s v=""/>
  </r>
  <r>
    <n v="141"/>
    <d v="2026-01-07T00:00:00"/>
    <d v="2026-01-08T00:00:00"/>
    <x v="4"/>
    <s v="STU-106"/>
    <s v="Returning Customer"/>
    <x v="0"/>
    <x v="0"/>
    <x v="7"/>
    <x v="3"/>
    <n v="99"/>
    <x v="1"/>
    <x v="2"/>
    <n v="0"/>
    <n v="99"/>
    <n v="95.534999999999997"/>
    <n v="0"/>
    <n v="3.5000000000000003E-2"/>
    <n v="3.4650000000000034"/>
    <n v="0.01"/>
    <n v="0.9553499999999957"/>
    <n v="0"/>
    <n v="94.579650000000001"/>
    <x v="1"/>
    <s v=""/>
  </r>
  <r>
    <n v="142"/>
    <d v="2026-04-04T00:00:00"/>
    <d v="2026-04-08T00:00:00"/>
    <x v="5"/>
    <s v="STU-452"/>
    <s v="New Customer"/>
    <x v="2"/>
    <x v="4"/>
    <x v="0"/>
    <x v="0"/>
    <n v="59"/>
    <x v="1"/>
    <x v="0"/>
    <n v="0"/>
    <n v="59"/>
    <n v="57.82"/>
    <n v="0"/>
    <n v="0.02"/>
    <n v="1.1799999999999997"/>
    <n v="0.01"/>
    <n v="0.57820000000000249"/>
    <n v="0"/>
    <n v="57.241799999999998"/>
    <x v="2"/>
    <n v="10"/>
  </r>
  <r>
    <n v="143"/>
    <d v="2026-04-14T00:00:00"/>
    <d v="2026-04-16T00:00:00"/>
    <x v="5"/>
    <s v="STU-601"/>
    <s v="New Customer"/>
    <x v="2"/>
    <x v="4"/>
    <x v="0"/>
    <x v="0"/>
    <n v="59"/>
    <x v="1"/>
    <x v="0"/>
    <n v="0"/>
    <n v="59"/>
    <n v="57.82"/>
    <n v="0"/>
    <n v="0.02"/>
    <n v="1.1799999999999997"/>
    <n v="0.01"/>
    <n v="0.57820000000000249"/>
    <n v="0"/>
    <n v="57.241799999999998"/>
    <x v="0"/>
    <n v="10"/>
  </r>
  <r>
    <n v="144"/>
    <d v="2026-04-22T00:00:00"/>
    <d v="2026-04-23T00:00:00"/>
    <x v="5"/>
    <s v="STU-842"/>
    <s v="New Customer"/>
    <x v="1"/>
    <x v="0"/>
    <x v="1"/>
    <x v="1"/>
    <n v="29"/>
    <x v="1"/>
    <x v="1"/>
    <n v="0"/>
    <n v="29"/>
    <n v="29"/>
    <n v="0"/>
    <n v="0"/>
    <n v="0"/>
    <n v="0.01"/>
    <n v="0.28999999999999915"/>
    <n v="0"/>
    <n v="28.71"/>
    <x v="2"/>
    <s v=""/>
  </r>
  <r>
    <n v="145"/>
    <d v="2026-04-15T00:00:00"/>
    <d v="2026-04-16T00:00:00"/>
    <x v="5"/>
    <s v="STU-581"/>
    <s v="Returning Customer"/>
    <x v="1"/>
    <x v="1"/>
    <x v="1"/>
    <x v="1"/>
    <n v="29"/>
    <x v="1"/>
    <x v="2"/>
    <n v="0"/>
    <n v="29"/>
    <n v="27.984999999999999"/>
    <n v="0"/>
    <n v="3.5000000000000003E-2"/>
    <n v="1.0150000000000006"/>
    <n v="0.01"/>
    <n v="0.27984999999999971"/>
    <n v="0"/>
    <n v="27.70515"/>
    <x v="1"/>
    <s v=""/>
  </r>
  <r>
    <n v="146"/>
    <d v="2026-05-04T00:00:00"/>
    <d v="2026-05-07T00:00:00"/>
    <x v="3"/>
    <s v="STU-468"/>
    <s v="New Customer"/>
    <x v="0"/>
    <x v="6"/>
    <x v="3"/>
    <x v="3"/>
    <n v="59"/>
    <x v="0"/>
    <x v="2"/>
    <n v="0"/>
    <n v="59"/>
    <n v="56.935000000000002"/>
    <n v="56.365650000000002"/>
    <n v="3.5000000000000003E-2"/>
    <n v="2.0649999999999977"/>
    <n v="0.01"/>
    <n v="0.56935000000000002"/>
    <n v="0"/>
    <n v="0"/>
    <x v="2"/>
    <n v="10"/>
  </r>
  <r>
    <n v="147"/>
    <d v="2026-07-21T00:00:00"/>
    <d v="2026-07-22T00:00:00"/>
    <x v="2"/>
    <s v="STU-19"/>
    <s v="New Customer"/>
    <x v="1"/>
    <x v="3"/>
    <x v="1"/>
    <x v="1"/>
    <n v="29"/>
    <x v="1"/>
    <x v="2"/>
    <n v="0"/>
    <n v="29"/>
    <n v="27.984999999999999"/>
    <n v="0"/>
    <n v="3.5000000000000003E-2"/>
    <n v="1.0150000000000006"/>
    <n v="0.01"/>
    <n v="0.27984999999999971"/>
    <n v="0"/>
    <n v="27.70515"/>
    <x v="2"/>
    <s v=""/>
  </r>
  <r>
    <n v="148"/>
    <d v="2026-07-09T00:00:00"/>
    <d v="2026-07-12T00:00:00"/>
    <x v="2"/>
    <s v="STU-219"/>
    <s v="New Customer"/>
    <x v="2"/>
    <x v="6"/>
    <x v="5"/>
    <x v="2"/>
    <n v="29"/>
    <x v="1"/>
    <x v="2"/>
    <n v="0"/>
    <n v="29"/>
    <n v="27.984999999999999"/>
    <n v="0"/>
    <n v="3.5000000000000003E-2"/>
    <n v="1.0150000000000006"/>
    <n v="0.01"/>
    <n v="0.27984999999999971"/>
    <n v="0"/>
    <n v="27.70515"/>
    <x v="1"/>
    <s v=""/>
  </r>
  <r>
    <n v="149"/>
    <d v="2026-03-05T00:00:00"/>
    <d v="2026-03-10T00:00:00"/>
    <x v="0"/>
    <s v="STU-113"/>
    <s v="Returning Customer"/>
    <x v="0"/>
    <x v="7"/>
    <x v="2"/>
    <x v="2"/>
    <n v="29"/>
    <x v="1"/>
    <x v="1"/>
    <n v="0"/>
    <n v="29"/>
    <n v="29"/>
    <n v="0"/>
    <n v="0"/>
    <n v="0"/>
    <n v="0.01"/>
    <n v="0.28999999999999915"/>
    <n v="0"/>
    <n v="28.71"/>
    <x v="1"/>
    <n v="10"/>
  </r>
  <r>
    <n v="150"/>
    <d v="2026-05-08T00:00:00"/>
    <d v="2026-05-10T00:00:00"/>
    <x v="3"/>
    <s v="STU-169"/>
    <s v="Returning Customer"/>
    <x v="1"/>
    <x v="4"/>
    <x v="5"/>
    <x v="2"/>
    <n v="29"/>
    <x v="1"/>
    <x v="1"/>
    <n v="0"/>
    <n v="29"/>
    <n v="29"/>
    <n v="0"/>
    <n v="0"/>
    <n v="0"/>
    <n v="0.01"/>
    <n v="0.28999999999999915"/>
    <n v="0"/>
    <n v="28.71"/>
    <x v="0"/>
    <n v="10"/>
  </r>
  <r>
    <n v="151"/>
    <d v="2026-06-05T00:00:00"/>
    <d v="2026-06-08T00:00:00"/>
    <x v="1"/>
    <s v="STU-35"/>
    <s v="New Customer"/>
    <x v="2"/>
    <x v="2"/>
    <x v="4"/>
    <x v="2"/>
    <n v="59"/>
    <x v="1"/>
    <x v="1"/>
    <n v="0"/>
    <n v="59"/>
    <n v="59"/>
    <n v="0"/>
    <n v="0"/>
    <n v="0"/>
    <n v="0.01"/>
    <n v="0.59000000000000341"/>
    <n v="0"/>
    <n v="58.41"/>
    <x v="0"/>
    <s v=""/>
  </r>
  <r>
    <n v="152"/>
    <d v="2026-02-26T00:00:00"/>
    <d v="2026-03-01T00:00:00"/>
    <x v="0"/>
    <s v="STU-784"/>
    <s v="New Customer"/>
    <x v="1"/>
    <x v="7"/>
    <x v="6"/>
    <x v="2"/>
    <n v="29"/>
    <x v="0"/>
    <x v="3"/>
    <n v="0"/>
    <n v="29"/>
    <n v="28.42"/>
    <n v="28.135800000000003"/>
    <n v="0.02"/>
    <n v="0.57999999999999829"/>
    <n v="0.01"/>
    <n v="0.28419999999999845"/>
    <n v="0"/>
    <n v="0"/>
    <x v="0"/>
    <s v=""/>
  </r>
  <r>
    <n v="153"/>
    <d v="2026-06-02T00:00:00"/>
    <d v="2026-06-03T00:00:00"/>
    <x v="1"/>
    <s v="STU-142"/>
    <s v="New Customer"/>
    <x v="2"/>
    <x v="1"/>
    <x v="1"/>
    <x v="1"/>
    <n v="29"/>
    <x v="0"/>
    <x v="0"/>
    <n v="0"/>
    <n v="29"/>
    <n v="28.42"/>
    <n v="28.135800000000003"/>
    <n v="0.02"/>
    <n v="0.57999999999999829"/>
    <n v="0.01"/>
    <n v="0.28419999999999845"/>
    <n v="0"/>
    <n v="0"/>
    <x v="0"/>
    <s v=""/>
  </r>
  <r>
    <n v="154"/>
    <d v="2026-04-22T00:00:00"/>
    <d v="2026-04-24T00:00:00"/>
    <x v="5"/>
    <s v="STU-399"/>
    <s v="Returning Customer"/>
    <x v="0"/>
    <x v="3"/>
    <x v="0"/>
    <x v="0"/>
    <n v="59"/>
    <x v="0"/>
    <x v="2"/>
    <n v="0"/>
    <n v="59"/>
    <n v="56.935000000000002"/>
    <n v="56.365650000000002"/>
    <n v="3.5000000000000003E-2"/>
    <n v="2.0649999999999977"/>
    <n v="0.01"/>
    <n v="0.56935000000000002"/>
    <n v="0"/>
    <n v="0"/>
    <x v="1"/>
    <n v="10"/>
  </r>
  <r>
    <n v="155"/>
    <d v="2026-03-29T00:00:00"/>
    <d v="2026-04-02T00:00:00"/>
    <x v="5"/>
    <s v="STU-620"/>
    <s v="New Customer"/>
    <x v="1"/>
    <x v="5"/>
    <x v="6"/>
    <x v="2"/>
    <n v="29"/>
    <x v="2"/>
    <x v="2"/>
    <n v="0"/>
    <n v="29"/>
    <n v="27.984999999999999"/>
    <n v="0"/>
    <n v="3.5000000000000003E-2"/>
    <n v="1.0150000000000006"/>
    <n v="0.01"/>
    <n v="0.27984999999999971"/>
    <n v="27.70515"/>
    <n v="0"/>
    <x v="2"/>
    <s v=""/>
  </r>
  <r>
    <n v="156"/>
    <d v="2026-07-30T00:00:00"/>
    <d v="2026-04-02T00:00:00"/>
    <x v="5"/>
    <s v="STU-567"/>
    <s v="New Customer"/>
    <x v="1"/>
    <x v="2"/>
    <x v="4"/>
    <x v="2"/>
    <n v="59"/>
    <x v="2"/>
    <x v="2"/>
    <n v="0"/>
    <n v="59"/>
    <n v="56.935000000000002"/>
    <n v="0"/>
    <n v="3.5000000000000003E-2"/>
    <n v="2.0649999999999977"/>
    <n v="0.01"/>
    <n v="0.56935000000000002"/>
    <n v="56.365650000000002"/>
    <n v="0"/>
    <x v="2"/>
    <s v=""/>
  </r>
  <r>
    <n v="157"/>
    <d v="2026-07-07T00:00:00"/>
    <d v="2026-07-08T00:00:00"/>
    <x v="2"/>
    <s v="STU-705"/>
    <s v="New Customer"/>
    <x v="0"/>
    <x v="4"/>
    <x v="6"/>
    <x v="2"/>
    <n v="29"/>
    <x v="1"/>
    <x v="0"/>
    <n v="0"/>
    <n v="29"/>
    <n v="28.42"/>
    <n v="0"/>
    <n v="0.02"/>
    <n v="0.57999999999999829"/>
    <n v="0.01"/>
    <n v="0.28419999999999845"/>
    <n v="0"/>
    <n v="28.135800000000003"/>
    <x v="0"/>
    <n v="10"/>
  </r>
  <r>
    <n v="158"/>
    <d v="2026-01-17T00:00:00"/>
    <d v="2026-01-22T00:00:00"/>
    <x v="4"/>
    <s v="STU-532"/>
    <s v="New Customer"/>
    <x v="0"/>
    <x v="4"/>
    <x v="6"/>
    <x v="2"/>
    <n v="29"/>
    <x v="1"/>
    <x v="0"/>
    <n v="0"/>
    <n v="29"/>
    <n v="28.42"/>
    <n v="0"/>
    <n v="0.02"/>
    <n v="0.57999999999999829"/>
    <n v="0.01"/>
    <n v="0.28419999999999845"/>
    <n v="0"/>
    <n v="28.135800000000003"/>
    <x v="1"/>
    <n v="10"/>
  </r>
  <r>
    <n v="159"/>
    <d v="2026-06-18T00:00:00"/>
    <d v="2026-06-19T00:00:00"/>
    <x v="1"/>
    <s v="STU-124"/>
    <s v="New Customer"/>
    <x v="2"/>
    <x v="6"/>
    <x v="5"/>
    <x v="2"/>
    <n v="29"/>
    <x v="2"/>
    <x v="3"/>
    <n v="0"/>
    <n v="29"/>
    <n v="28.42"/>
    <n v="0"/>
    <n v="0.02"/>
    <n v="0.57999999999999829"/>
    <n v="0.01"/>
    <n v="0.28419999999999845"/>
    <n v="28.135800000000003"/>
    <n v="0"/>
    <x v="1"/>
    <s v=""/>
  </r>
  <r>
    <n v="160"/>
    <d v="2026-04-25T00:00:00"/>
    <d v="2026-04-28T00:00:00"/>
    <x v="5"/>
    <s v="STU-954"/>
    <s v="New Customer"/>
    <x v="0"/>
    <x v="5"/>
    <x v="6"/>
    <x v="2"/>
    <n v="29"/>
    <x v="1"/>
    <x v="2"/>
    <n v="0"/>
    <n v="29"/>
    <n v="27.984999999999999"/>
    <n v="0"/>
    <n v="3.5000000000000003E-2"/>
    <n v="1.0150000000000006"/>
    <n v="0.01"/>
    <n v="0.27984999999999971"/>
    <n v="0"/>
    <n v="27.70515"/>
    <x v="1"/>
    <s v=""/>
  </r>
  <r>
    <n v="161"/>
    <d v="2026-04-21T00:00:00"/>
    <d v="2026-04-21T00:00:00"/>
    <x v="5"/>
    <s v="STU-90"/>
    <s v="New Customer"/>
    <x v="0"/>
    <x v="3"/>
    <x v="4"/>
    <x v="2"/>
    <n v="59"/>
    <x v="2"/>
    <x v="4"/>
    <n v="0"/>
    <n v="59"/>
    <n v="56.935000000000002"/>
    <n v="0"/>
    <n v="3.5000000000000003E-2"/>
    <n v="2.0649999999999977"/>
    <n v="0.01"/>
    <n v="0.56935000000000002"/>
    <n v="56.365650000000002"/>
    <n v="0"/>
    <x v="1"/>
    <s v=""/>
  </r>
  <r>
    <n v="162"/>
    <d v="2026-01-01T00:00:00"/>
    <d v="2026-01-02T00:00:00"/>
    <x v="4"/>
    <s v="STU-804"/>
    <s v="New Customer"/>
    <x v="1"/>
    <x v="1"/>
    <x v="3"/>
    <x v="3"/>
    <n v="59"/>
    <x v="1"/>
    <x v="0"/>
    <n v="20"/>
    <n v="-1121"/>
    <n v="-1098.58"/>
    <n v="0"/>
    <n v="0.02"/>
    <n v="-22.420000000000073"/>
    <n v="0.01"/>
    <n v="-10.985799999999927"/>
    <n v="0"/>
    <n v="-1087.5942"/>
    <x v="1"/>
    <s v=""/>
  </r>
  <r>
    <n v="163"/>
    <d v="2026-03-12T00:00:00"/>
    <d v="2026-03-15T00:00:00"/>
    <x v="0"/>
    <s v="STU-424"/>
    <s v="New Customer"/>
    <x v="1"/>
    <x v="0"/>
    <x v="0"/>
    <x v="0"/>
    <n v="59"/>
    <x v="1"/>
    <x v="3"/>
    <n v="0"/>
    <n v="59"/>
    <n v="57.82"/>
    <n v="0"/>
    <n v="0.02"/>
    <n v="1.1799999999999997"/>
    <n v="0.01"/>
    <n v="0.57820000000000249"/>
    <n v="0"/>
    <n v="57.241799999999998"/>
    <x v="2"/>
    <s v=""/>
  </r>
  <r>
    <n v="164"/>
    <d v="2026-04-25T00:00:00"/>
    <d v="2026-04-29T00:00:00"/>
    <x v="5"/>
    <s v="STU-54"/>
    <s v="New Customer"/>
    <x v="0"/>
    <x v="3"/>
    <x v="2"/>
    <x v="2"/>
    <n v="29"/>
    <x v="1"/>
    <x v="0"/>
    <n v="0"/>
    <n v="29"/>
    <n v="28.42"/>
    <n v="0"/>
    <n v="0.02"/>
    <n v="0.57999999999999829"/>
    <n v="0.01"/>
    <n v="0.28419999999999845"/>
    <n v="0"/>
    <n v="28.135800000000003"/>
    <x v="2"/>
    <s v=""/>
  </r>
  <r>
    <n v="165"/>
    <d v="2026-01-25T00:00:00"/>
    <d v="2026-01-30T00:00:00"/>
    <x v="4"/>
    <s v="STU-983"/>
    <s v="New Customer"/>
    <x v="2"/>
    <x v="1"/>
    <x v="4"/>
    <x v="2"/>
    <n v="59"/>
    <x v="1"/>
    <x v="4"/>
    <n v="0"/>
    <n v="59"/>
    <n v="56.935000000000002"/>
    <n v="0"/>
    <n v="3.5000000000000003E-2"/>
    <n v="2.0649999999999977"/>
    <n v="0.01"/>
    <n v="0.56935000000000002"/>
    <n v="0"/>
    <n v="56.365650000000002"/>
    <x v="1"/>
    <s v=""/>
  </r>
  <r>
    <n v="166"/>
    <d v="2026-01-21T00:00:00"/>
    <d v="2026-01-23T00:00:00"/>
    <x v="4"/>
    <s v="STU-363"/>
    <s v="New Customer"/>
    <x v="1"/>
    <x v="1"/>
    <x v="0"/>
    <x v="0"/>
    <n v="59"/>
    <x v="1"/>
    <x v="0"/>
    <n v="0"/>
    <n v="59"/>
    <n v="57.82"/>
    <n v="0"/>
    <n v="0.02"/>
    <n v="1.1799999999999997"/>
    <n v="0.01"/>
    <n v="0.57820000000000249"/>
    <n v="0"/>
    <n v="57.241799999999998"/>
    <x v="2"/>
    <s v=""/>
  </r>
  <r>
    <n v="167"/>
    <d v="2026-06-15T00:00:00"/>
    <d v="2026-06-19T00:00:00"/>
    <x v="1"/>
    <s v="STU-192"/>
    <s v="New Customer"/>
    <x v="0"/>
    <x v="1"/>
    <x v="3"/>
    <x v="3"/>
    <n v="59"/>
    <x v="1"/>
    <x v="1"/>
    <n v="0"/>
    <n v="59"/>
    <n v="59"/>
    <n v="0"/>
    <n v="0"/>
    <n v="0"/>
    <n v="0.01"/>
    <n v="0.59000000000000341"/>
    <n v="0"/>
    <n v="58.41"/>
    <x v="0"/>
    <n v="10"/>
  </r>
  <r>
    <n v="168"/>
    <d v="2026-04-12T00:00:00"/>
    <d v="2026-04-17T00:00:00"/>
    <x v="5"/>
    <s v="STU-789"/>
    <s v="New Customer"/>
    <x v="2"/>
    <x v="4"/>
    <x v="7"/>
    <x v="3"/>
    <n v="99"/>
    <x v="1"/>
    <x v="2"/>
    <n v="0"/>
    <n v="99"/>
    <n v="95.534999999999997"/>
    <n v="0"/>
    <n v="3.5000000000000003E-2"/>
    <n v="3.4650000000000034"/>
    <n v="0.01"/>
    <n v="0.9553499999999957"/>
    <n v="0"/>
    <n v="94.579650000000001"/>
    <x v="0"/>
    <n v="10"/>
  </r>
  <r>
    <n v="169"/>
    <d v="2026-07-15T00:00:00"/>
    <d v="2026-07-16T00:00:00"/>
    <x v="2"/>
    <s v="STU-540"/>
    <s v="Returning Customer"/>
    <x v="2"/>
    <x v="1"/>
    <x v="5"/>
    <x v="2"/>
    <n v="29"/>
    <x v="0"/>
    <x v="4"/>
    <n v="0"/>
    <n v="29"/>
    <n v="27.984999999999999"/>
    <n v="27.70515"/>
    <n v="3.5000000000000003E-2"/>
    <n v="1.0150000000000006"/>
    <n v="0.01"/>
    <n v="0.27984999999999971"/>
    <n v="0"/>
    <n v="0"/>
    <x v="1"/>
    <n v="10"/>
  </r>
  <r>
    <n v="170"/>
    <d v="2026-04-29T00:00:00"/>
    <d v="2026-04-29T00:00:00"/>
    <x v="5"/>
    <s v="STU-362"/>
    <s v="New Customer"/>
    <x v="1"/>
    <x v="2"/>
    <x v="6"/>
    <x v="2"/>
    <n v="29"/>
    <x v="1"/>
    <x v="4"/>
    <n v="0"/>
    <n v="29"/>
    <n v="27.984999999999999"/>
    <n v="0"/>
    <n v="3.5000000000000003E-2"/>
    <n v="1.0150000000000006"/>
    <n v="0.01"/>
    <n v="0.27984999999999971"/>
    <n v="0"/>
    <n v="27.70515"/>
    <x v="2"/>
    <s v=""/>
  </r>
  <r>
    <n v="171"/>
    <d v="2026-06-12T00:00:00"/>
    <d v="2026-06-14T00:00:00"/>
    <x v="1"/>
    <s v="STU-679"/>
    <s v="New Customer"/>
    <x v="2"/>
    <x v="0"/>
    <x v="4"/>
    <x v="2"/>
    <n v="59"/>
    <x v="2"/>
    <x v="3"/>
    <n v="0"/>
    <n v="59"/>
    <n v="57.82"/>
    <n v="0"/>
    <n v="0.02"/>
    <n v="1.1799999999999997"/>
    <n v="0.01"/>
    <n v="0.57820000000000249"/>
    <n v="57.241799999999998"/>
    <n v="0"/>
    <x v="1"/>
    <s v=""/>
  </r>
  <r>
    <n v="172"/>
    <d v="2026-05-14T00:00:00"/>
    <d v="2026-05-15T00:00:00"/>
    <x v="3"/>
    <s v="STU-554"/>
    <s v="New Customer"/>
    <x v="1"/>
    <x v="7"/>
    <x v="0"/>
    <x v="0"/>
    <n v="59"/>
    <x v="1"/>
    <x v="3"/>
    <n v="0"/>
    <n v="59"/>
    <n v="57.82"/>
    <n v="0"/>
    <n v="0.02"/>
    <n v="1.1799999999999997"/>
    <n v="0.01"/>
    <n v="0.57820000000000249"/>
    <n v="0"/>
    <n v="57.241799999999998"/>
    <x v="0"/>
    <s v=""/>
  </r>
  <r>
    <n v="173"/>
    <d v="2026-07-05T00:00:00"/>
    <d v="2026-07-09T00:00:00"/>
    <x v="2"/>
    <s v="STU-306"/>
    <s v="New Customer"/>
    <x v="2"/>
    <x v="7"/>
    <x v="2"/>
    <x v="2"/>
    <n v="29"/>
    <x v="2"/>
    <x v="0"/>
    <n v="0"/>
    <n v="29"/>
    <n v="28.42"/>
    <n v="0"/>
    <n v="0.02"/>
    <n v="0.57999999999999829"/>
    <n v="0.01"/>
    <n v="0.28419999999999845"/>
    <n v="28.135800000000003"/>
    <n v="0"/>
    <x v="1"/>
    <n v="10"/>
  </r>
  <r>
    <n v="174"/>
    <d v="2026-01-18T00:00:00"/>
    <d v="2026-01-18T00:00:00"/>
    <x v="4"/>
    <s v="STU-205"/>
    <s v="New Customer"/>
    <x v="0"/>
    <x v="0"/>
    <x v="1"/>
    <x v="1"/>
    <n v="29"/>
    <x v="0"/>
    <x v="1"/>
    <n v="0"/>
    <n v="29"/>
    <n v="29"/>
    <n v="28.71"/>
    <n v="0"/>
    <n v="0"/>
    <n v="0.01"/>
    <n v="0.28999999999999915"/>
    <n v="0"/>
    <n v="0"/>
    <x v="2"/>
    <s v=""/>
  </r>
  <r>
    <n v="175"/>
    <d v="2026-01-26T00:00:00"/>
    <d v="2026-01-29T00:00:00"/>
    <x v="4"/>
    <s v="STU-198"/>
    <s v="New Customer"/>
    <x v="0"/>
    <x v="0"/>
    <x v="7"/>
    <x v="3"/>
    <n v="99"/>
    <x v="1"/>
    <x v="2"/>
    <n v="0"/>
    <n v="99"/>
    <n v="95.534999999999997"/>
    <n v="0"/>
    <n v="3.5000000000000003E-2"/>
    <n v="3.4650000000000034"/>
    <n v="0.01"/>
    <n v="0.9553499999999957"/>
    <n v="0"/>
    <n v="94.579650000000001"/>
    <x v="0"/>
    <s v=""/>
  </r>
  <r>
    <n v="176"/>
    <d v="2026-06-02T00:00:00"/>
    <d v="2026-06-06T00:00:00"/>
    <x v="1"/>
    <s v="STU-950"/>
    <s v="New Customer"/>
    <x v="1"/>
    <x v="5"/>
    <x v="5"/>
    <x v="2"/>
    <n v="29"/>
    <x v="1"/>
    <x v="4"/>
    <n v="0"/>
    <n v="29"/>
    <n v="27.984999999999999"/>
    <n v="0"/>
    <n v="3.5000000000000003E-2"/>
    <n v="1.0150000000000006"/>
    <n v="0.01"/>
    <n v="0.27984999999999971"/>
    <n v="0"/>
    <n v="27.70515"/>
    <x v="0"/>
    <s v=""/>
  </r>
  <r>
    <n v="177"/>
    <d v="2026-07-22T00:00:00"/>
    <d v="2026-07-27T00:00:00"/>
    <x v="2"/>
    <s v="STU-473"/>
    <s v="New Customer"/>
    <x v="1"/>
    <x v="2"/>
    <x v="2"/>
    <x v="2"/>
    <n v="29"/>
    <x v="0"/>
    <x v="4"/>
    <n v="0"/>
    <n v="29"/>
    <n v="27.984999999999999"/>
    <n v="27.70515"/>
    <n v="3.5000000000000003E-2"/>
    <n v="1.0150000000000006"/>
    <n v="0.01"/>
    <n v="0.27984999999999971"/>
    <n v="0"/>
    <n v="0"/>
    <x v="0"/>
    <n v="10"/>
  </r>
  <r>
    <n v="178"/>
    <d v="2026-01-13T00:00:00"/>
    <d v="2026-01-13T00:00:00"/>
    <x v="4"/>
    <s v="STU-798"/>
    <s v="New Customer"/>
    <x v="2"/>
    <x v="4"/>
    <x v="4"/>
    <x v="2"/>
    <n v="59"/>
    <x v="0"/>
    <x v="4"/>
    <n v="0"/>
    <n v="59"/>
    <n v="56.935000000000002"/>
    <n v="56.365650000000002"/>
    <n v="3.5000000000000003E-2"/>
    <n v="2.0649999999999977"/>
    <n v="0.01"/>
    <n v="0.56935000000000002"/>
    <n v="0"/>
    <n v="0"/>
    <x v="0"/>
    <n v="10"/>
  </r>
  <r>
    <n v="179"/>
    <d v="2026-01-15T00:00:00"/>
    <d v="2026-01-15T00:00:00"/>
    <x v="4"/>
    <s v="STU-44"/>
    <s v="New Customer"/>
    <x v="1"/>
    <x v="3"/>
    <x v="3"/>
    <x v="3"/>
    <n v="59"/>
    <x v="1"/>
    <x v="0"/>
    <n v="0"/>
    <n v="59"/>
    <n v="57.82"/>
    <n v="0"/>
    <n v="0.02"/>
    <n v="1.1799999999999997"/>
    <n v="0.01"/>
    <n v="0.57820000000000249"/>
    <n v="0"/>
    <n v="57.241799999999998"/>
    <x v="2"/>
    <s v=""/>
  </r>
  <r>
    <n v="180"/>
    <d v="2026-07-20T00:00:00"/>
    <d v="2026-07-25T00:00:00"/>
    <x v="2"/>
    <s v="STU-493"/>
    <s v="New Customer"/>
    <x v="0"/>
    <x v="4"/>
    <x v="3"/>
    <x v="3"/>
    <n v="59"/>
    <x v="0"/>
    <x v="4"/>
    <n v="0"/>
    <n v="59"/>
    <n v="56.935000000000002"/>
    <n v="56.365650000000002"/>
    <n v="3.5000000000000003E-2"/>
    <n v="2.0649999999999977"/>
    <n v="0.01"/>
    <n v="0.56935000000000002"/>
    <n v="0"/>
    <n v="0"/>
    <x v="0"/>
    <n v="10"/>
  </r>
  <r>
    <n v="181"/>
    <d v="2026-01-10T00:00:00"/>
    <d v="2026-01-13T00:00:00"/>
    <x v="4"/>
    <s v="STU-136"/>
    <s v="Returning Customer"/>
    <x v="1"/>
    <x v="3"/>
    <x v="1"/>
    <x v="1"/>
    <n v="29"/>
    <x v="1"/>
    <x v="0"/>
    <n v="0"/>
    <n v="29"/>
    <n v="28.42"/>
    <n v="0"/>
    <n v="0.02"/>
    <n v="0.57999999999999829"/>
    <n v="0.01"/>
    <n v="0.28419999999999845"/>
    <n v="0"/>
    <n v="28.135800000000003"/>
    <x v="1"/>
    <s v=""/>
  </r>
  <r>
    <n v="182"/>
    <d v="2026-03-06T00:00:00"/>
    <d v="2026-03-06T00:00:00"/>
    <x v="0"/>
    <s v="STU-926"/>
    <s v="New Customer"/>
    <x v="1"/>
    <x v="5"/>
    <x v="6"/>
    <x v="2"/>
    <n v="29"/>
    <x v="1"/>
    <x v="4"/>
    <n v="0"/>
    <n v="29"/>
    <n v="27.984999999999999"/>
    <n v="0"/>
    <n v="3.5000000000000003E-2"/>
    <n v="1.0150000000000006"/>
    <n v="0.01"/>
    <n v="0.27984999999999971"/>
    <n v="0"/>
    <n v="27.70515"/>
    <x v="1"/>
    <s v=""/>
  </r>
  <r>
    <n v="183"/>
    <d v="2026-01-23T00:00:00"/>
    <d v="2026-01-25T00:00:00"/>
    <x v="4"/>
    <s v="STU-90"/>
    <s v="Returning Customer"/>
    <x v="2"/>
    <x v="1"/>
    <x v="3"/>
    <x v="3"/>
    <n v="59"/>
    <x v="1"/>
    <x v="0"/>
    <n v="0"/>
    <n v="59"/>
    <n v="57.82"/>
    <n v="0"/>
    <n v="0.02"/>
    <n v="1.1799999999999997"/>
    <n v="0.01"/>
    <n v="0.57820000000000249"/>
    <n v="0"/>
    <n v="57.241799999999998"/>
    <x v="1"/>
    <s v=""/>
  </r>
  <r>
    <n v="184"/>
    <d v="2026-01-23T00:00:00"/>
    <d v="2026-01-26T00:00:00"/>
    <x v="4"/>
    <s v="STU-972"/>
    <s v="New Customer"/>
    <x v="2"/>
    <x v="3"/>
    <x v="1"/>
    <x v="1"/>
    <n v="29"/>
    <x v="1"/>
    <x v="2"/>
    <n v="0"/>
    <n v="29"/>
    <n v="27.984999999999999"/>
    <n v="0"/>
    <n v="3.5000000000000003E-2"/>
    <n v="1.0150000000000006"/>
    <n v="0.01"/>
    <n v="0.27984999999999971"/>
    <n v="0"/>
    <n v="27.70515"/>
    <x v="2"/>
    <s v=""/>
  </r>
  <r>
    <n v="185"/>
    <d v="2026-06-30T00:00:00"/>
    <d v="2026-07-05T00:00:00"/>
    <x v="2"/>
    <s v="STU-756"/>
    <s v="New Customer"/>
    <x v="0"/>
    <x v="3"/>
    <x v="1"/>
    <x v="1"/>
    <n v="29"/>
    <x v="1"/>
    <x v="3"/>
    <n v="0"/>
    <n v="29"/>
    <n v="28.42"/>
    <n v="0"/>
    <n v="0.02"/>
    <n v="0.57999999999999829"/>
    <n v="0.01"/>
    <n v="0.28419999999999845"/>
    <n v="0"/>
    <n v="28.135800000000003"/>
    <x v="1"/>
    <s v=""/>
  </r>
  <r>
    <n v="186"/>
    <d v="2026-04-09T00:00:00"/>
    <d v="2026-04-09T00:00:00"/>
    <x v="5"/>
    <s v="STU-795"/>
    <s v="New Customer"/>
    <x v="0"/>
    <x v="5"/>
    <x v="0"/>
    <x v="0"/>
    <n v="59"/>
    <x v="1"/>
    <x v="1"/>
    <n v="0"/>
    <n v="59"/>
    <n v="59"/>
    <n v="0"/>
    <n v="0"/>
    <n v="0"/>
    <n v="0.01"/>
    <n v="0.59000000000000341"/>
    <n v="0"/>
    <n v="58.41"/>
    <x v="0"/>
    <n v="10"/>
  </r>
  <r>
    <n v="187"/>
    <d v="2026-07-26T00:00:00"/>
    <d v="2026-07-26T00:00:00"/>
    <x v="2"/>
    <s v="STU-634"/>
    <s v="New Customer"/>
    <x v="1"/>
    <x v="5"/>
    <x v="0"/>
    <x v="0"/>
    <n v="59"/>
    <x v="2"/>
    <x v="1"/>
    <n v="0"/>
    <n v="59"/>
    <n v="59"/>
    <n v="0"/>
    <n v="0"/>
    <n v="0"/>
    <n v="0.01"/>
    <n v="0.59000000000000341"/>
    <n v="58.41"/>
    <n v="0"/>
    <x v="1"/>
    <s v=""/>
  </r>
  <r>
    <n v="188"/>
    <d v="2026-06-30T00:00:00"/>
    <d v="2026-06-30T00:00:00"/>
    <x v="1"/>
    <s v="STU-344"/>
    <s v="New Customer"/>
    <x v="2"/>
    <x v="7"/>
    <x v="1"/>
    <x v="1"/>
    <n v="29"/>
    <x v="1"/>
    <x v="1"/>
    <n v="0"/>
    <n v="29"/>
    <n v="29"/>
    <n v="0"/>
    <n v="0"/>
    <n v="0"/>
    <n v="0.01"/>
    <n v="0.28999999999999915"/>
    <n v="0"/>
    <n v="28.71"/>
    <x v="0"/>
    <n v="10"/>
  </r>
  <r>
    <n v="189"/>
    <d v="2026-06-03T00:00:00"/>
    <d v="2026-06-07T00:00:00"/>
    <x v="1"/>
    <s v="STU-935"/>
    <s v="New Customer"/>
    <x v="2"/>
    <x v="5"/>
    <x v="5"/>
    <x v="2"/>
    <n v="29"/>
    <x v="1"/>
    <x v="2"/>
    <n v="0"/>
    <n v="29"/>
    <n v="27.984999999999999"/>
    <n v="0"/>
    <n v="3.5000000000000003E-2"/>
    <n v="1.0150000000000006"/>
    <n v="0.01"/>
    <n v="0.27984999999999971"/>
    <n v="0"/>
    <n v="27.70515"/>
    <x v="2"/>
    <s v=""/>
  </r>
  <r>
    <n v="190"/>
    <d v="2026-02-19T00:00:00"/>
    <d v="2026-02-19T00:00:00"/>
    <x v="6"/>
    <s v="STU-412"/>
    <s v="Returning Customer"/>
    <x v="1"/>
    <x v="4"/>
    <x v="0"/>
    <x v="0"/>
    <n v="59"/>
    <x v="1"/>
    <x v="4"/>
    <n v="0"/>
    <n v="59"/>
    <n v="56.935000000000002"/>
    <n v="0"/>
    <n v="3.5000000000000003E-2"/>
    <n v="2.0649999999999977"/>
    <n v="0.01"/>
    <n v="0.56935000000000002"/>
    <n v="0"/>
    <n v="56.365650000000002"/>
    <x v="2"/>
    <s v=""/>
  </r>
  <r>
    <n v="191"/>
    <d v="2026-01-19T00:00:00"/>
    <d v="2026-01-22T00:00:00"/>
    <x v="4"/>
    <s v="STU-223"/>
    <s v="New Customer"/>
    <x v="2"/>
    <x v="2"/>
    <x v="4"/>
    <x v="2"/>
    <n v="59"/>
    <x v="2"/>
    <x v="2"/>
    <n v="0"/>
    <n v="59"/>
    <n v="56.935000000000002"/>
    <n v="0"/>
    <n v="3.5000000000000003E-2"/>
    <n v="2.0649999999999977"/>
    <n v="0.01"/>
    <n v="0.56935000000000002"/>
    <n v="56.365650000000002"/>
    <n v="0"/>
    <x v="1"/>
    <n v="10"/>
  </r>
  <r>
    <n v="192"/>
    <d v="2026-01-25T00:00:00"/>
    <d v="2026-01-26T00:00:00"/>
    <x v="4"/>
    <s v="STU-431"/>
    <s v="New Customer"/>
    <x v="0"/>
    <x v="7"/>
    <x v="2"/>
    <x v="2"/>
    <n v="29"/>
    <x v="1"/>
    <x v="0"/>
    <n v="0"/>
    <n v="29"/>
    <n v="28.42"/>
    <n v="0"/>
    <n v="0.02"/>
    <n v="0.57999999999999829"/>
    <n v="0.01"/>
    <n v="0.28419999999999845"/>
    <n v="0"/>
    <n v="28.135800000000003"/>
    <x v="0"/>
    <n v="10"/>
  </r>
  <r>
    <n v="193"/>
    <d v="2026-04-23T00:00:00"/>
    <d v="2026-04-27T00:00:00"/>
    <x v="5"/>
    <s v="STU-948"/>
    <s v="Returning Customer"/>
    <x v="0"/>
    <x v="2"/>
    <x v="5"/>
    <x v="2"/>
    <n v="29"/>
    <x v="1"/>
    <x v="1"/>
    <n v="0"/>
    <n v="29"/>
    <n v="29"/>
    <n v="0"/>
    <n v="0"/>
    <n v="0"/>
    <n v="0.01"/>
    <n v="0.28999999999999915"/>
    <n v="0"/>
    <n v="28.71"/>
    <x v="1"/>
    <n v="10"/>
  </r>
  <r>
    <n v="194"/>
    <d v="2026-05-19T00:00:00"/>
    <d v="2026-05-23T00:00:00"/>
    <x v="3"/>
    <s v="STU-947"/>
    <s v="New Customer"/>
    <x v="2"/>
    <x v="6"/>
    <x v="4"/>
    <x v="2"/>
    <n v="59"/>
    <x v="1"/>
    <x v="1"/>
    <n v="0"/>
    <n v="59"/>
    <n v="59"/>
    <n v="0"/>
    <n v="0"/>
    <n v="0"/>
    <n v="0.01"/>
    <n v="0.59000000000000341"/>
    <n v="0"/>
    <n v="58.41"/>
    <x v="0"/>
    <n v="10"/>
  </r>
  <r>
    <n v="195"/>
    <d v="2026-05-09T00:00:00"/>
    <d v="2026-05-13T00:00:00"/>
    <x v="3"/>
    <s v="STU-557"/>
    <s v="New Customer"/>
    <x v="2"/>
    <x v="0"/>
    <x v="5"/>
    <x v="2"/>
    <n v="29"/>
    <x v="1"/>
    <x v="0"/>
    <n v="0"/>
    <n v="29"/>
    <n v="28.42"/>
    <n v="0"/>
    <n v="0.02"/>
    <n v="0.57999999999999829"/>
    <n v="0.01"/>
    <n v="0.28419999999999845"/>
    <n v="0"/>
    <n v="28.135800000000003"/>
    <x v="0"/>
    <n v="10"/>
  </r>
  <r>
    <n v="196"/>
    <d v="2026-06-20T00:00:00"/>
    <d v="2026-06-25T00:00:00"/>
    <x v="1"/>
    <s v="STU-548"/>
    <s v="New Customer"/>
    <x v="1"/>
    <x v="0"/>
    <x v="0"/>
    <x v="0"/>
    <n v="59"/>
    <x v="1"/>
    <x v="1"/>
    <n v="0"/>
    <n v="59"/>
    <n v="59"/>
    <n v="0"/>
    <n v="0"/>
    <n v="0"/>
    <n v="0.01"/>
    <n v="0.59000000000000341"/>
    <n v="0"/>
    <n v="58.41"/>
    <x v="0"/>
    <s v=""/>
  </r>
  <r>
    <n v="197"/>
    <d v="2026-04-28T00:00:00"/>
    <d v="2026-04-30T00:00:00"/>
    <x v="5"/>
    <s v="STU-961"/>
    <s v="New Customer"/>
    <x v="2"/>
    <x v="7"/>
    <x v="4"/>
    <x v="2"/>
    <n v="59"/>
    <x v="1"/>
    <x v="3"/>
    <n v="0"/>
    <n v="59"/>
    <n v="57.82"/>
    <n v="0"/>
    <n v="0.02"/>
    <n v="1.1799999999999997"/>
    <n v="0.01"/>
    <n v="0.57820000000000249"/>
    <n v="0"/>
    <n v="57.241799999999998"/>
    <x v="2"/>
    <s v=""/>
  </r>
  <r>
    <n v="198"/>
    <d v="2026-07-24T00:00:00"/>
    <d v="2026-07-25T00:00:00"/>
    <x v="2"/>
    <s v="STU-806"/>
    <s v="Returning Customer"/>
    <x v="1"/>
    <x v="7"/>
    <x v="6"/>
    <x v="2"/>
    <n v="29"/>
    <x v="1"/>
    <x v="1"/>
    <n v="0"/>
    <n v="29"/>
    <n v="29"/>
    <n v="0"/>
    <n v="0"/>
    <n v="0"/>
    <n v="0.01"/>
    <n v="0.28999999999999915"/>
    <n v="0"/>
    <n v="28.71"/>
    <x v="1"/>
    <n v="10"/>
  </r>
  <r>
    <n v="199"/>
    <d v="2026-01-01T00:00:00"/>
    <d v="2026-01-02T00:00:00"/>
    <x v="4"/>
    <s v="STU-214"/>
    <s v="New Customer"/>
    <x v="1"/>
    <x v="3"/>
    <x v="4"/>
    <x v="2"/>
    <n v="59"/>
    <x v="1"/>
    <x v="4"/>
    <n v="20"/>
    <n v="-1121"/>
    <n v="-1081.7650000000001"/>
    <n v="0"/>
    <n v="3.5000000000000003E-2"/>
    <n v="-39.2349999999999"/>
    <n v="0.01"/>
    <n v="-10.817649999999958"/>
    <n v="0"/>
    <n v="-1070.9473500000001"/>
    <x v="0"/>
    <s v=""/>
  </r>
  <r>
    <n v="200"/>
    <d v="2026-02-25T00:00:00"/>
    <d v="2026-02-26T00:00:00"/>
    <x v="6"/>
    <s v="STU-126"/>
    <s v="New Customer"/>
    <x v="2"/>
    <x v="5"/>
    <x v="4"/>
    <x v="2"/>
    <n v="59"/>
    <x v="1"/>
    <x v="4"/>
    <n v="0"/>
    <n v="59"/>
    <n v="56.935000000000002"/>
    <n v="0"/>
    <n v="3.5000000000000003E-2"/>
    <n v="2.0649999999999977"/>
    <n v="0.01"/>
    <n v="0.56935000000000002"/>
    <n v="0"/>
    <n v="56.365650000000002"/>
    <x v="1"/>
    <s v=""/>
  </r>
  <r>
    <n v="201"/>
    <d v="2026-05-31T00:00:00"/>
    <d v="2026-06-05T00:00:00"/>
    <x v="1"/>
    <s v="STU-775"/>
    <s v="Returning Customer"/>
    <x v="1"/>
    <x v="0"/>
    <x v="1"/>
    <x v="1"/>
    <n v="29"/>
    <x v="1"/>
    <x v="0"/>
    <n v="0"/>
    <n v="29"/>
    <n v="28.42"/>
    <n v="0"/>
    <n v="0.02"/>
    <n v="0.57999999999999829"/>
    <n v="0.01"/>
    <n v="0.28419999999999845"/>
    <n v="0"/>
    <n v="28.135800000000003"/>
    <x v="2"/>
    <s v=""/>
  </r>
  <r>
    <n v="202"/>
    <d v="2026-03-29T00:00:00"/>
    <d v="2026-04-01T00:00:00"/>
    <x v="5"/>
    <s v="STU-634"/>
    <s v="Returning Customer"/>
    <x v="0"/>
    <x v="1"/>
    <x v="4"/>
    <x v="2"/>
    <n v="59"/>
    <x v="0"/>
    <x v="3"/>
    <n v="0"/>
    <n v="59"/>
    <n v="57.82"/>
    <n v="57.241799999999998"/>
    <n v="0.02"/>
    <n v="1.1799999999999997"/>
    <n v="0.01"/>
    <n v="0.57820000000000249"/>
    <n v="0"/>
    <n v="0"/>
    <x v="1"/>
    <s v=""/>
  </r>
  <r>
    <n v="203"/>
    <d v="2026-07-01T00:00:00"/>
    <d v="2026-07-04T00:00:00"/>
    <x v="2"/>
    <s v="STU-967"/>
    <s v="New Customer"/>
    <x v="2"/>
    <x v="1"/>
    <x v="4"/>
    <x v="2"/>
    <n v="59"/>
    <x v="0"/>
    <x v="2"/>
    <n v="0"/>
    <n v="59"/>
    <n v="56.935000000000002"/>
    <n v="56.365650000000002"/>
    <n v="3.5000000000000003E-2"/>
    <n v="2.0649999999999977"/>
    <n v="0.01"/>
    <n v="0.56935000000000002"/>
    <n v="0"/>
    <n v="0"/>
    <x v="1"/>
    <s v=""/>
  </r>
  <r>
    <n v="204"/>
    <d v="2026-01-25T00:00:00"/>
    <d v="2026-01-26T00:00:00"/>
    <x v="4"/>
    <s v="STU-813"/>
    <s v="New Customer"/>
    <x v="1"/>
    <x v="2"/>
    <x v="7"/>
    <x v="3"/>
    <n v="99"/>
    <x v="0"/>
    <x v="4"/>
    <n v="0"/>
    <n v="99"/>
    <n v="95.534999999999997"/>
    <n v="94.579650000000001"/>
    <n v="3.5000000000000003E-2"/>
    <n v="3.4650000000000034"/>
    <n v="0.01"/>
    <n v="0.9553499999999957"/>
    <n v="0"/>
    <n v="0"/>
    <x v="0"/>
    <n v="10"/>
  </r>
  <r>
    <n v="205"/>
    <d v="2026-02-12T00:00:00"/>
    <d v="2026-02-17T00:00:00"/>
    <x v="6"/>
    <s v="STU-797"/>
    <s v="New Customer"/>
    <x v="1"/>
    <x v="6"/>
    <x v="3"/>
    <x v="3"/>
    <n v="59"/>
    <x v="1"/>
    <x v="1"/>
    <n v="0"/>
    <n v="59"/>
    <n v="59"/>
    <n v="0"/>
    <n v="0"/>
    <n v="0"/>
    <n v="0.01"/>
    <n v="0.59000000000000341"/>
    <n v="0"/>
    <n v="58.41"/>
    <x v="0"/>
    <n v="10"/>
  </r>
  <r>
    <n v="206"/>
    <d v="2026-04-24T00:00:00"/>
    <d v="2026-04-24T00:00:00"/>
    <x v="5"/>
    <s v="STU-217"/>
    <s v="New Customer"/>
    <x v="0"/>
    <x v="6"/>
    <x v="3"/>
    <x v="3"/>
    <n v="59"/>
    <x v="0"/>
    <x v="2"/>
    <n v="0"/>
    <n v="59"/>
    <n v="56.935000000000002"/>
    <n v="56.365650000000002"/>
    <n v="3.5000000000000003E-2"/>
    <n v="2.0649999999999977"/>
    <n v="0.01"/>
    <n v="0.56935000000000002"/>
    <n v="0"/>
    <n v="0"/>
    <x v="1"/>
    <s v=""/>
  </r>
  <r>
    <n v="207"/>
    <d v="2026-04-10T00:00:00"/>
    <d v="2026-04-10T00:00:00"/>
    <x v="5"/>
    <s v="STU-791"/>
    <s v="New Customer"/>
    <x v="0"/>
    <x v="5"/>
    <x v="5"/>
    <x v="2"/>
    <n v="29"/>
    <x v="1"/>
    <x v="4"/>
    <n v="0"/>
    <n v="29"/>
    <n v="27.984999999999999"/>
    <n v="0"/>
    <n v="3.5000000000000003E-2"/>
    <n v="1.0150000000000006"/>
    <n v="0.01"/>
    <n v="0.27984999999999971"/>
    <n v="0"/>
    <n v="27.70515"/>
    <x v="2"/>
    <s v=""/>
  </r>
  <r>
    <n v="208"/>
    <d v="2026-06-23T00:00:00"/>
    <d v="2026-06-27T00:00:00"/>
    <x v="1"/>
    <s v="STU-216"/>
    <s v="New Customer"/>
    <x v="0"/>
    <x v="7"/>
    <x v="1"/>
    <x v="1"/>
    <n v="29"/>
    <x v="1"/>
    <x v="1"/>
    <n v="0"/>
    <n v="29"/>
    <n v="29"/>
    <n v="0"/>
    <n v="0"/>
    <n v="0"/>
    <n v="0.01"/>
    <n v="0.28999999999999915"/>
    <n v="0"/>
    <n v="28.71"/>
    <x v="2"/>
    <n v="10"/>
  </r>
  <r>
    <n v="209"/>
    <d v="2026-01-27T00:00:00"/>
    <d v="2026-02-01T00:00:00"/>
    <x v="6"/>
    <s v="STU-810"/>
    <s v="New Customer"/>
    <x v="2"/>
    <x v="0"/>
    <x v="2"/>
    <x v="2"/>
    <n v="29"/>
    <x v="1"/>
    <x v="2"/>
    <n v="0"/>
    <n v="29"/>
    <n v="27.984999999999999"/>
    <n v="0"/>
    <n v="3.5000000000000003E-2"/>
    <n v="1.0150000000000006"/>
    <n v="0.01"/>
    <n v="0.27984999999999971"/>
    <n v="0"/>
    <n v="27.70515"/>
    <x v="0"/>
    <s v=""/>
  </r>
  <r>
    <n v="210"/>
    <d v="2026-05-02T00:00:00"/>
    <d v="2026-05-06T00:00:00"/>
    <x v="3"/>
    <s v="STU-626"/>
    <s v="New Customer"/>
    <x v="0"/>
    <x v="3"/>
    <x v="5"/>
    <x v="2"/>
    <n v="29"/>
    <x v="0"/>
    <x v="3"/>
    <n v="0"/>
    <n v="29"/>
    <n v="28.42"/>
    <n v="28.135800000000003"/>
    <n v="0.02"/>
    <n v="0.57999999999999829"/>
    <n v="0.01"/>
    <n v="0.28419999999999845"/>
    <n v="0"/>
    <n v="0"/>
    <x v="0"/>
    <s v=""/>
  </r>
  <r>
    <n v="211"/>
    <d v="2026-03-13T00:00:00"/>
    <d v="2026-03-13T00:00:00"/>
    <x v="0"/>
    <s v="STU-318"/>
    <s v="New Customer"/>
    <x v="0"/>
    <x v="4"/>
    <x v="6"/>
    <x v="2"/>
    <n v="29"/>
    <x v="1"/>
    <x v="0"/>
    <n v="0"/>
    <n v="29"/>
    <n v="28.42"/>
    <n v="0"/>
    <n v="0.02"/>
    <n v="0.57999999999999829"/>
    <n v="0.01"/>
    <n v="0.28419999999999845"/>
    <n v="0"/>
    <n v="28.135800000000003"/>
    <x v="0"/>
    <s v=""/>
  </r>
  <r>
    <n v="212"/>
    <d v="2026-06-06T00:00:00"/>
    <d v="2026-06-08T00:00:00"/>
    <x v="1"/>
    <s v="STU-799"/>
    <s v="New Customer"/>
    <x v="0"/>
    <x v="4"/>
    <x v="3"/>
    <x v="3"/>
    <n v="59"/>
    <x v="2"/>
    <x v="0"/>
    <n v="0"/>
    <n v="59"/>
    <n v="57.82"/>
    <n v="0"/>
    <n v="0.02"/>
    <n v="1.1799999999999997"/>
    <n v="0.01"/>
    <n v="0.57820000000000249"/>
    <n v="57.241799999999998"/>
    <n v="0"/>
    <x v="2"/>
    <n v="10"/>
  </r>
  <r>
    <n v="213"/>
    <d v="2026-01-25T00:00:00"/>
    <d v="2026-01-25T00:00:00"/>
    <x v="4"/>
    <s v="STU-176"/>
    <s v="New Customer"/>
    <x v="0"/>
    <x v="2"/>
    <x v="1"/>
    <x v="1"/>
    <n v="29"/>
    <x v="1"/>
    <x v="3"/>
    <n v="0"/>
    <n v="29"/>
    <n v="28.42"/>
    <n v="0"/>
    <n v="0.02"/>
    <n v="0.57999999999999829"/>
    <n v="0.01"/>
    <n v="0.28419999999999845"/>
    <n v="0"/>
    <n v="28.135800000000003"/>
    <x v="2"/>
    <s v=""/>
  </r>
  <r>
    <n v="214"/>
    <d v="2026-03-03T00:00:00"/>
    <d v="2026-03-07T00:00:00"/>
    <x v="0"/>
    <s v="STU-609"/>
    <s v="New Customer"/>
    <x v="0"/>
    <x v="2"/>
    <x v="3"/>
    <x v="3"/>
    <n v="59"/>
    <x v="2"/>
    <x v="3"/>
    <n v="20"/>
    <n v="-1121"/>
    <n v="-1098.58"/>
    <n v="0"/>
    <n v="0.02"/>
    <n v="-22.420000000000073"/>
    <n v="0.01"/>
    <n v="-10.985799999999927"/>
    <n v="-1087.5942"/>
    <n v="0"/>
    <x v="0"/>
    <s v=""/>
  </r>
  <r>
    <n v="215"/>
    <d v="2026-01-01T00:00:00"/>
    <d v="2026-01-06T00:00:00"/>
    <x v="4"/>
    <s v="STU-230"/>
    <s v="New Customer"/>
    <x v="2"/>
    <x v="0"/>
    <x v="6"/>
    <x v="2"/>
    <n v="29"/>
    <x v="1"/>
    <x v="0"/>
    <n v="20"/>
    <n v="-551"/>
    <n v="-539.98"/>
    <n v="0"/>
    <n v="0.02"/>
    <n v="-11.019999999999982"/>
    <n v="0.01"/>
    <n v="-5.3998000000000275"/>
    <n v="0"/>
    <n v="-534.58019999999999"/>
    <x v="0"/>
    <n v="10"/>
  </r>
  <r>
    <n v="216"/>
    <d v="2026-06-10T00:00:00"/>
    <d v="2026-06-12T00:00:00"/>
    <x v="1"/>
    <s v="STU-268"/>
    <s v="New Customer"/>
    <x v="2"/>
    <x v="6"/>
    <x v="3"/>
    <x v="3"/>
    <n v="59"/>
    <x v="1"/>
    <x v="2"/>
    <n v="0"/>
    <n v="59"/>
    <n v="56.935000000000002"/>
    <n v="0"/>
    <n v="3.5000000000000003E-2"/>
    <n v="2.0649999999999977"/>
    <n v="0.01"/>
    <n v="0.56935000000000002"/>
    <n v="0"/>
    <n v="56.365650000000002"/>
    <x v="2"/>
    <s v=""/>
  </r>
  <r>
    <n v="217"/>
    <d v="2026-07-19T00:00:00"/>
    <d v="2026-07-24T00:00:00"/>
    <x v="2"/>
    <s v="STU-199"/>
    <s v="New Customer"/>
    <x v="1"/>
    <x v="7"/>
    <x v="5"/>
    <x v="2"/>
    <n v="29"/>
    <x v="2"/>
    <x v="4"/>
    <n v="0"/>
    <n v="29"/>
    <n v="27.984999999999999"/>
    <n v="0"/>
    <n v="3.5000000000000003E-2"/>
    <n v="1.0150000000000006"/>
    <n v="0.01"/>
    <n v="0.27984999999999971"/>
    <n v="27.70515"/>
    <n v="0"/>
    <x v="1"/>
    <n v="10"/>
  </r>
  <r>
    <n v="218"/>
    <d v="2026-01-04T00:00:00"/>
    <d v="2026-01-08T00:00:00"/>
    <x v="4"/>
    <s v="STU-960"/>
    <s v="New Customer"/>
    <x v="0"/>
    <x v="3"/>
    <x v="2"/>
    <x v="2"/>
    <n v="29"/>
    <x v="2"/>
    <x v="0"/>
    <n v="0"/>
    <n v="29"/>
    <n v="28.42"/>
    <n v="0"/>
    <n v="0.02"/>
    <n v="0.57999999999999829"/>
    <n v="0.01"/>
    <n v="0.28419999999999845"/>
    <n v="28.135800000000003"/>
    <n v="0"/>
    <x v="1"/>
    <s v=""/>
  </r>
  <r>
    <n v="219"/>
    <d v="2026-07-01T00:00:00"/>
    <d v="2026-07-01T00:00:00"/>
    <x v="2"/>
    <s v="STU-985"/>
    <s v="New Customer"/>
    <x v="2"/>
    <x v="1"/>
    <x v="2"/>
    <x v="2"/>
    <n v="29"/>
    <x v="0"/>
    <x v="3"/>
    <n v="0"/>
    <n v="29"/>
    <n v="28.42"/>
    <n v="28.135800000000003"/>
    <n v="0.02"/>
    <n v="0.57999999999999829"/>
    <n v="0.01"/>
    <n v="0.28419999999999845"/>
    <n v="0"/>
    <n v="0"/>
    <x v="1"/>
    <n v="10"/>
  </r>
  <r>
    <n v="220"/>
    <d v="2026-02-15T00:00:00"/>
    <d v="2026-02-20T00:00:00"/>
    <x v="6"/>
    <s v="STU-918"/>
    <s v="New Customer"/>
    <x v="0"/>
    <x v="1"/>
    <x v="2"/>
    <x v="2"/>
    <n v="29"/>
    <x v="0"/>
    <x v="4"/>
    <n v="0"/>
    <n v="29"/>
    <n v="27.984999999999999"/>
    <n v="27.70515"/>
    <n v="3.5000000000000003E-2"/>
    <n v="1.0150000000000006"/>
    <n v="0.01"/>
    <n v="0.27984999999999971"/>
    <n v="0"/>
    <n v="0"/>
    <x v="0"/>
    <s v=""/>
  </r>
  <r>
    <n v="221"/>
    <d v="2026-06-21T00:00:00"/>
    <d v="2026-06-23T00:00:00"/>
    <x v="1"/>
    <s v="STU-50"/>
    <s v="Returning Customer"/>
    <x v="0"/>
    <x v="2"/>
    <x v="5"/>
    <x v="2"/>
    <n v="29"/>
    <x v="1"/>
    <x v="0"/>
    <n v="0"/>
    <n v="29"/>
    <n v="28.42"/>
    <n v="0"/>
    <n v="0.02"/>
    <n v="0.57999999999999829"/>
    <n v="0.01"/>
    <n v="0.28419999999999845"/>
    <n v="0"/>
    <n v="28.135800000000003"/>
    <x v="1"/>
    <s v=""/>
  </r>
  <r>
    <n v="222"/>
    <d v="2026-07-22T00:00:00"/>
    <d v="2026-07-27T00:00:00"/>
    <x v="2"/>
    <s v="STU-811"/>
    <s v="Returning Customer"/>
    <x v="1"/>
    <x v="0"/>
    <x v="0"/>
    <x v="0"/>
    <n v="59"/>
    <x v="0"/>
    <x v="2"/>
    <n v="0"/>
    <n v="59"/>
    <n v="56.935000000000002"/>
    <n v="56.365650000000002"/>
    <n v="3.5000000000000003E-2"/>
    <n v="2.0649999999999977"/>
    <n v="0.01"/>
    <n v="0.56935000000000002"/>
    <n v="0"/>
    <n v="0"/>
    <x v="0"/>
    <n v="10"/>
  </r>
  <r>
    <n v="223"/>
    <d v="2026-06-03T00:00:00"/>
    <d v="2026-06-04T00:00:00"/>
    <x v="1"/>
    <s v="STU-995"/>
    <s v="New Customer"/>
    <x v="1"/>
    <x v="0"/>
    <x v="1"/>
    <x v="1"/>
    <n v="29"/>
    <x v="0"/>
    <x v="4"/>
    <n v="0"/>
    <n v="29"/>
    <n v="27.984999999999999"/>
    <n v="27.70515"/>
    <n v="3.5000000000000003E-2"/>
    <n v="1.0150000000000006"/>
    <n v="0.01"/>
    <n v="0.27984999999999971"/>
    <n v="0"/>
    <n v="0"/>
    <x v="2"/>
    <n v="10"/>
  </r>
  <r>
    <n v="224"/>
    <d v="2026-04-15T00:00:00"/>
    <d v="2026-04-20T00:00:00"/>
    <x v="5"/>
    <s v="STU-431"/>
    <s v="Returning Customer"/>
    <x v="2"/>
    <x v="3"/>
    <x v="4"/>
    <x v="2"/>
    <n v="59"/>
    <x v="1"/>
    <x v="1"/>
    <n v="0"/>
    <n v="59"/>
    <n v="59"/>
    <n v="0"/>
    <n v="0"/>
    <n v="0"/>
    <n v="0.01"/>
    <n v="0.59000000000000341"/>
    <n v="0"/>
    <n v="58.41"/>
    <x v="0"/>
    <s v=""/>
  </r>
  <r>
    <n v="225"/>
    <d v="2026-01-22T00:00:00"/>
    <d v="2026-01-26T00:00:00"/>
    <x v="4"/>
    <s v="STU-809"/>
    <s v="Returning Customer"/>
    <x v="1"/>
    <x v="0"/>
    <x v="5"/>
    <x v="2"/>
    <n v="29"/>
    <x v="1"/>
    <x v="2"/>
    <n v="0"/>
    <n v="29"/>
    <n v="27.984999999999999"/>
    <n v="0"/>
    <n v="3.5000000000000003E-2"/>
    <n v="1.0150000000000006"/>
    <n v="0.01"/>
    <n v="0.27984999999999971"/>
    <n v="0"/>
    <n v="27.70515"/>
    <x v="1"/>
    <n v="10"/>
  </r>
  <r>
    <n v="226"/>
    <d v="2026-07-16T00:00:00"/>
    <d v="2026-07-21T00:00:00"/>
    <x v="2"/>
    <s v="STU-588"/>
    <s v="New Customer"/>
    <x v="1"/>
    <x v="2"/>
    <x v="5"/>
    <x v="2"/>
    <n v="29"/>
    <x v="1"/>
    <x v="1"/>
    <n v="0"/>
    <n v="29"/>
    <n v="29"/>
    <n v="0"/>
    <n v="0"/>
    <n v="0"/>
    <n v="0.01"/>
    <n v="0.28999999999999915"/>
    <n v="0"/>
    <n v="28.71"/>
    <x v="1"/>
    <s v=""/>
  </r>
  <r>
    <n v="227"/>
    <d v="2026-02-24T00:00:00"/>
    <d v="2026-02-28T00:00:00"/>
    <x v="6"/>
    <s v="STU-194"/>
    <s v="New Customer"/>
    <x v="0"/>
    <x v="0"/>
    <x v="3"/>
    <x v="3"/>
    <n v="59"/>
    <x v="1"/>
    <x v="3"/>
    <n v="0"/>
    <n v="59"/>
    <n v="57.82"/>
    <n v="0"/>
    <n v="0.02"/>
    <n v="1.1799999999999997"/>
    <n v="0.01"/>
    <n v="0.57820000000000249"/>
    <n v="0"/>
    <n v="57.241799999999998"/>
    <x v="2"/>
    <s v=""/>
  </r>
  <r>
    <n v="228"/>
    <d v="2026-02-15T00:00:00"/>
    <d v="2026-02-15T00:00:00"/>
    <x v="6"/>
    <s v="STU-20"/>
    <s v="New Customer"/>
    <x v="2"/>
    <x v="0"/>
    <x v="2"/>
    <x v="2"/>
    <n v="29"/>
    <x v="1"/>
    <x v="4"/>
    <n v="0"/>
    <n v="29"/>
    <n v="27.984999999999999"/>
    <n v="0"/>
    <n v="3.5000000000000003E-2"/>
    <n v="1.0150000000000006"/>
    <n v="0.01"/>
    <n v="0.27984999999999971"/>
    <n v="0"/>
    <n v="27.70515"/>
    <x v="0"/>
    <s v=""/>
  </r>
  <r>
    <n v="229"/>
    <d v="2026-07-25T00:00:00"/>
    <d v="2026-07-30T00:00:00"/>
    <x v="2"/>
    <s v="STU-621"/>
    <s v="New Customer"/>
    <x v="1"/>
    <x v="1"/>
    <x v="2"/>
    <x v="2"/>
    <n v="29"/>
    <x v="1"/>
    <x v="1"/>
    <n v="0"/>
    <n v="29"/>
    <n v="29"/>
    <n v="0"/>
    <n v="0"/>
    <n v="0"/>
    <n v="0.01"/>
    <n v="0.28999999999999915"/>
    <n v="0"/>
    <n v="28.71"/>
    <x v="1"/>
    <n v="10"/>
  </r>
  <r>
    <n v="230"/>
    <d v="2026-03-31T00:00:00"/>
    <d v="2026-04-03T00:00:00"/>
    <x v="5"/>
    <s v="STU-882"/>
    <s v="New Customer"/>
    <x v="0"/>
    <x v="1"/>
    <x v="7"/>
    <x v="3"/>
    <n v="99"/>
    <x v="1"/>
    <x v="3"/>
    <n v="0"/>
    <n v="99"/>
    <n v="97.02"/>
    <n v="0"/>
    <n v="0.02"/>
    <n v="1.980000000000004"/>
    <n v="0.01"/>
    <n v="0.9702000000000055"/>
    <n v="0"/>
    <n v="96.049799999999991"/>
    <x v="0"/>
    <s v=""/>
  </r>
  <r>
    <n v="231"/>
    <d v="2026-04-26T00:00:00"/>
    <d v="2026-04-29T00:00:00"/>
    <x v="5"/>
    <s v="STU-301"/>
    <s v="Returning Customer"/>
    <x v="1"/>
    <x v="6"/>
    <x v="1"/>
    <x v="1"/>
    <n v="29"/>
    <x v="2"/>
    <x v="4"/>
    <n v="0"/>
    <n v="29"/>
    <n v="27.984999999999999"/>
    <n v="0"/>
    <n v="3.5000000000000003E-2"/>
    <n v="1.0150000000000006"/>
    <n v="0.01"/>
    <n v="0.27984999999999971"/>
    <n v="27.70515"/>
    <n v="0"/>
    <x v="0"/>
    <n v="10"/>
  </r>
  <r>
    <n v="232"/>
    <d v="2026-05-10T00:00:00"/>
    <d v="2026-05-12T00:00:00"/>
    <x v="3"/>
    <s v="STU-390"/>
    <s v="New Customer"/>
    <x v="1"/>
    <x v="1"/>
    <x v="2"/>
    <x v="2"/>
    <n v="29"/>
    <x v="2"/>
    <x v="2"/>
    <n v="0"/>
    <n v="29"/>
    <n v="27.984999999999999"/>
    <n v="0"/>
    <n v="3.5000000000000003E-2"/>
    <n v="1.0150000000000006"/>
    <n v="0.01"/>
    <n v="0.27984999999999971"/>
    <n v="27.70515"/>
    <n v="0"/>
    <x v="2"/>
    <s v=""/>
  </r>
  <r>
    <n v="233"/>
    <d v="2026-06-15T00:00:00"/>
    <d v="2026-06-19T00:00:00"/>
    <x v="1"/>
    <s v="STU-935"/>
    <s v="Returning Customer"/>
    <x v="2"/>
    <x v="7"/>
    <x v="2"/>
    <x v="2"/>
    <n v="29"/>
    <x v="1"/>
    <x v="4"/>
    <n v="0"/>
    <n v="29"/>
    <n v="27.984999999999999"/>
    <n v="0"/>
    <n v="3.5000000000000003E-2"/>
    <n v="1.0150000000000006"/>
    <n v="0.01"/>
    <n v="0.27984999999999971"/>
    <n v="0"/>
    <n v="27.70515"/>
    <x v="0"/>
    <n v="10"/>
  </r>
  <r>
    <n v="234"/>
    <d v="2026-06-16T00:00:00"/>
    <d v="2026-06-20T00:00:00"/>
    <x v="1"/>
    <s v="STU-94"/>
    <s v="New Customer"/>
    <x v="2"/>
    <x v="4"/>
    <x v="2"/>
    <x v="2"/>
    <n v="29"/>
    <x v="2"/>
    <x v="1"/>
    <n v="0"/>
    <n v="29"/>
    <n v="29"/>
    <n v="0"/>
    <n v="0"/>
    <n v="0"/>
    <n v="0.01"/>
    <n v="0.28999999999999915"/>
    <n v="28.71"/>
    <n v="0"/>
    <x v="0"/>
    <n v="10"/>
  </r>
  <r>
    <n v="235"/>
    <d v="2026-07-06T00:00:00"/>
    <d v="2026-07-09T00:00:00"/>
    <x v="2"/>
    <s v="STU-302"/>
    <s v="New Customer"/>
    <x v="1"/>
    <x v="4"/>
    <x v="4"/>
    <x v="2"/>
    <n v="59"/>
    <x v="1"/>
    <x v="3"/>
    <n v="0"/>
    <n v="59"/>
    <n v="57.82"/>
    <n v="0"/>
    <n v="0.02"/>
    <n v="1.1799999999999997"/>
    <n v="0.01"/>
    <n v="0.57820000000000249"/>
    <n v="0"/>
    <n v="57.241799999999998"/>
    <x v="2"/>
    <s v=""/>
  </r>
  <r>
    <n v="236"/>
    <d v="2026-02-23T00:00:00"/>
    <d v="2026-02-25T00:00:00"/>
    <x v="6"/>
    <s v="STU-486"/>
    <s v="New Customer"/>
    <x v="0"/>
    <x v="0"/>
    <x v="5"/>
    <x v="2"/>
    <n v="29"/>
    <x v="1"/>
    <x v="4"/>
    <n v="0"/>
    <n v="29"/>
    <n v="27.984999999999999"/>
    <n v="0"/>
    <n v="3.5000000000000003E-2"/>
    <n v="1.0150000000000006"/>
    <n v="0.01"/>
    <n v="0.27984999999999971"/>
    <n v="0"/>
    <n v="27.70515"/>
    <x v="2"/>
    <n v="10"/>
  </r>
  <r>
    <n v="237"/>
    <d v="2026-03-02T00:00:00"/>
    <d v="2026-03-04T00:00:00"/>
    <x v="0"/>
    <s v="STU-655"/>
    <s v="New Customer"/>
    <x v="0"/>
    <x v="2"/>
    <x v="2"/>
    <x v="2"/>
    <n v="29"/>
    <x v="1"/>
    <x v="4"/>
    <n v="0"/>
    <n v="29"/>
    <n v="27.984999999999999"/>
    <n v="0"/>
    <n v="3.5000000000000003E-2"/>
    <n v="1.0150000000000006"/>
    <n v="0.01"/>
    <n v="0.27984999999999971"/>
    <n v="0"/>
    <n v="27.70515"/>
    <x v="0"/>
    <n v="10"/>
  </r>
  <r>
    <n v="238"/>
    <d v="2026-07-21T00:00:00"/>
    <d v="2026-07-25T00:00:00"/>
    <x v="2"/>
    <s v="STU-112"/>
    <s v="New Customer"/>
    <x v="2"/>
    <x v="6"/>
    <x v="7"/>
    <x v="3"/>
    <n v="99"/>
    <x v="0"/>
    <x v="2"/>
    <n v="0"/>
    <n v="99"/>
    <n v="95.534999999999997"/>
    <n v="94.579650000000001"/>
    <n v="3.5000000000000003E-2"/>
    <n v="3.4650000000000034"/>
    <n v="0.01"/>
    <n v="0.9553499999999957"/>
    <n v="0"/>
    <n v="0"/>
    <x v="0"/>
    <n v="10"/>
  </r>
  <r>
    <n v="239"/>
    <d v="2026-01-04T00:00:00"/>
    <d v="2026-01-09T00:00:00"/>
    <x v="4"/>
    <s v="STU-873"/>
    <s v="New Customer"/>
    <x v="2"/>
    <x v="5"/>
    <x v="1"/>
    <x v="1"/>
    <n v="29"/>
    <x v="0"/>
    <x v="2"/>
    <n v="0"/>
    <n v="29"/>
    <n v="27.984999999999999"/>
    <n v="27.70515"/>
    <n v="3.5000000000000003E-2"/>
    <n v="1.0150000000000006"/>
    <n v="0.01"/>
    <n v="0.27984999999999971"/>
    <n v="0"/>
    <n v="0"/>
    <x v="0"/>
    <n v="10"/>
  </r>
  <r>
    <n v="240"/>
    <d v="2026-03-06T00:00:00"/>
    <d v="2026-03-08T00:00:00"/>
    <x v="0"/>
    <s v="STU-416"/>
    <s v="New Customer"/>
    <x v="2"/>
    <x v="6"/>
    <x v="7"/>
    <x v="3"/>
    <n v="99"/>
    <x v="2"/>
    <x v="4"/>
    <n v="0"/>
    <n v="99"/>
    <n v="95.534999999999997"/>
    <n v="0"/>
    <n v="3.5000000000000003E-2"/>
    <n v="3.4650000000000034"/>
    <n v="0.01"/>
    <n v="0.9553499999999957"/>
    <n v="94.579650000000001"/>
    <n v="0"/>
    <x v="0"/>
    <n v="10"/>
  </r>
  <r>
    <n v="241"/>
    <d v="2026-03-08T00:00:00"/>
    <d v="2026-03-13T00:00:00"/>
    <x v="0"/>
    <s v="STU-809"/>
    <s v="Returning Customer"/>
    <x v="0"/>
    <x v="2"/>
    <x v="0"/>
    <x v="0"/>
    <n v="59"/>
    <x v="2"/>
    <x v="2"/>
    <n v="0"/>
    <n v="59"/>
    <n v="56.935000000000002"/>
    <n v="0"/>
    <n v="3.5000000000000003E-2"/>
    <n v="2.0649999999999977"/>
    <n v="0.01"/>
    <n v="0.56935000000000002"/>
    <n v="56.365650000000002"/>
    <n v="0"/>
    <x v="0"/>
    <s v=""/>
  </r>
  <r>
    <n v="242"/>
    <d v="2026-03-24T00:00:00"/>
    <d v="2026-03-29T00:00:00"/>
    <x v="0"/>
    <s v="STU-601"/>
    <s v="Returning Customer"/>
    <x v="1"/>
    <x v="4"/>
    <x v="4"/>
    <x v="2"/>
    <n v="59"/>
    <x v="1"/>
    <x v="4"/>
    <n v="0"/>
    <n v="59"/>
    <n v="56.935000000000002"/>
    <n v="0"/>
    <n v="3.5000000000000003E-2"/>
    <n v="2.0649999999999977"/>
    <n v="0.01"/>
    <n v="0.56935000000000002"/>
    <n v="0"/>
    <n v="56.365650000000002"/>
    <x v="2"/>
    <n v="10"/>
  </r>
  <r>
    <n v="243"/>
    <d v="2026-03-24T00:00:00"/>
    <d v="2026-03-24T00:00:00"/>
    <x v="0"/>
    <s v="STU-984"/>
    <s v="New Customer"/>
    <x v="0"/>
    <x v="6"/>
    <x v="2"/>
    <x v="2"/>
    <n v="29"/>
    <x v="1"/>
    <x v="0"/>
    <n v="0"/>
    <n v="29"/>
    <n v="28.42"/>
    <n v="0"/>
    <n v="0.02"/>
    <n v="0.57999999999999829"/>
    <n v="0.01"/>
    <n v="0.28419999999999845"/>
    <n v="0"/>
    <n v="28.135800000000003"/>
    <x v="1"/>
    <s v=""/>
  </r>
  <r>
    <n v="244"/>
    <d v="2026-03-21T00:00:00"/>
    <d v="2026-03-22T00:00:00"/>
    <x v="0"/>
    <s v="STU-134"/>
    <s v="New Customer"/>
    <x v="1"/>
    <x v="1"/>
    <x v="4"/>
    <x v="2"/>
    <n v="59"/>
    <x v="1"/>
    <x v="2"/>
    <n v="0"/>
    <n v="59"/>
    <n v="56.935000000000002"/>
    <n v="0"/>
    <n v="3.5000000000000003E-2"/>
    <n v="2.0649999999999977"/>
    <n v="0.01"/>
    <n v="0.56935000000000002"/>
    <n v="0"/>
    <n v="56.365650000000002"/>
    <x v="1"/>
    <n v="10"/>
  </r>
  <r>
    <n v="245"/>
    <d v="2026-06-22T00:00:00"/>
    <d v="2026-06-22T00:00:00"/>
    <x v="1"/>
    <s v="STU-826"/>
    <s v="New Customer"/>
    <x v="1"/>
    <x v="3"/>
    <x v="7"/>
    <x v="3"/>
    <n v="99"/>
    <x v="2"/>
    <x v="4"/>
    <n v="0"/>
    <n v="99"/>
    <n v="95.534999999999997"/>
    <n v="0"/>
    <n v="3.5000000000000003E-2"/>
    <n v="3.4650000000000034"/>
    <n v="0.01"/>
    <n v="0.9553499999999957"/>
    <n v="94.579650000000001"/>
    <n v="0"/>
    <x v="0"/>
    <n v="10"/>
  </r>
  <r>
    <n v="246"/>
    <d v="2026-03-07T00:00:00"/>
    <d v="2026-03-12T00:00:00"/>
    <x v="0"/>
    <s v="STU-882"/>
    <s v="Returning Customer"/>
    <x v="2"/>
    <x v="0"/>
    <x v="4"/>
    <x v="2"/>
    <n v="59"/>
    <x v="0"/>
    <x v="0"/>
    <n v="0"/>
    <n v="59"/>
    <n v="57.82"/>
    <n v="57.241799999999998"/>
    <n v="0.02"/>
    <n v="1.1799999999999997"/>
    <n v="0.01"/>
    <n v="0.57820000000000249"/>
    <n v="0"/>
    <n v="0"/>
    <x v="1"/>
    <s v=""/>
  </r>
  <r>
    <n v="247"/>
    <d v="2026-04-30T00:00:00"/>
    <d v="2026-04-30T00:00:00"/>
    <x v="5"/>
    <s v="STU-315"/>
    <s v="New Customer"/>
    <x v="1"/>
    <x v="7"/>
    <x v="1"/>
    <x v="1"/>
    <n v="29"/>
    <x v="1"/>
    <x v="3"/>
    <n v="0"/>
    <n v="29"/>
    <n v="28.42"/>
    <n v="0"/>
    <n v="0.02"/>
    <n v="0.57999999999999829"/>
    <n v="0.01"/>
    <n v="0.28419999999999845"/>
    <n v="0"/>
    <n v="28.135800000000003"/>
    <x v="0"/>
    <s v=""/>
  </r>
  <r>
    <n v="248"/>
    <d v="2026-04-06T00:00:00"/>
    <d v="2026-04-09T00:00:00"/>
    <x v="5"/>
    <s v="STU-369"/>
    <s v="New Customer"/>
    <x v="0"/>
    <x v="4"/>
    <x v="5"/>
    <x v="2"/>
    <n v="29"/>
    <x v="1"/>
    <x v="1"/>
    <n v="0"/>
    <n v="29"/>
    <n v="29"/>
    <n v="0"/>
    <n v="0"/>
    <n v="0"/>
    <n v="0.01"/>
    <n v="0.28999999999999915"/>
    <n v="0"/>
    <n v="28.71"/>
    <x v="0"/>
    <s v=""/>
  </r>
  <r>
    <n v="249"/>
    <d v="2026-04-22T00:00:00"/>
    <d v="2026-04-22T00:00:00"/>
    <x v="5"/>
    <s v="STU-737"/>
    <s v="New Customer"/>
    <x v="0"/>
    <x v="6"/>
    <x v="7"/>
    <x v="3"/>
    <n v="99"/>
    <x v="2"/>
    <x v="3"/>
    <n v="0"/>
    <n v="99"/>
    <n v="97.02"/>
    <n v="0"/>
    <n v="0.02"/>
    <n v="1.980000000000004"/>
    <n v="0.01"/>
    <n v="0.9702000000000055"/>
    <n v="96.049799999999991"/>
    <n v="0"/>
    <x v="1"/>
    <n v="10"/>
  </r>
  <r>
    <n v="250"/>
    <d v="2026-04-07T00:00:00"/>
    <d v="2026-04-07T00:00:00"/>
    <x v="5"/>
    <s v="STU-491"/>
    <s v="New Customer"/>
    <x v="1"/>
    <x v="0"/>
    <x v="6"/>
    <x v="2"/>
    <n v="29"/>
    <x v="1"/>
    <x v="1"/>
    <n v="0"/>
    <n v="29"/>
    <n v="29"/>
    <n v="0"/>
    <n v="0"/>
    <n v="0"/>
    <n v="0.01"/>
    <n v="0.28999999999999915"/>
    <n v="0"/>
    <n v="28.71"/>
    <x v="0"/>
    <n v="10"/>
  </r>
  <r>
    <n v="251"/>
    <d v="2026-01-12T00:00:00"/>
    <d v="2026-01-14T00:00:00"/>
    <x v="4"/>
    <s v="STU-779"/>
    <s v="New Customer"/>
    <x v="1"/>
    <x v="6"/>
    <x v="2"/>
    <x v="2"/>
    <n v="29"/>
    <x v="1"/>
    <x v="1"/>
    <n v="0"/>
    <n v="29"/>
    <n v="29"/>
    <n v="0"/>
    <n v="0"/>
    <n v="0"/>
    <n v="0.01"/>
    <n v="0.28999999999999915"/>
    <n v="0"/>
    <n v="28.71"/>
    <x v="1"/>
    <n v="10"/>
  </r>
  <r>
    <n v="252"/>
    <d v="2026-03-07T00:00:00"/>
    <d v="2026-03-09T00:00:00"/>
    <x v="0"/>
    <s v="STU-526"/>
    <s v="New Customer"/>
    <x v="0"/>
    <x v="7"/>
    <x v="6"/>
    <x v="2"/>
    <n v="29"/>
    <x v="1"/>
    <x v="2"/>
    <n v="0"/>
    <n v="29"/>
    <n v="27.984999999999999"/>
    <n v="0"/>
    <n v="3.5000000000000003E-2"/>
    <n v="1.0150000000000006"/>
    <n v="0.01"/>
    <n v="0.27984999999999971"/>
    <n v="0"/>
    <n v="27.70515"/>
    <x v="2"/>
    <n v="10"/>
  </r>
  <r>
    <n v="253"/>
    <d v="2026-07-13T00:00:00"/>
    <d v="2026-07-15T00:00:00"/>
    <x v="2"/>
    <s v="STU-684"/>
    <s v="New Customer"/>
    <x v="0"/>
    <x v="5"/>
    <x v="5"/>
    <x v="2"/>
    <n v="29"/>
    <x v="1"/>
    <x v="3"/>
    <n v="0"/>
    <n v="29"/>
    <n v="28.42"/>
    <n v="0"/>
    <n v="0.02"/>
    <n v="0.57999999999999829"/>
    <n v="0.01"/>
    <n v="0.28419999999999845"/>
    <n v="0"/>
    <n v="28.135800000000003"/>
    <x v="0"/>
    <s v=""/>
  </r>
  <r>
    <n v="254"/>
    <d v="2026-01-18T00:00:00"/>
    <d v="2026-01-22T00:00:00"/>
    <x v="4"/>
    <s v="STU-952"/>
    <s v="New Customer"/>
    <x v="2"/>
    <x v="2"/>
    <x v="6"/>
    <x v="2"/>
    <n v="29"/>
    <x v="0"/>
    <x v="3"/>
    <n v="0"/>
    <n v="29"/>
    <n v="28.42"/>
    <n v="28.135800000000003"/>
    <n v="0.02"/>
    <n v="0.57999999999999829"/>
    <n v="0.01"/>
    <n v="0.28419999999999845"/>
    <n v="0"/>
    <n v="0"/>
    <x v="2"/>
    <s v=""/>
  </r>
  <r>
    <n v="255"/>
    <d v="2026-03-04T00:00:00"/>
    <d v="2026-03-08T00:00:00"/>
    <x v="0"/>
    <s v="STU-890"/>
    <s v="New Customer"/>
    <x v="2"/>
    <x v="0"/>
    <x v="6"/>
    <x v="2"/>
    <n v="29"/>
    <x v="0"/>
    <x v="3"/>
    <n v="0"/>
    <n v="29"/>
    <n v="28.42"/>
    <n v="28.135800000000003"/>
    <n v="0.02"/>
    <n v="0.57999999999999829"/>
    <n v="0.01"/>
    <n v="0.28419999999999845"/>
    <n v="0"/>
    <n v="0"/>
    <x v="0"/>
    <s v=""/>
  </r>
  <r>
    <n v="256"/>
    <d v="2026-03-03T00:00:00"/>
    <d v="2026-03-07T00:00:00"/>
    <x v="0"/>
    <s v="STU-243"/>
    <s v="New Customer"/>
    <x v="0"/>
    <x v="3"/>
    <x v="2"/>
    <x v="2"/>
    <n v="29"/>
    <x v="1"/>
    <x v="4"/>
    <n v="20"/>
    <n v="-551"/>
    <n v="-531.71500000000003"/>
    <n v="0"/>
    <n v="3.5000000000000003E-2"/>
    <n v="-19.284999999999968"/>
    <n v="0.01"/>
    <n v="-5.3171499999999696"/>
    <n v="0"/>
    <n v="-526.39785000000006"/>
    <x v="1"/>
    <s v=""/>
  </r>
  <r>
    <n v="257"/>
    <d v="2026-07-25T00:00:00"/>
    <d v="2026-07-27T00:00:00"/>
    <x v="2"/>
    <s v="STU-954"/>
    <s v="Returning Customer"/>
    <x v="1"/>
    <x v="1"/>
    <x v="0"/>
    <x v="0"/>
    <n v="59"/>
    <x v="1"/>
    <x v="0"/>
    <n v="0"/>
    <n v="59"/>
    <n v="57.82"/>
    <n v="0"/>
    <n v="0.02"/>
    <n v="1.1799999999999997"/>
    <n v="0.01"/>
    <n v="0.57820000000000249"/>
    <n v="0"/>
    <n v="57.241799999999998"/>
    <x v="1"/>
    <n v="10"/>
  </r>
  <r>
    <n v="258"/>
    <d v="2026-04-04T00:00:00"/>
    <d v="2026-04-05T00:00:00"/>
    <x v="5"/>
    <s v="STU-940"/>
    <s v="New Customer"/>
    <x v="0"/>
    <x v="2"/>
    <x v="0"/>
    <x v="0"/>
    <n v="59"/>
    <x v="2"/>
    <x v="0"/>
    <n v="0"/>
    <n v="59"/>
    <n v="57.82"/>
    <n v="0"/>
    <n v="0.02"/>
    <n v="1.1799999999999997"/>
    <n v="0.01"/>
    <n v="0.57820000000000249"/>
    <n v="57.241799999999998"/>
    <n v="0"/>
    <x v="2"/>
    <s v=""/>
  </r>
  <r>
    <n v="259"/>
    <d v="2026-01-27T00:00:00"/>
    <d v="2026-01-28T00:00:00"/>
    <x v="4"/>
    <s v="STU-111"/>
    <s v="New Customer"/>
    <x v="2"/>
    <x v="0"/>
    <x v="7"/>
    <x v="3"/>
    <n v="99"/>
    <x v="2"/>
    <x v="3"/>
    <n v="0"/>
    <n v="99"/>
    <n v="97.02"/>
    <n v="0"/>
    <n v="0.02"/>
    <n v="1.980000000000004"/>
    <n v="0.01"/>
    <n v="0.9702000000000055"/>
    <n v="96.049799999999991"/>
    <n v="0"/>
    <x v="1"/>
    <n v="10"/>
  </r>
  <r>
    <n v="260"/>
    <d v="2026-05-09T00:00:00"/>
    <d v="2026-05-11T00:00:00"/>
    <x v="3"/>
    <s v="STU-192"/>
    <s v="Returning Customer"/>
    <x v="1"/>
    <x v="7"/>
    <x v="6"/>
    <x v="2"/>
    <n v="29"/>
    <x v="1"/>
    <x v="3"/>
    <n v="0"/>
    <n v="29"/>
    <n v="28.42"/>
    <n v="0"/>
    <n v="0.02"/>
    <n v="0.57999999999999829"/>
    <n v="0.01"/>
    <n v="0.28419999999999845"/>
    <n v="0"/>
    <n v="28.135800000000003"/>
    <x v="2"/>
    <s v=""/>
  </r>
  <r>
    <n v="261"/>
    <d v="2026-05-18T00:00:00"/>
    <d v="2026-05-19T00:00:00"/>
    <x v="3"/>
    <s v="STU-233"/>
    <s v="New Customer"/>
    <x v="1"/>
    <x v="6"/>
    <x v="4"/>
    <x v="2"/>
    <n v="59"/>
    <x v="1"/>
    <x v="3"/>
    <n v="0"/>
    <n v="59"/>
    <n v="57.82"/>
    <n v="0"/>
    <n v="0.02"/>
    <n v="1.1799999999999997"/>
    <n v="0.01"/>
    <n v="0.57820000000000249"/>
    <n v="0"/>
    <n v="57.241799999999998"/>
    <x v="0"/>
    <s v=""/>
  </r>
  <r>
    <n v="262"/>
    <d v="2026-07-05T00:00:00"/>
    <d v="2026-07-10T00:00:00"/>
    <x v="2"/>
    <s v="STU-564"/>
    <s v="New Customer"/>
    <x v="0"/>
    <x v="2"/>
    <x v="4"/>
    <x v="2"/>
    <n v="59"/>
    <x v="0"/>
    <x v="3"/>
    <n v="0"/>
    <n v="59"/>
    <n v="57.82"/>
    <n v="57.241799999999998"/>
    <n v="0.02"/>
    <n v="1.1799999999999997"/>
    <n v="0.01"/>
    <n v="0.57820000000000249"/>
    <n v="0"/>
    <n v="0"/>
    <x v="0"/>
    <n v="10"/>
  </r>
  <r>
    <n v="263"/>
    <d v="2026-01-24T00:00:00"/>
    <d v="2026-01-24T00:00:00"/>
    <x v="4"/>
    <s v="STU-764"/>
    <s v="New Customer"/>
    <x v="1"/>
    <x v="1"/>
    <x v="2"/>
    <x v="2"/>
    <n v="29"/>
    <x v="2"/>
    <x v="1"/>
    <n v="0"/>
    <n v="29"/>
    <n v="29"/>
    <n v="0"/>
    <n v="0"/>
    <n v="0"/>
    <n v="0.01"/>
    <n v="0.28999999999999915"/>
    <n v="28.71"/>
    <n v="0"/>
    <x v="2"/>
    <n v="10"/>
  </r>
  <r>
    <n v="264"/>
    <d v="2026-02-09T00:00:00"/>
    <d v="2026-02-11T00:00:00"/>
    <x v="6"/>
    <s v="STU-958"/>
    <s v="Returning Customer"/>
    <x v="1"/>
    <x v="3"/>
    <x v="0"/>
    <x v="0"/>
    <n v="59"/>
    <x v="0"/>
    <x v="2"/>
    <n v="0"/>
    <n v="59"/>
    <n v="56.935000000000002"/>
    <n v="56.365650000000002"/>
    <n v="3.5000000000000003E-2"/>
    <n v="2.0649999999999977"/>
    <n v="0.01"/>
    <n v="0.56935000000000002"/>
    <n v="0"/>
    <n v="0"/>
    <x v="2"/>
    <s v=""/>
  </r>
  <r>
    <n v="265"/>
    <d v="2026-05-30T00:00:00"/>
    <d v="2026-05-30T00:00:00"/>
    <x v="3"/>
    <s v="STU-255"/>
    <s v="New Customer"/>
    <x v="2"/>
    <x v="7"/>
    <x v="1"/>
    <x v="1"/>
    <n v="29"/>
    <x v="0"/>
    <x v="3"/>
    <n v="0"/>
    <n v="29"/>
    <n v="28.42"/>
    <n v="28.135800000000003"/>
    <n v="0.02"/>
    <n v="0.57999999999999829"/>
    <n v="0.01"/>
    <n v="0.28419999999999845"/>
    <n v="0"/>
    <n v="0"/>
    <x v="2"/>
    <n v="10"/>
  </r>
  <r>
    <n v="266"/>
    <d v="2026-04-17T00:00:00"/>
    <d v="2026-04-21T00:00:00"/>
    <x v="5"/>
    <s v="STU-570"/>
    <s v="New Customer"/>
    <x v="2"/>
    <x v="6"/>
    <x v="2"/>
    <x v="2"/>
    <n v="29"/>
    <x v="1"/>
    <x v="0"/>
    <n v="0"/>
    <n v="29"/>
    <n v="28.42"/>
    <n v="0"/>
    <n v="0.02"/>
    <n v="0.57999999999999829"/>
    <n v="0.01"/>
    <n v="0.28419999999999845"/>
    <n v="0"/>
    <n v="28.135800000000003"/>
    <x v="0"/>
    <s v=""/>
  </r>
  <r>
    <n v="267"/>
    <d v="2026-04-24T00:00:00"/>
    <d v="2026-04-27T00:00:00"/>
    <x v="5"/>
    <s v="STU-609"/>
    <s v="Returning Customer"/>
    <x v="1"/>
    <x v="0"/>
    <x v="3"/>
    <x v="3"/>
    <n v="59"/>
    <x v="1"/>
    <x v="3"/>
    <n v="0"/>
    <n v="59"/>
    <n v="57.82"/>
    <n v="0"/>
    <n v="0.02"/>
    <n v="1.1799999999999997"/>
    <n v="0.01"/>
    <n v="0.57820000000000249"/>
    <n v="0"/>
    <n v="57.241799999999998"/>
    <x v="2"/>
    <n v="10"/>
  </r>
  <r>
    <n v="268"/>
    <d v="2026-07-29T00:00:00"/>
    <d v="2026-07-29T00:00:00"/>
    <x v="2"/>
    <s v="STU-500"/>
    <s v="New Customer"/>
    <x v="1"/>
    <x v="0"/>
    <x v="2"/>
    <x v="2"/>
    <n v="29"/>
    <x v="1"/>
    <x v="4"/>
    <n v="0"/>
    <n v="29"/>
    <n v="27.984999999999999"/>
    <n v="0"/>
    <n v="3.5000000000000003E-2"/>
    <n v="1.0150000000000006"/>
    <n v="0.01"/>
    <n v="0.27984999999999971"/>
    <n v="0"/>
    <n v="27.70515"/>
    <x v="0"/>
    <s v=""/>
  </r>
  <r>
    <n v="269"/>
    <d v="2026-06-16T00:00:00"/>
    <d v="2026-06-20T00:00:00"/>
    <x v="1"/>
    <s v="STU-523"/>
    <s v="New Customer"/>
    <x v="2"/>
    <x v="6"/>
    <x v="1"/>
    <x v="1"/>
    <n v="29"/>
    <x v="1"/>
    <x v="3"/>
    <n v="0"/>
    <n v="29"/>
    <n v="28.42"/>
    <n v="0"/>
    <n v="0.02"/>
    <n v="0.57999999999999829"/>
    <n v="0.01"/>
    <n v="0.28419999999999845"/>
    <n v="0"/>
    <n v="28.135800000000003"/>
    <x v="2"/>
    <s v=""/>
  </r>
  <r>
    <n v="270"/>
    <d v="2026-02-27T00:00:00"/>
    <d v="2026-03-01T00:00:00"/>
    <x v="0"/>
    <s v="STU-931"/>
    <s v="New Customer"/>
    <x v="0"/>
    <x v="0"/>
    <x v="3"/>
    <x v="3"/>
    <n v="59"/>
    <x v="1"/>
    <x v="1"/>
    <n v="0"/>
    <n v="59"/>
    <n v="59"/>
    <n v="0"/>
    <n v="0"/>
    <n v="0"/>
    <n v="0.01"/>
    <n v="0.59000000000000341"/>
    <n v="0"/>
    <n v="58.41"/>
    <x v="1"/>
    <s v=""/>
  </r>
  <r>
    <n v="271"/>
    <d v="2026-04-02T00:00:00"/>
    <d v="2026-04-03T00:00:00"/>
    <x v="5"/>
    <s v="STU-87"/>
    <s v="New Customer"/>
    <x v="2"/>
    <x v="2"/>
    <x v="4"/>
    <x v="2"/>
    <n v="59"/>
    <x v="2"/>
    <x v="2"/>
    <n v="0"/>
    <n v="59"/>
    <n v="56.935000000000002"/>
    <n v="0"/>
    <n v="3.5000000000000003E-2"/>
    <n v="2.0649999999999977"/>
    <n v="0.01"/>
    <n v="0.56935000000000002"/>
    <n v="56.365650000000002"/>
    <n v="0"/>
    <x v="0"/>
    <s v=""/>
  </r>
  <r>
    <n v="272"/>
    <d v="2026-03-27T00:00:00"/>
    <d v="2026-03-28T00:00:00"/>
    <x v="0"/>
    <s v="STU-494"/>
    <s v="New Customer"/>
    <x v="0"/>
    <x v="3"/>
    <x v="2"/>
    <x v="2"/>
    <n v="29"/>
    <x v="1"/>
    <x v="0"/>
    <n v="0"/>
    <n v="29"/>
    <n v="28.42"/>
    <n v="0"/>
    <n v="0.02"/>
    <n v="0.57999999999999829"/>
    <n v="0.01"/>
    <n v="0.28419999999999845"/>
    <n v="0"/>
    <n v="28.135800000000003"/>
    <x v="0"/>
    <s v=""/>
  </r>
  <r>
    <n v="273"/>
    <d v="2026-02-04T00:00:00"/>
    <d v="2026-02-09T00:00:00"/>
    <x v="6"/>
    <s v="STU-86"/>
    <s v="New Customer"/>
    <x v="0"/>
    <x v="1"/>
    <x v="1"/>
    <x v="1"/>
    <n v="29"/>
    <x v="1"/>
    <x v="0"/>
    <n v="0"/>
    <n v="29"/>
    <n v="28.42"/>
    <n v="0"/>
    <n v="0.02"/>
    <n v="0.57999999999999829"/>
    <n v="0.01"/>
    <n v="0.28419999999999845"/>
    <n v="0"/>
    <n v="28.135800000000003"/>
    <x v="1"/>
    <s v=""/>
  </r>
  <r>
    <n v="274"/>
    <d v="2026-02-08T00:00:00"/>
    <d v="2026-02-13T00:00:00"/>
    <x v="6"/>
    <s v="STU-37"/>
    <s v="New Customer"/>
    <x v="0"/>
    <x v="1"/>
    <x v="5"/>
    <x v="2"/>
    <n v="29"/>
    <x v="1"/>
    <x v="1"/>
    <n v="0"/>
    <n v="29"/>
    <n v="29"/>
    <n v="0"/>
    <n v="0"/>
    <n v="0"/>
    <n v="0.01"/>
    <n v="0.28999999999999915"/>
    <n v="0"/>
    <n v="28.71"/>
    <x v="2"/>
    <n v="10"/>
  </r>
  <r>
    <n v="275"/>
    <d v="2026-02-04T00:00:00"/>
    <d v="2026-02-04T00:00:00"/>
    <x v="6"/>
    <s v="STU-819"/>
    <s v="New Customer"/>
    <x v="0"/>
    <x v="6"/>
    <x v="5"/>
    <x v="2"/>
    <n v="29"/>
    <x v="2"/>
    <x v="4"/>
    <n v="0"/>
    <n v="29"/>
    <n v="27.984999999999999"/>
    <n v="0"/>
    <n v="3.5000000000000003E-2"/>
    <n v="1.0150000000000006"/>
    <n v="0.01"/>
    <n v="0.27984999999999971"/>
    <n v="27.70515"/>
    <n v="0"/>
    <x v="2"/>
    <s v=""/>
  </r>
  <r>
    <n v="276"/>
    <d v="2026-03-18T00:00:00"/>
    <d v="2026-03-20T00:00:00"/>
    <x v="0"/>
    <s v="STU-1000"/>
    <s v="New Customer"/>
    <x v="0"/>
    <x v="7"/>
    <x v="3"/>
    <x v="3"/>
    <n v="59"/>
    <x v="0"/>
    <x v="4"/>
    <n v="0"/>
    <n v="59"/>
    <n v="56.935000000000002"/>
    <n v="56.365650000000002"/>
    <n v="3.5000000000000003E-2"/>
    <n v="2.0649999999999977"/>
    <n v="0.01"/>
    <n v="0.56935000000000002"/>
    <n v="0"/>
    <n v="0"/>
    <x v="2"/>
    <s v=""/>
  </r>
  <r>
    <n v="277"/>
    <d v="2026-01-15T00:00:00"/>
    <d v="2026-01-17T00:00:00"/>
    <x v="4"/>
    <s v="STU-217"/>
    <s v="Returning Customer"/>
    <x v="0"/>
    <x v="1"/>
    <x v="6"/>
    <x v="2"/>
    <n v="29"/>
    <x v="1"/>
    <x v="0"/>
    <n v="0"/>
    <n v="29"/>
    <n v="28.42"/>
    <n v="0"/>
    <n v="0.02"/>
    <n v="0.57999999999999829"/>
    <n v="0.01"/>
    <n v="0.28419999999999845"/>
    <n v="0"/>
    <n v="28.135800000000003"/>
    <x v="2"/>
    <n v="10"/>
  </r>
  <r>
    <n v="278"/>
    <d v="2026-03-21T00:00:00"/>
    <d v="2026-03-25T00:00:00"/>
    <x v="0"/>
    <s v="STU-763"/>
    <s v="New Customer"/>
    <x v="1"/>
    <x v="0"/>
    <x v="3"/>
    <x v="3"/>
    <n v="59"/>
    <x v="1"/>
    <x v="1"/>
    <n v="0"/>
    <n v="59"/>
    <n v="59"/>
    <n v="0"/>
    <n v="0"/>
    <n v="0"/>
    <n v="0.01"/>
    <n v="0.59000000000000341"/>
    <n v="0"/>
    <n v="58.41"/>
    <x v="2"/>
    <n v="10"/>
  </r>
  <r>
    <n v="279"/>
    <d v="2026-03-15T00:00:00"/>
    <d v="2026-03-15T00:00:00"/>
    <x v="0"/>
    <s v="STU-612"/>
    <s v="New Customer"/>
    <x v="2"/>
    <x v="5"/>
    <x v="2"/>
    <x v="2"/>
    <n v="29"/>
    <x v="1"/>
    <x v="2"/>
    <n v="0"/>
    <n v="29"/>
    <n v="27.984999999999999"/>
    <n v="0"/>
    <n v="3.5000000000000003E-2"/>
    <n v="1.0150000000000006"/>
    <n v="0.01"/>
    <n v="0.27984999999999971"/>
    <n v="0"/>
    <n v="27.70515"/>
    <x v="0"/>
    <n v="10"/>
  </r>
  <r>
    <n v="280"/>
    <d v="2026-06-06T00:00:00"/>
    <d v="2026-06-10T00:00:00"/>
    <x v="1"/>
    <s v="STU-432"/>
    <s v="New Customer"/>
    <x v="0"/>
    <x v="0"/>
    <x v="4"/>
    <x v="2"/>
    <n v="59"/>
    <x v="0"/>
    <x v="3"/>
    <n v="0"/>
    <n v="59"/>
    <n v="57.82"/>
    <n v="57.241799999999998"/>
    <n v="0.02"/>
    <n v="1.1799999999999997"/>
    <n v="0.01"/>
    <n v="0.57820000000000249"/>
    <n v="0"/>
    <n v="0"/>
    <x v="0"/>
    <s v=""/>
  </r>
  <r>
    <n v="281"/>
    <d v="2026-03-07T00:00:00"/>
    <d v="2026-03-11T00:00:00"/>
    <x v="0"/>
    <s v="STU-194"/>
    <s v="Returning Customer"/>
    <x v="2"/>
    <x v="3"/>
    <x v="1"/>
    <x v="1"/>
    <n v="29"/>
    <x v="1"/>
    <x v="2"/>
    <n v="0"/>
    <n v="29"/>
    <n v="27.984999999999999"/>
    <n v="0"/>
    <n v="3.5000000000000003E-2"/>
    <n v="1.0150000000000006"/>
    <n v="0.01"/>
    <n v="0.27984999999999971"/>
    <n v="0"/>
    <n v="27.70515"/>
    <x v="0"/>
    <s v=""/>
  </r>
  <r>
    <n v="282"/>
    <d v="2026-04-26T00:00:00"/>
    <d v="2026-04-27T00:00:00"/>
    <x v="5"/>
    <s v="STU-844"/>
    <s v="New Customer"/>
    <x v="0"/>
    <x v="3"/>
    <x v="5"/>
    <x v="2"/>
    <n v="29"/>
    <x v="1"/>
    <x v="0"/>
    <n v="0"/>
    <n v="29"/>
    <n v="28.42"/>
    <n v="0"/>
    <n v="0.02"/>
    <n v="0.57999999999999829"/>
    <n v="0.01"/>
    <n v="0.28419999999999845"/>
    <n v="0"/>
    <n v="28.135800000000003"/>
    <x v="1"/>
    <s v=""/>
  </r>
  <r>
    <n v="283"/>
    <d v="2026-07-01T00:00:00"/>
    <d v="2026-07-02T00:00:00"/>
    <x v="2"/>
    <s v="STU-246"/>
    <s v="New Customer"/>
    <x v="1"/>
    <x v="4"/>
    <x v="2"/>
    <x v="2"/>
    <n v="29"/>
    <x v="1"/>
    <x v="1"/>
    <n v="0"/>
    <n v="29"/>
    <n v="29"/>
    <n v="0"/>
    <n v="0"/>
    <n v="0"/>
    <n v="0.01"/>
    <n v="0.28999999999999915"/>
    <n v="0"/>
    <n v="28.71"/>
    <x v="0"/>
    <s v=""/>
  </r>
  <r>
    <n v="284"/>
    <d v="2026-02-03T00:00:00"/>
    <d v="2026-02-04T00:00:00"/>
    <x v="6"/>
    <s v="STU-639"/>
    <s v="New Customer"/>
    <x v="2"/>
    <x v="6"/>
    <x v="2"/>
    <x v="2"/>
    <n v="29"/>
    <x v="1"/>
    <x v="3"/>
    <n v="0"/>
    <n v="29"/>
    <n v="28.42"/>
    <n v="0"/>
    <n v="0.02"/>
    <n v="0.57999999999999829"/>
    <n v="0.01"/>
    <n v="0.28419999999999845"/>
    <n v="0"/>
    <n v="28.135800000000003"/>
    <x v="1"/>
    <s v=""/>
  </r>
  <r>
    <n v="285"/>
    <d v="2026-06-11T00:00:00"/>
    <d v="2026-06-11T00:00:00"/>
    <x v="1"/>
    <s v="STU-701"/>
    <s v="New Customer"/>
    <x v="0"/>
    <x v="2"/>
    <x v="6"/>
    <x v="2"/>
    <n v="29"/>
    <x v="0"/>
    <x v="0"/>
    <n v="0"/>
    <n v="29"/>
    <n v="28.42"/>
    <n v="28.135800000000003"/>
    <n v="0.02"/>
    <n v="0.57999999999999829"/>
    <n v="0.01"/>
    <n v="0.28419999999999845"/>
    <n v="0"/>
    <n v="0"/>
    <x v="1"/>
    <s v=""/>
  </r>
  <r>
    <n v="286"/>
    <d v="2026-01-30T00:00:00"/>
    <d v="2026-02-03T00:00:00"/>
    <x v="6"/>
    <s v="STU-376"/>
    <s v="New Customer"/>
    <x v="0"/>
    <x v="2"/>
    <x v="1"/>
    <x v="1"/>
    <n v="29"/>
    <x v="1"/>
    <x v="1"/>
    <n v="0"/>
    <n v="29"/>
    <n v="29"/>
    <n v="0"/>
    <n v="0"/>
    <n v="0"/>
    <n v="0.01"/>
    <n v="0.28999999999999915"/>
    <n v="0"/>
    <n v="28.71"/>
    <x v="0"/>
    <n v="10"/>
  </r>
  <r>
    <n v="287"/>
    <d v="2026-02-03T00:00:00"/>
    <d v="2026-02-08T00:00:00"/>
    <x v="6"/>
    <s v="STU-479"/>
    <s v="New Customer"/>
    <x v="0"/>
    <x v="0"/>
    <x v="1"/>
    <x v="1"/>
    <n v="29"/>
    <x v="0"/>
    <x v="4"/>
    <n v="0"/>
    <n v="29"/>
    <n v="27.984999999999999"/>
    <n v="27.70515"/>
    <n v="3.5000000000000003E-2"/>
    <n v="1.0150000000000006"/>
    <n v="0.01"/>
    <n v="0.27984999999999971"/>
    <n v="0"/>
    <n v="0"/>
    <x v="1"/>
    <n v="10"/>
  </r>
  <r>
    <n v="288"/>
    <d v="2026-07-19T00:00:00"/>
    <d v="2026-07-22T00:00:00"/>
    <x v="2"/>
    <s v="STU-390"/>
    <s v="Returning Customer"/>
    <x v="0"/>
    <x v="5"/>
    <x v="1"/>
    <x v="1"/>
    <n v="29"/>
    <x v="1"/>
    <x v="2"/>
    <n v="0"/>
    <n v="29"/>
    <n v="27.984999999999999"/>
    <n v="0"/>
    <n v="3.5000000000000003E-2"/>
    <n v="1.0150000000000006"/>
    <n v="0.01"/>
    <n v="0.27984999999999971"/>
    <n v="0"/>
    <n v="27.70515"/>
    <x v="1"/>
    <s v=""/>
  </r>
  <r>
    <n v="289"/>
    <d v="2026-03-01T00:00:00"/>
    <d v="2026-03-02T00:00:00"/>
    <x v="0"/>
    <s v="STU-999"/>
    <s v="New Customer"/>
    <x v="0"/>
    <x v="2"/>
    <x v="1"/>
    <x v="1"/>
    <n v="29"/>
    <x v="1"/>
    <x v="4"/>
    <n v="0"/>
    <n v="29"/>
    <n v="27.984999999999999"/>
    <n v="0"/>
    <n v="3.5000000000000003E-2"/>
    <n v="1.0150000000000006"/>
    <n v="0.01"/>
    <n v="0.27984999999999971"/>
    <n v="0"/>
    <n v="27.70515"/>
    <x v="1"/>
    <s v=""/>
  </r>
  <r>
    <n v="290"/>
    <d v="2026-02-08T00:00:00"/>
    <d v="2026-02-08T00:00:00"/>
    <x v="6"/>
    <s v="STU-942"/>
    <s v="New Customer"/>
    <x v="0"/>
    <x v="0"/>
    <x v="5"/>
    <x v="2"/>
    <n v="29"/>
    <x v="1"/>
    <x v="3"/>
    <n v="0"/>
    <n v="29"/>
    <n v="28.42"/>
    <n v="0"/>
    <n v="0.02"/>
    <n v="0.57999999999999829"/>
    <n v="0.01"/>
    <n v="0.28419999999999845"/>
    <n v="0"/>
    <n v="28.135800000000003"/>
    <x v="1"/>
    <s v=""/>
  </r>
  <r>
    <n v="291"/>
    <d v="2026-04-02T00:00:00"/>
    <d v="2026-04-02T00:00:00"/>
    <x v="5"/>
    <s v="STU-986"/>
    <s v="New Customer"/>
    <x v="0"/>
    <x v="4"/>
    <x v="5"/>
    <x v="2"/>
    <n v="29"/>
    <x v="1"/>
    <x v="3"/>
    <n v="0"/>
    <n v="29"/>
    <n v="28.42"/>
    <n v="0"/>
    <n v="0.02"/>
    <n v="0.57999999999999829"/>
    <n v="0.01"/>
    <n v="0.28419999999999845"/>
    <n v="0"/>
    <n v="28.135800000000003"/>
    <x v="0"/>
    <s v=""/>
  </r>
  <r>
    <n v="292"/>
    <d v="2026-05-06T00:00:00"/>
    <d v="2026-05-09T00:00:00"/>
    <x v="3"/>
    <s v="STU-683"/>
    <s v="New Customer"/>
    <x v="0"/>
    <x v="5"/>
    <x v="1"/>
    <x v="1"/>
    <n v="29"/>
    <x v="1"/>
    <x v="3"/>
    <n v="0"/>
    <n v="29"/>
    <n v="28.42"/>
    <n v="0"/>
    <n v="0.02"/>
    <n v="0.57999999999999829"/>
    <n v="0.01"/>
    <n v="0.28419999999999845"/>
    <n v="0"/>
    <n v="28.135800000000003"/>
    <x v="2"/>
    <s v=""/>
  </r>
  <r>
    <n v="293"/>
    <d v="2026-04-05T00:00:00"/>
    <d v="2026-04-05T00:00:00"/>
    <x v="5"/>
    <s v="STU-427"/>
    <s v="New Customer"/>
    <x v="1"/>
    <x v="6"/>
    <x v="5"/>
    <x v="2"/>
    <n v="29"/>
    <x v="2"/>
    <x v="2"/>
    <n v="0"/>
    <n v="29"/>
    <n v="27.984999999999999"/>
    <n v="0"/>
    <n v="3.5000000000000003E-2"/>
    <n v="1.0150000000000006"/>
    <n v="0.01"/>
    <n v="0.27984999999999971"/>
    <n v="27.70515"/>
    <n v="0"/>
    <x v="2"/>
    <s v=""/>
  </r>
  <r>
    <n v="294"/>
    <d v="2026-02-09T00:00:00"/>
    <d v="2026-02-13T00:00:00"/>
    <x v="6"/>
    <s v="STU-881"/>
    <s v="Returning Customer"/>
    <x v="1"/>
    <x v="7"/>
    <x v="7"/>
    <x v="3"/>
    <n v="99"/>
    <x v="1"/>
    <x v="1"/>
    <n v="0"/>
    <n v="99"/>
    <n v="99"/>
    <n v="0"/>
    <n v="0"/>
    <n v="0"/>
    <n v="0.01"/>
    <n v="0.98999999999999488"/>
    <n v="0"/>
    <n v="98.01"/>
    <x v="0"/>
    <s v=""/>
  </r>
  <r>
    <n v="295"/>
    <d v="2026-06-21T00:00:00"/>
    <d v="2026-06-23T00:00:00"/>
    <x v="1"/>
    <s v="STU-886"/>
    <s v="Returning Customer"/>
    <x v="1"/>
    <x v="1"/>
    <x v="1"/>
    <x v="1"/>
    <n v="29"/>
    <x v="0"/>
    <x v="3"/>
    <n v="0"/>
    <n v="29"/>
    <n v="28.42"/>
    <n v="28.135800000000003"/>
    <n v="0.02"/>
    <n v="0.57999999999999829"/>
    <n v="0.01"/>
    <n v="0.28419999999999845"/>
    <n v="0"/>
    <n v="0"/>
    <x v="1"/>
    <s v=""/>
  </r>
  <r>
    <n v="296"/>
    <d v="2026-04-12T00:00:00"/>
    <d v="2026-04-17T00:00:00"/>
    <x v="5"/>
    <s v="STU-323"/>
    <s v="New Customer"/>
    <x v="2"/>
    <x v="4"/>
    <x v="6"/>
    <x v="2"/>
    <n v="29"/>
    <x v="0"/>
    <x v="3"/>
    <n v="0"/>
    <n v="29"/>
    <n v="28.42"/>
    <n v="28.135800000000003"/>
    <n v="0.02"/>
    <n v="0.57999999999999829"/>
    <n v="0.01"/>
    <n v="0.28419999999999845"/>
    <n v="0"/>
    <n v="0"/>
    <x v="1"/>
    <n v="10"/>
  </r>
  <r>
    <n v="297"/>
    <d v="2026-01-11T00:00:00"/>
    <d v="2026-01-13T00:00:00"/>
    <x v="4"/>
    <s v="STU-787"/>
    <s v="New Customer"/>
    <x v="2"/>
    <x v="0"/>
    <x v="4"/>
    <x v="2"/>
    <n v="59"/>
    <x v="1"/>
    <x v="1"/>
    <n v="0"/>
    <n v="59"/>
    <n v="59"/>
    <n v="0"/>
    <n v="0"/>
    <n v="0"/>
    <n v="0.01"/>
    <n v="0.59000000000000341"/>
    <n v="0"/>
    <n v="58.41"/>
    <x v="2"/>
    <n v="10"/>
  </r>
  <r>
    <n v="298"/>
    <d v="2026-02-07T00:00:00"/>
    <d v="2026-02-08T00:00:00"/>
    <x v="6"/>
    <s v="STU-595"/>
    <s v="New Customer"/>
    <x v="2"/>
    <x v="7"/>
    <x v="7"/>
    <x v="3"/>
    <n v="99"/>
    <x v="1"/>
    <x v="3"/>
    <n v="0"/>
    <n v="99"/>
    <n v="97.02"/>
    <n v="0"/>
    <n v="0.02"/>
    <n v="1.980000000000004"/>
    <n v="0.01"/>
    <n v="0.9702000000000055"/>
    <n v="0"/>
    <n v="96.049799999999991"/>
    <x v="0"/>
    <s v=""/>
  </r>
  <r>
    <n v="299"/>
    <d v="2026-02-07T00:00:00"/>
    <d v="2026-02-08T00:00:00"/>
    <x v="6"/>
    <s v="STU-693"/>
    <s v="New Customer"/>
    <x v="1"/>
    <x v="0"/>
    <x v="3"/>
    <x v="3"/>
    <n v="59"/>
    <x v="1"/>
    <x v="3"/>
    <n v="0"/>
    <n v="59"/>
    <n v="57.82"/>
    <n v="0"/>
    <n v="0.02"/>
    <n v="1.1799999999999997"/>
    <n v="0.01"/>
    <n v="0.57820000000000249"/>
    <n v="0"/>
    <n v="57.241799999999998"/>
    <x v="1"/>
    <s v=""/>
  </r>
  <r>
    <n v="300"/>
    <d v="2026-06-29T00:00:00"/>
    <d v="2026-07-02T00:00:00"/>
    <x v="2"/>
    <s v="STU-308"/>
    <s v="New Customer"/>
    <x v="1"/>
    <x v="6"/>
    <x v="3"/>
    <x v="3"/>
    <n v="59"/>
    <x v="0"/>
    <x v="2"/>
    <n v="0"/>
    <n v="59"/>
    <n v="56.935000000000002"/>
    <n v="56.365650000000002"/>
    <n v="3.5000000000000003E-2"/>
    <n v="2.0649999999999977"/>
    <n v="0.01"/>
    <n v="0.56935000000000002"/>
    <n v="0"/>
    <n v="0"/>
    <x v="2"/>
    <s v=""/>
  </r>
  <r>
    <n v="301"/>
    <d v="2026-05-26T00:00:00"/>
    <d v="2026-05-30T00:00:00"/>
    <x v="3"/>
    <s v="STU-498"/>
    <s v="Returning Customer"/>
    <x v="2"/>
    <x v="3"/>
    <x v="0"/>
    <x v="0"/>
    <n v="59"/>
    <x v="1"/>
    <x v="2"/>
    <n v="0"/>
    <n v="59"/>
    <n v="56.935000000000002"/>
    <n v="0"/>
    <n v="3.5000000000000003E-2"/>
    <n v="2.0649999999999977"/>
    <n v="0.01"/>
    <n v="0.56935000000000002"/>
    <n v="0"/>
    <n v="56.365650000000002"/>
    <x v="1"/>
    <s v=""/>
  </r>
  <r>
    <n v="302"/>
    <d v="2026-02-23T00:00:00"/>
    <d v="2026-02-26T00:00:00"/>
    <x v="6"/>
    <s v="STU-256"/>
    <s v="New Customer"/>
    <x v="2"/>
    <x v="7"/>
    <x v="7"/>
    <x v="3"/>
    <n v="99"/>
    <x v="1"/>
    <x v="4"/>
    <n v="0"/>
    <n v="99"/>
    <n v="95.534999999999997"/>
    <n v="0"/>
    <n v="3.5000000000000003E-2"/>
    <n v="3.4650000000000034"/>
    <n v="0.01"/>
    <n v="0.9553499999999957"/>
    <n v="0"/>
    <n v="94.579650000000001"/>
    <x v="1"/>
    <s v=""/>
  </r>
  <r>
    <n v="303"/>
    <d v="2026-05-18T00:00:00"/>
    <d v="2026-05-21T00:00:00"/>
    <x v="3"/>
    <s v="STU-869"/>
    <s v="New Customer"/>
    <x v="1"/>
    <x v="2"/>
    <x v="2"/>
    <x v="2"/>
    <n v="29"/>
    <x v="1"/>
    <x v="3"/>
    <n v="0"/>
    <n v="29"/>
    <n v="28.42"/>
    <n v="0"/>
    <n v="0.02"/>
    <n v="0.57999999999999829"/>
    <n v="0.01"/>
    <n v="0.28419999999999845"/>
    <n v="0"/>
    <n v="28.135800000000003"/>
    <x v="1"/>
    <n v="10"/>
  </r>
  <r>
    <n v="304"/>
    <d v="2026-07-22T00:00:00"/>
    <d v="2026-07-25T00:00:00"/>
    <x v="2"/>
    <s v="STU-559"/>
    <s v="New Customer"/>
    <x v="2"/>
    <x v="0"/>
    <x v="6"/>
    <x v="2"/>
    <n v="29"/>
    <x v="0"/>
    <x v="2"/>
    <n v="0"/>
    <n v="29"/>
    <n v="27.984999999999999"/>
    <n v="27.70515"/>
    <n v="3.5000000000000003E-2"/>
    <n v="1.0150000000000006"/>
    <n v="0.01"/>
    <n v="0.27984999999999971"/>
    <n v="0"/>
    <n v="0"/>
    <x v="1"/>
    <n v="10"/>
  </r>
  <r>
    <n v="305"/>
    <d v="2026-07-20T00:00:00"/>
    <d v="2026-07-20T00:00:00"/>
    <x v="2"/>
    <s v="STU-428"/>
    <s v="New Customer"/>
    <x v="1"/>
    <x v="6"/>
    <x v="1"/>
    <x v="1"/>
    <n v="29"/>
    <x v="1"/>
    <x v="3"/>
    <n v="0"/>
    <n v="29"/>
    <n v="28.42"/>
    <n v="0"/>
    <n v="0.02"/>
    <n v="0.57999999999999829"/>
    <n v="0.01"/>
    <n v="0.28419999999999845"/>
    <n v="0"/>
    <n v="28.135800000000003"/>
    <x v="2"/>
    <s v=""/>
  </r>
  <r>
    <n v="306"/>
    <d v="2026-07-30T00:00:00"/>
    <d v="2026-07-20T00:00:00"/>
    <x v="2"/>
    <s v="STU-372"/>
    <s v="New Customer"/>
    <x v="0"/>
    <x v="1"/>
    <x v="0"/>
    <x v="0"/>
    <n v="59"/>
    <x v="1"/>
    <x v="2"/>
    <n v="0"/>
    <n v="59"/>
    <n v="56.935000000000002"/>
    <n v="0"/>
    <n v="3.5000000000000003E-2"/>
    <n v="2.0649999999999977"/>
    <n v="0.01"/>
    <n v="0.56935000000000002"/>
    <n v="0"/>
    <n v="56.365650000000002"/>
    <x v="0"/>
    <s v=""/>
  </r>
  <r>
    <n v="307"/>
    <d v="2026-06-10T00:00:00"/>
    <d v="2026-06-15T00:00:00"/>
    <x v="1"/>
    <s v="STU-61"/>
    <s v="New Customer"/>
    <x v="0"/>
    <x v="4"/>
    <x v="7"/>
    <x v="3"/>
    <n v="99"/>
    <x v="2"/>
    <x v="2"/>
    <n v="0"/>
    <n v="99"/>
    <n v="95.534999999999997"/>
    <n v="0"/>
    <n v="3.5000000000000003E-2"/>
    <n v="3.4650000000000034"/>
    <n v="0.01"/>
    <n v="0.9553499999999957"/>
    <n v="94.579650000000001"/>
    <n v="0"/>
    <x v="0"/>
    <s v=""/>
  </r>
  <r>
    <n v="308"/>
    <d v="2026-06-24T00:00:00"/>
    <d v="2026-06-29T00:00:00"/>
    <x v="1"/>
    <s v="STU-744"/>
    <s v="New Customer"/>
    <x v="2"/>
    <x v="2"/>
    <x v="5"/>
    <x v="2"/>
    <n v="29"/>
    <x v="1"/>
    <x v="3"/>
    <n v="0"/>
    <n v="29"/>
    <n v="28.42"/>
    <n v="0"/>
    <n v="0.02"/>
    <n v="0.57999999999999829"/>
    <n v="0.01"/>
    <n v="0.28419999999999845"/>
    <n v="0"/>
    <n v="28.135800000000003"/>
    <x v="1"/>
    <s v=""/>
  </r>
  <r>
    <n v="309"/>
    <d v="2026-01-04T00:00:00"/>
    <d v="2026-01-05T00:00:00"/>
    <x v="4"/>
    <s v="STU-765"/>
    <s v="New Customer"/>
    <x v="0"/>
    <x v="3"/>
    <x v="4"/>
    <x v="2"/>
    <n v="59"/>
    <x v="1"/>
    <x v="4"/>
    <n v="0"/>
    <n v="59"/>
    <n v="56.935000000000002"/>
    <n v="0"/>
    <n v="3.5000000000000003E-2"/>
    <n v="2.0649999999999977"/>
    <n v="0.01"/>
    <n v="0.56935000000000002"/>
    <n v="0"/>
    <n v="56.365650000000002"/>
    <x v="2"/>
    <s v=""/>
  </r>
  <r>
    <n v="310"/>
    <d v="2026-05-03T00:00:00"/>
    <d v="2026-05-07T00:00:00"/>
    <x v="3"/>
    <s v="STU-407"/>
    <s v="Returning Customer"/>
    <x v="0"/>
    <x v="2"/>
    <x v="4"/>
    <x v="2"/>
    <n v="59"/>
    <x v="1"/>
    <x v="1"/>
    <n v="0"/>
    <n v="59"/>
    <n v="59"/>
    <n v="0"/>
    <n v="0"/>
    <n v="0"/>
    <n v="0.01"/>
    <n v="0.59000000000000341"/>
    <n v="0"/>
    <n v="58.41"/>
    <x v="1"/>
    <n v="10"/>
  </r>
  <r>
    <n v="311"/>
    <d v="2026-04-02T00:00:00"/>
    <d v="2026-04-02T00:00:00"/>
    <x v="5"/>
    <s v="STU-174"/>
    <s v="New Customer"/>
    <x v="1"/>
    <x v="6"/>
    <x v="7"/>
    <x v="3"/>
    <n v="99"/>
    <x v="1"/>
    <x v="4"/>
    <n v="0"/>
    <n v="99"/>
    <n v="95.534999999999997"/>
    <n v="0"/>
    <n v="3.5000000000000003E-2"/>
    <n v="3.4650000000000034"/>
    <n v="0.01"/>
    <n v="0.9553499999999957"/>
    <n v="0"/>
    <n v="94.579650000000001"/>
    <x v="1"/>
    <s v=""/>
  </r>
  <r>
    <n v="312"/>
    <d v="2026-01-06T00:00:00"/>
    <d v="2026-01-11T00:00:00"/>
    <x v="4"/>
    <s v="STU-40"/>
    <s v="New Customer"/>
    <x v="0"/>
    <x v="0"/>
    <x v="1"/>
    <x v="1"/>
    <n v="29"/>
    <x v="1"/>
    <x v="3"/>
    <n v="0"/>
    <n v="29"/>
    <n v="28.42"/>
    <n v="0"/>
    <n v="0.02"/>
    <n v="0.57999999999999829"/>
    <n v="0.01"/>
    <n v="0.28419999999999845"/>
    <n v="0"/>
    <n v="28.135800000000003"/>
    <x v="2"/>
    <s v=""/>
  </r>
  <r>
    <n v="313"/>
    <d v="2026-01-29T00:00:00"/>
    <d v="2026-02-03T00:00:00"/>
    <x v="6"/>
    <s v="STU-648"/>
    <s v="New Customer"/>
    <x v="0"/>
    <x v="5"/>
    <x v="1"/>
    <x v="1"/>
    <n v="29"/>
    <x v="0"/>
    <x v="0"/>
    <n v="0"/>
    <n v="29"/>
    <n v="28.42"/>
    <n v="28.135800000000003"/>
    <n v="0.02"/>
    <n v="0.57999999999999829"/>
    <n v="0.01"/>
    <n v="0.28419999999999845"/>
    <n v="0"/>
    <n v="0"/>
    <x v="0"/>
    <n v="10"/>
  </r>
  <r>
    <n v="314"/>
    <d v="2026-04-16T00:00:00"/>
    <d v="2026-04-18T00:00:00"/>
    <x v="5"/>
    <s v="STU-690"/>
    <s v="New Customer"/>
    <x v="2"/>
    <x v="0"/>
    <x v="3"/>
    <x v="3"/>
    <n v="59"/>
    <x v="1"/>
    <x v="2"/>
    <n v="0"/>
    <n v="59"/>
    <n v="56.935000000000002"/>
    <n v="0"/>
    <n v="3.5000000000000003E-2"/>
    <n v="2.0649999999999977"/>
    <n v="0.01"/>
    <n v="0.56935000000000002"/>
    <n v="0"/>
    <n v="56.365650000000002"/>
    <x v="1"/>
    <s v=""/>
  </r>
  <r>
    <n v="315"/>
    <d v="2026-03-20T00:00:00"/>
    <d v="2026-03-25T00:00:00"/>
    <x v="0"/>
    <s v="STU-816"/>
    <s v="Returning Customer"/>
    <x v="1"/>
    <x v="0"/>
    <x v="7"/>
    <x v="3"/>
    <n v="99"/>
    <x v="1"/>
    <x v="0"/>
    <n v="0"/>
    <n v="99"/>
    <n v="97.02"/>
    <n v="0"/>
    <n v="0.02"/>
    <n v="1.980000000000004"/>
    <n v="0.01"/>
    <n v="0.9702000000000055"/>
    <n v="0"/>
    <n v="96.049799999999991"/>
    <x v="2"/>
    <s v=""/>
  </r>
  <r>
    <n v="316"/>
    <d v="2026-04-10T00:00:00"/>
    <d v="2026-04-10T00:00:00"/>
    <x v="5"/>
    <s v="STU-846"/>
    <s v="New Customer"/>
    <x v="2"/>
    <x v="5"/>
    <x v="1"/>
    <x v="1"/>
    <n v="29"/>
    <x v="0"/>
    <x v="4"/>
    <n v="0"/>
    <n v="29"/>
    <n v="27.984999999999999"/>
    <n v="27.70515"/>
    <n v="3.5000000000000003E-2"/>
    <n v="1.0150000000000006"/>
    <n v="0.01"/>
    <n v="0.27984999999999971"/>
    <n v="0"/>
    <n v="0"/>
    <x v="1"/>
    <n v="10"/>
  </r>
  <r>
    <n v="317"/>
    <d v="2026-06-24T00:00:00"/>
    <d v="2026-06-28T00:00:00"/>
    <x v="1"/>
    <s v="STU-441"/>
    <s v="New Customer"/>
    <x v="0"/>
    <x v="6"/>
    <x v="0"/>
    <x v="0"/>
    <n v="59"/>
    <x v="1"/>
    <x v="0"/>
    <n v="0"/>
    <n v="59"/>
    <n v="57.82"/>
    <n v="0"/>
    <n v="0.02"/>
    <n v="1.1799999999999997"/>
    <n v="0.01"/>
    <n v="0.57820000000000249"/>
    <n v="0"/>
    <n v="57.241799999999998"/>
    <x v="2"/>
    <s v=""/>
  </r>
  <r>
    <n v="318"/>
    <d v="2026-02-03T00:00:00"/>
    <d v="2026-02-05T00:00:00"/>
    <x v="6"/>
    <s v="STU-709"/>
    <s v="New Customer"/>
    <x v="1"/>
    <x v="7"/>
    <x v="7"/>
    <x v="3"/>
    <n v="99"/>
    <x v="0"/>
    <x v="3"/>
    <n v="0"/>
    <n v="99"/>
    <n v="97.02"/>
    <n v="96.049799999999991"/>
    <n v="0.02"/>
    <n v="1.980000000000004"/>
    <n v="0.01"/>
    <n v="0.9702000000000055"/>
    <n v="0"/>
    <n v="0"/>
    <x v="0"/>
    <s v=""/>
  </r>
  <r>
    <n v="319"/>
    <d v="2026-01-25T00:00:00"/>
    <d v="2026-01-28T00:00:00"/>
    <x v="4"/>
    <s v="STU-734"/>
    <s v="New Customer"/>
    <x v="1"/>
    <x v="2"/>
    <x v="6"/>
    <x v="2"/>
    <n v="29"/>
    <x v="2"/>
    <x v="3"/>
    <n v="0"/>
    <n v="29"/>
    <n v="28.42"/>
    <n v="0"/>
    <n v="0.02"/>
    <n v="0.57999999999999829"/>
    <n v="0.01"/>
    <n v="0.28419999999999845"/>
    <n v="28.135800000000003"/>
    <n v="0"/>
    <x v="1"/>
    <s v=""/>
  </r>
  <r>
    <n v="320"/>
    <d v="2026-01-29T00:00:00"/>
    <d v="2026-01-30T00:00:00"/>
    <x v="4"/>
    <s v="STU-234"/>
    <s v="Returning Customer"/>
    <x v="2"/>
    <x v="4"/>
    <x v="3"/>
    <x v="3"/>
    <n v="59"/>
    <x v="0"/>
    <x v="4"/>
    <n v="0"/>
    <n v="59"/>
    <n v="56.935000000000002"/>
    <n v="56.365650000000002"/>
    <n v="3.5000000000000003E-2"/>
    <n v="2.0649999999999977"/>
    <n v="0.01"/>
    <n v="0.56935000000000002"/>
    <n v="0"/>
    <n v="0"/>
    <x v="2"/>
    <s v=""/>
  </r>
  <r>
    <n v="321"/>
    <d v="2026-01-21T00:00:00"/>
    <d v="2026-01-21T00:00:00"/>
    <x v="4"/>
    <s v="STU-126"/>
    <s v="Returning Customer"/>
    <x v="2"/>
    <x v="5"/>
    <x v="7"/>
    <x v="3"/>
    <n v="99"/>
    <x v="1"/>
    <x v="2"/>
    <n v="0"/>
    <n v="99"/>
    <n v="95.534999999999997"/>
    <n v="0"/>
    <n v="3.5000000000000003E-2"/>
    <n v="3.4650000000000034"/>
    <n v="0.01"/>
    <n v="0.9553499999999957"/>
    <n v="0"/>
    <n v="94.579650000000001"/>
    <x v="1"/>
    <s v=""/>
  </r>
  <r>
    <n v="322"/>
    <d v="2026-03-15T00:00:00"/>
    <d v="2026-03-17T00:00:00"/>
    <x v="0"/>
    <s v="STU-79"/>
    <s v="New Customer"/>
    <x v="1"/>
    <x v="5"/>
    <x v="3"/>
    <x v="3"/>
    <n v="59"/>
    <x v="0"/>
    <x v="1"/>
    <n v="0"/>
    <n v="59"/>
    <n v="59"/>
    <n v="58.41"/>
    <n v="0"/>
    <n v="0"/>
    <n v="0.01"/>
    <n v="0.59000000000000341"/>
    <n v="0"/>
    <n v="0"/>
    <x v="1"/>
    <s v=""/>
  </r>
  <r>
    <n v="323"/>
    <d v="2026-05-23T00:00:00"/>
    <d v="2026-05-28T00:00:00"/>
    <x v="3"/>
    <s v="STU-285"/>
    <s v="New Customer"/>
    <x v="0"/>
    <x v="6"/>
    <x v="5"/>
    <x v="2"/>
    <n v="29"/>
    <x v="1"/>
    <x v="4"/>
    <n v="0"/>
    <n v="29"/>
    <n v="27.984999999999999"/>
    <n v="0"/>
    <n v="3.5000000000000003E-2"/>
    <n v="1.0150000000000006"/>
    <n v="0.01"/>
    <n v="0.27984999999999971"/>
    <n v="0"/>
    <n v="27.70515"/>
    <x v="1"/>
    <s v=""/>
  </r>
  <r>
    <n v="324"/>
    <d v="2026-05-01T00:00:00"/>
    <d v="2026-05-06T00:00:00"/>
    <x v="3"/>
    <s v="STU-223"/>
    <s v="Returning Customer"/>
    <x v="1"/>
    <x v="0"/>
    <x v="5"/>
    <x v="2"/>
    <n v="29"/>
    <x v="1"/>
    <x v="1"/>
    <n v="0"/>
    <n v="29"/>
    <n v="29"/>
    <n v="0"/>
    <n v="0"/>
    <n v="0"/>
    <n v="0.01"/>
    <n v="0.28999999999999915"/>
    <n v="0"/>
    <n v="28.71"/>
    <x v="2"/>
    <n v="10"/>
  </r>
  <r>
    <n v="325"/>
    <d v="2026-04-28T00:00:00"/>
    <d v="2026-05-01T00:00:00"/>
    <x v="3"/>
    <s v="STU-69"/>
    <s v="New Customer"/>
    <x v="2"/>
    <x v="4"/>
    <x v="1"/>
    <x v="1"/>
    <n v="29"/>
    <x v="1"/>
    <x v="2"/>
    <n v="0"/>
    <n v="29"/>
    <n v="27.984999999999999"/>
    <n v="0"/>
    <n v="3.5000000000000003E-2"/>
    <n v="1.0150000000000006"/>
    <n v="0.01"/>
    <n v="0.27984999999999971"/>
    <n v="0"/>
    <n v="27.70515"/>
    <x v="1"/>
    <s v=""/>
  </r>
  <r>
    <n v="326"/>
    <d v="2026-02-17T00:00:00"/>
    <d v="2026-02-22T00:00:00"/>
    <x v="6"/>
    <s v="STU-492"/>
    <s v="New Customer"/>
    <x v="1"/>
    <x v="1"/>
    <x v="5"/>
    <x v="2"/>
    <n v="29"/>
    <x v="0"/>
    <x v="1"/>
    <n v="0"/>
    <n v="29"/>
    <n v="29"/>
    <n v="28.71"/>
    <n v="0"/>
    <n v="0"/>
    <n v="0.01"/>
    <n v="0.28999999999999915"/>
    <n v="0"/>
    <n v="0"/>
    <x v="1"/>
    <n v="10"/>
  </r>
  <r>
    <n v="327"/>
    <d v="2026-03-20T00:00:00"/>
    <d v="2026-03-25T00:00:00"/>
    <x v="0"/>
    <s v="STU-759"/>
    <s v="New Customer"/>
    <x v="2"/>
    <x v="7"/>
    <x v="2"/>
    <x v="2"/>
    <n v="29"/>
    <x v="1"/>
    <x v="4"/>
    <n v="0"/>
    <n v="29"/>
    <n v="27.984999999999999"/>
    <n v="0"/>
    <n v="3.5000000000000003E-2"/>
    <n v="1.0150000000000006"/>
    <n v="0.01"/>
    <n v="0.27984999999999971"/>
    <n v="0"/>
    <n v="27.70515"/>
    <x v="1"/>
    <s v=""/>
  </r>
  <r>
    <n v="328"/>
    <d v="2026-07-14T00:00:00"/>
    <d v="2026-07-18T00:00:00"/>
    <x v="2"/>
    <s v="STU-428"/>
    <s v="Returning Customer"/>
    <x v="2"/>
    <x v="7"/>
    <x v="1"/>
    <x v="1"/>
    <n v="29"/>
    <x v="1"/>
    <x v="3"/>
    <n v="0"/>
    <n v="29"/>
    <n v="28.42"/>
    <n v="0"/>
    <n v="0.02"/>
    <n v="0.57999999999999829"/>
    <n v="0.01"/>
    <n v="0.28419999999999845"/>
    <n v="0"/>
    <n v="28.135800000000003"/>
    <x v="1"/>
    <n v="10"/>
  </r>
  <r>
    <n v="329"/>
    <d v="2026-04-20T00:00:00"/>
    <d v="2026-04-23T00:00:00"/>
    <x v="5"/>
    <s v="STU-132"/>
    <s v="New Customer"/>
    <x v="0"/>
    <x v="0"/>
    <x v="7"/>
    <x v="3"/>
    <n v="99"/>
    <x v="0"/>
    <x v="4"/>
    <n v="0"/>
    <n v="99"/>
    <n v="95.534999999999997"/>
    <n v="94.579650000000001"/>
    <n v="3.5000000000000003E-2"/>
    <n v="3.4650000000000034"/>
    <n v="0.01"/>
    <n v="0.9553499999999957"/>
    <n v="0"/>
    <n v="0"/>
    <x v="1"/>
    <n v="10"/>
  </r>
  <r>
    <n v="330"/>
    <d v="2026-06-27T00:00:00"/>
    <d v="2026-06-27T00:00:00"/>
    <x v="1"/>
    <s v="STU-863"/>
    <s v="Returning Customer"/>
    <x v="1"/>
    <x v="4"/>
    <x v="6"/>
    <x v="2"/>
    <n v="29"/>
    <x v="1"/>
    <x v="4"/>
    <n v="0"/>
    <n v="29"/>
    <n v="27.984999999999999"/>
    <n v="0"/>
    <n v="3.5000000000000003E-2"/>
    <n v="1.0150000000000006"/>
    <n v="0.01"/>
    <n v="0.27984999999999971"/>
    <n v="0"/>
    <n v="27.70515"/>
    <x v="1"/>
    <n v="10"/>
  </r>
  <r>
    <n v="331"/>
    <d v="2026-06-25T00:00:00"/>
    <d v="2026-06-29T00:00:00"/>
    <x v="1"/>
    <s v="STU-357"/>
    <s v="New Customer"/>
    <x v="0"/>
    <x v="7"/>
    <x v="4"/>
    <x v="2"/>
    <n v="59"/>
    <x v="1"/>
    <x v="4"/>
    <n v="0"/>
    <n v="59"/>
    <n v="56.935000000000002"/>
    <n v="0"/>
    <n v="3.5000000000000003E-2"/>
    <n v="2.0649999999999977"/>
    <n v="0.01"/>
    <n v="0.56935000000000002"/>
    <n v="0"/>
    <n v="56.365650000000002"/>
    <x v="0"/>
    <s v=""/>
  </r>
  <r>
    <n v="332"/>
    <d v="2026-04-01T00:00:00"/>
    <d v="2026-04-01T00:00:00"/>
    <x v="5"/>
    <s v="STU-250"/>
    <s v="New Customer"/>
    <x v="0"/>
    <x v="2"/>
    <x v="1"/>
    <x v="1"/>
    <n v="29"/>
    <x v="1"/>
    <x v="2"/>
    <n v="0"/>
    <n v="29"/>
    <n v="27.984999999999999"/>
    <n v="0"/>
    <n v="3.5000000000000003E-2"/>
    <n v="1.0150000000000006"/>
    <n v="0.01"/>
    <n v="0.27984999999999971"/>
    <n v="0"/>
    <n v="27.70515"/>
    <x v="2"/>
    <s v=""/>
  </r>
  <r>
    <n v="333"/>
    <d v="2026-06-06T00:00:00"/>
    <d v="2026-06-10T00:00:00"/>
    <x v="1"/>
    <s v="STU-432"/>
    <s v="Returning Customer"/>
    <x v="1"/>
    <x v="0"/>
    <x v="6"/>
    <x v="2"/>
    <n v="29"/>
    <x v="0"/>
    <x v="3"/>
    <n v="0"/>
    <n v="29"/>
    <n v="28.42"/>
    <n v="28.135800000000003"/>
    <n v="0.02"/>
    <n v="0.57999999999999829"/>
    <n v="0.01"/>
    <n v="0.28419999999999845"/>
    <n v="0"/>
    <n v="0"/>
    <x v="2"/>
    <s v=""/>
  </r>
  <r>
    <n v="334"/>
    <d v="2026-01-12T00:00:00"/>
    <d v="2026-01-12T00:00:00"/>
    <x v="4"/>
    <s v="STU-903"/>
    <s v="New Customer"/>
    <x v="0"/>
    <x v="6"/>
    <x v="3"/>
    <x v="3"/>
    <n v="59"/>
    <x v="0"/>
    <x v="3"/>
    <n v="0"/>
    <n v="59"/>
    <n v="57.82"/>
    <n v="57.241799999999998"/>
    <n v="0.02"/>
    <n v="1.1799999999999997"/>
    <n v="0.01"/>
    <n v="0.57820000000000249"/>
    <n v="0"/>
    <n v="0"/>
    <x v="1"/>
    <s v=""/>
  </r>
  <r>
    <n v="335"/>
    <d v="2026-03-03T00:00:00"/>
    <d v="2026-03-08T00:00:00"/>
    <x v="0"/>
    <s v="STU-398"/>
    <s v="New Customer"/>
    <x v="2"/>
    <x v="0"/>
    <x v="0"/>
    <x v="0"/>
    <n v="59"/>
    <x v="1"/>
    <x v="3"/>
    <n v="20"/>
    <n v="-1121"/>
    <n v="-1098.58"/>
    <n v="0"/>
    <n v="0.02"/>
    <n v="-22.420000000000073"/>
    <n v="0.01"/>
    <n v="-10.985799999999927"/>
    <n v="0"/>
    <n v="-1087.5942"/>
    <x v="0"/>
    <s v=""/>
  </r>
  <r>
    <n v="336"/>
    <d v="2026-02-04T00:00:00"/>
    <d v="2026-02-08T00:00:00"/>
    <x v="6"/>
    <s v="STU-800"/>
    <s v="New Customer"/>
    <x v="0"/>
    <x v="5"/>
    <x v="3"/>
    <x v="3"/>
    <n v="59"/>
    <x v="2"/>
    <x v="4"/>
    <n v="0"/>
    <n v="59"/>
    <n v="56.935000000000002"/>
    <n v="0"/>
    <n v="3.5000000000000003E-2"/>
    <n v="2.0649999999999977"/>
    <n v="0.01"/>
    <n v="0.56935000000000002"/>
    <n v="56.365650000000002"/>
    <n v="0"/>
    <x v="2"/>
    <n v="10"/>
  </r>
  <r>
    <n v="337"/>
    <d v="2026-06-27T00:00:00"/>
    <d v="2026-06-28T00:00:00"/>
    <x v="1"/>
    <s v="STU-924"/>
    <s v="New Customer"/>
    <x v="1"/>
    <x v="5"/>
    <x v="5"/>
    <x v="2"/>
    <n v="29"/>
    <x v="1"/>
    <x v="4"/>
    <n v="0"/>
    <n v="29"/>
    <n v="27.984999999999999"/>
    <n v="0"/>
    <n v="3.5000000000000003E-2"/>
    <n v="1.0150000000000006"/>
    <n v="0.01"/>
    <n v="0.27984999999999971"/>
    <n v="0"/>
    <n v="27.70515"/>
    <x v="2"/>
    <s v=""/>
  </r>
  <r>
    <n v="338"/>
    <d v="2026-03-09T00:00:00"/>
    <d v="2026-03-14T00:00:00"/>
    <x v="0"/>
    <s v="STU-257"/>
    <s v="New Customer"/>
    <x v="2"/>
    <x v="7"/>
    <x v="4"/>
    <x v="2"/>
    <n v="59"/>
    <x v="1"/>
    <x v="2"/>
    <n v="0"/>
    <n v="59"/>
    <n v="56.935000000000002"/>
    <n v="0"/>
    <n v="3.5000000000000003E-2"/>
    <n v="2.0649999999999977"/>
    <n v="0.01"/>
    <n v="0.56935000000000002"/>
    <n v="0"/>
    <n v="56.365650000000002"/>
    <x v="2"/>
    <s v=""/>
  </r>
  <r>
    <n v="339"/>
    <d v="2026-07-02T00:00:00"/>
    <d v="2026-07-04T00:00:00"/>
    <x v="2"/>
    <s v="STU-871"/>
    <s v="New Customer"/>
    <x v="0"/>
    <x v="5"/>
    <x v="2"/>
    <x v="2"/>
    <n v="29"/>
    <x v="2"/>
    <x v="0"/>
    <n v="0"/>
    <n v="29"/>
    <n v="28.42"/>
    <n v="0"/>
    <n v="0.02"/>
    <n v="0.57999999999999829"/>
    <n v="0.01"/>
    <n v="0.28419999999999845"/>
    <n v="28.135800000000003"/>
    <n v="0"/>
    <x v="0"/>
    <s v=""/>
  </r>
  <r>
    <n v="340"/>
    <d v="2026-06-18T00:00:00"/>
    <d v="2026-06-21T00:00:00"/>
    <x v="1"/>
    <s v="STU-501"/>
    <s v="Returning Customer"/>
    <x v="1"/>
    <x v="6"/>
    <x v="4"/>
    <x v="2"/>
    <n v="59"/>
    <x v="0"/>
    <x v="4"/>
    <n v="0"/>
    <n v="59"/>
    <n v="56.935000000000002"/>
    <n v="56.365650000000002"/>
    <n v="3.5000000000000003E-2"/>
    <n v="2.0649999999999977"/>
    <n v="0.01"/>
    <n v="0.56935000000000002"/>
    <n v="0"/>
    <n v="0"/>
    <x v="0"/>
    <s v=""/>
  </r>
  <r>
    <n v="341"/>
    <d v="2026-07-02T00:00:00"/>
    <d v="2026-07-07T00:00:00"/>
    <x v="2"/>
    <s v="STU-284"/>
    <s v="New Customer"/>
    <x v="0"/>
    <x v="4"/>
    <x v="3"/>
    <x v="3"/>
    <n v="59"/>
    <x v="1"/>
    <x v="1"/>
    <n v="0"/>
    <n v="59"/>
    <n v="59"/>
    <n v="0"/>
    <n v="0"/>
    <n v="0"/>
    <n v="0.01"/>
    <n v="0.59000000000000341"/>
    <n v="0"/>
    <n v="58.41"/>
    <x v="2"/>
    <s v=""/>
  </r>
  <r>
    <n v="342"/>
    <d v="2026-02-19T00:00:00"/>
    <d v="2026-02-22T00:00:00"/>
    <x v="6"/>
    <s v="STU-170"/>
    <s v="New Customer"/>
    <x v="0"/>
    <x v="2"/>
    <x v="3"/>
    <x v="3"/>
    <n v="59"/>
    <x v="1"/>
    <x v="4"/>
    <n v="0"/>
    <n v="59"/>
    <n v="56.935000000000002"/>
    <n v="0"/>
    <n v="3.5000000000000003E-2"/>
    <n v="2.0649999999999977"/>
    <n v="0.01"/>
    <n v="0.56935000000000002"/>
    <n v="0"/>
    <n v="56.365650000000002"/>
    <x v="1"/>
    <s v=""/>
  </r>
  <r>
    <n v="343"/>
    <d v="2026-03-25T00:00:00"/>
    <d v="2026-03-29T00:00:00"/>
    <x v="0"/>
    <s v="STU-976"/>
    <s v="New Customer"/>
    <x v="2"/>
    <x v="3"/>
    <x v="3"/>
    <x v="3"/>
    <n v="59"/>
    <x v="1"/>
    <x v="1"/>
    <n v="0"/>
    <n v="59"/>
    <n v="59"/>
    <n v="0"/>
    <n v="0"/>
    <n v="0"/>
    <n v="0.01"/>
    <n v="0.59000000000000341"/>
    <n v="0"/>
    <n v="58.41"/>
    <x v="0"/>
    <n v="10"/>
  </r>
  <r>
    <n v="344"/>
    <d v="2026-06-06T00:00:00"/>
    <d v="2026-06-08T00:00:00"/>
    <x v="1"/>
    <s v="STU-684"/>
    <s v="Returning Customer"/>
    <x v="1"/>
    <x v="6"/>
    <x v="3"/>
    <x v="3"/>
    <n v="59"/>
    <x v="2"/>
    <x v="2"/>
    <n v="0"/>
    <n v="59"/>
    <n v="56.935000000000002"/>
    <n v="0"/>
    <n v="3.5000000000000003E-2"/>
    <n v="2.0649999999999977"/>
    <n v="0.01"/>
    <n v="0.56935000000000002"/>
    <n v="56.365650000000002"/>
    <n v="0"/>
    <x v="0"/>
    <s v=""/>
  </r>
  <r>
    <n v="345"/>
    <d v="2026-01-18T00:00:00"/>
    <d v="2026-01-22T00:00:00"/>
    <x v="4"/>
    <s v="STU-869"/>
    <s v="Returning Customer"/>
    <x v="1"/>
    <x v="5"/>
    <x v="6"/>
    <x v="2"/>
    <n v="29"/>
    <x v="0"/>
    <x v="0"/>
    <n v="0"/>
    <n v="29"/>
    <n v="28.42"/>
    <n v="28.135800000000003"/>
    <n v="0.02"/>
    <n v="0.57999999999999829"/>
    <n v="0.01"/>
    <n v="0.28419999999999845"/>
    <n v="0"/>
    <n v="0"/>
    <x v="0"/>
    <s v=""/>
  </r>
  <r>
    <n v="346"/>
    <d v="2026-01-24T00:00:00"/>
    <d v="2026-01-24T00:00:00"/>
    <x v="4"/>
    <s v="STU-966"/>
    <s v="New Customer"/>
    <x v="0"/>
    <x v="1"/>
    <x v="4"/>
    <x v="2"/>
    <n v="59"/>
    <x v="1"/>
    <x v="1"/>
    <n v="0"/>
    <n v="59"/>
    <n v="59"/>
    <n v="0"/>
    <n v="0"/>
    <n v="0"/>
    <n v="0.01"/>
    <n v="0.59000000000000341"/>
    <n v="0"/>
    <n v="58.41"/>
    <x v="2"/>
    <s v=""/>
  </r>
  <r>
    <n v="347"/>
    <d v="2026-05-19T00:00:00"/>
    <d v="2026-05-19T00:00:00"/>
    <x v="3"/>
    <s v="STU-585"/>
    <s v="New Customer"/>
    <x v="2"/>
    <x v="0"/>
    <x v="3"/>
    <x v="3"/>
    <n v="59"/>
    <x v="1"/>
    <x v="4"/>
    <n v="0"/>
    <n v="59"/>
    <n v="56.935000000000002"/>
    <n v="0"/>
    <n v="3.5000000000000003E-2"/>
    <n v="2.0649999999999977"/>
    <n v="0.01"/>
    <n v="0.56935000000000002"/>
    <n v="0"/>
    <n v="56.365650000000002"/>
    <x v="0"/>
    <s v=""/>
  </r>
  <r>
    <n v="348"/>
    <d v="2026-05-20T00:00:00"/>
    <d v="2026-05-24T00:00:00"/>
    <x v="3"/>
    <s v="STU-825"/>
    <s v="New Customer"/>
    <x v="1"/>
    <x v="7"/>
    <x v="0"/>
    <x v="0"/>
    <n v="59"/>
    <x v="1"/>
    <x v="4"/>
    <n v="0"/>
    <n v="59"/>
    <n v="56.935000000000002"/>
    <n v="0"/>
    <n v="3.5000000000000003E-2"/>
    <n v="2.0649999999999977"/>
    <n v="0.01"/>
    <n v="0.56935000000000002"/>
    <n v="0"/>
    <n v="56.365650000000002"/>
    <x v="0"/>
    <s v=""/>
  </r>
  <r>
    <n v="349"/>
    <d v="2026-01-30T00:00:00"/>
    <d v="2026-01-30T00:00:00"/>
    <x v="4"/>
    <s v="STU-705"/>
    <s v="Returning Customer"/>
    <x v="2"/>
    <x v="7"/>
    <x v="7"/>
    <x v="3"/>
    <n v="99"/>
    <x v="1"/>
    <x v="0"/>
    <n v="0"/>
    <n v="99"/>
    <n v="97.02"/>
    <n v="0"/>
    <n v="0.02"/>
    <n v="1.980000000000004"/>
    <n v="0.01"/>
    <n v="0.9702000000000055"/>
    <n v="0"/>
    <n v="96.049799999999991"/>
    <x v="1"/>
    <n v="10"/>
  </r>
  <r>
    <n v="350"/>
    <d v="2026-05-09T00:00:00"/>
    <d v="2026-05-14T00:00:00"/>
    <x v="3"/>
    <s v="STU-818"/>
    <s v="New Customer"/>
    <x v="0"/>
    <x v="7"/>
    <x v="6"/>
    <x v="2"/>
    <n v="29"/>
    <x v="0"/>
    <x v="1"/>
    <n v="0"/>
    <n v="29"/>
    <n v="29"/>
    <n v="28.71"/>
    <n v="0"/>
    <n v="0"/>
    <n v="0.01"/>
    <n v="0.28999999999999915"/>
    <n v="0"/>
    <n v="0"/>
    <x v="0"/>
    <s v=""/>
  </r>
  <r>
    <n v="351"/>
    <d v="2026-06-02T00:00:00"/>
    <d v="2026-06-05T00:00:00"/>
    <x v="1"/>
    <s v="STU-136"/>
    <s v="Returning Customer"/>
    <x v="0"/>
    <x v="4"/>
    <x v="4"/>
    <x v="2"/>
    <n v="59"/>
    <x v="0"/>
    <x v="3"/>
    <n v="0"/>
    <n v="59"/>
    <n v="57.82"/>
    <n v="57.241799999999998"/>
    <n v="0.02"/>
    <n v="1.1799999999999997"/>
    <n v="0.01"/>
    <n v="0.57820000000000249"/>
    <n v="0"/>
    <n v="0"/>
    <x v="2"/>
    <n v="10"/>
  </r>
  <r>
    <n v="352"/>
    <d v="2026-07-04T00:00:00"/>
    <d v="2026-07-07T00:00:00"/>
    <x v="2"/>
    <s v="STU-432"/>
    <s v="Returning Customer"/>
    <x v="0"/>
    <x v="0"/>
    <x v="3"/>
    <x v="3"/>
    <n v="59"/>
    <x v="0"/>
    <x v="3"/>
    <n v="0"/>
    <n v="59"/>
    <n v="57.82"/>
    <n v="57.241799999999998"/>
    <n v="0.02"/>
    <n v="1.1799999999999997"/>
    <n v="0.01"/>
    <n v="0.57820000000000249"/>
    <n v="0"/>
    <n v="0"/>
    <x v="2"/>
    <n v="10"/>
  </r>
  <r>
    <n v="353"/>
    <d v="2026-04-14T00:00:00"/>
    <d v="2026-04-19T00:00:00"/>
    <x v="5"/>
    <s v="STU-982"/>
    <s v="New Customer"/>
    <x v="0"/>
    <x v="5"/>
    <x v="4"/>
    <x v="2"/>
    <n v="59"/>
    <x v="1"/>
    <x v="1"/>
    <n v="0"/>
    <n v="59"/>
    <n v="59"/>
    <n v="0"/>
    <n v="0"/>
    <n v="0"/>
    <n v="0.01"/>
    <n v="0.59000000000000341"/>
    <n v="0"/>
    <n v="58.41"/>
    <x v="2"/>
    <s v=""/>
  </r>
  <r>
    <n v="354"/>
    <d v="2026-03-14T00:00:00"/>
    <d v="2026-03-15T00:00:00"/>
    <x v="0"/>
    <s v="STU-714"/>
    <s v="New Customer"/>
    <x v="2"/>
    <x v="0"/>
    <x v="2"/>
    <x v="2"/>
    <n v="29"/>
    <x v="1"/>
    <x v="1"/>
    <n v="0"/>
    <n v="29"/>
    <n v="29"/>
    <n v="0"/>
    <n v="0"/>
    <n v="0"/>
    <n v="0.01"/>
    <n v="0.28999999999999915"/>
    <n v="0"/>
    <n v="28.71"/>
    <x v="0"/>
    <s v=""/>
  </r>
  <r>
    <n v="355"/>
    <d v="2026-05-31T00:00:00"/>
    <d v="2026-06-04T00:00:00"/>
    <x v="1"/>
    <s v="STU-772"/>
    <s v="Returning Customer"/>
    <x v="2"/>
    <x v="0"/>
    <x v="7"/>
    <x v="3"/>
    <n v="99"/>
    <x v="1"/>
    <x v="2"/>
    <n v="0"/>
    <n v="99"/>
    <n v="95.534999999999997"/>
    <n v="0"/>
    <n v="3.5000000000000003E-2"/>
    <n v="3.4650000000000034"/>
    <n v="0.01"/>
    <n v="0.9553499999999957"/>
    <n v="0"/>
    <n v="94.579650000000001"/>
    <x v="0"/>
    <n v="10"/>
  </r>
  <r>
    <n v="356"/>
    <d v="2026-04-21T00:00:00"/>
    <d v="2026-04-25T00:00:00"/>
    <x v="5"/>
    <s v="STU-805"/>
    <s v="New Customer"/>
    <x v="0"/>
    <x v="6"/>
    <x v="7"/>
    <x v="3"/>
    <n v="99"/>
    <x v="1"/>
    <x v="3"/>
    <n v="0"/>
    <n v="99"/>
    <n v="97.02"/>
    <n v="0"/>
    <n v="0.02"/>
    <n v="1.980000000000004"/>
    <n v="0.01"/>
    <n v="0.9702000000000055"/>
    <n v="0"/>
    <n v="96.049799999999991"/>
    <x v="2"/>
    <s v=""/>
  </r>
  <r>
    <n v="357"/>
    <d v="2026-04-10T00:00:00"/>
    <d v="2026-04-10T00:00:00"/>
    <x v="5"/>
    <s v="STU-865"/>
    <s v="New Customer"/>
    <x v="2"/>
    <x v="0"/>
    <x v="4"/>
    <x v="2"/>
    <n v="59"/>
    <x v="1"/>
    <x v="2"/>
    <n v="0"/>
    <n v="59"/>
    <n v="56.935000000000002"/>
    <n v="0"/>
    <n v="3.5000000000000003E-2"/>
    <n v="2.0649999999999977"/>
    <n v="0.01"/>
    <n v="0.56935000000000002"/>
    <n v="0"/>
    <n v="56.365650000000002"/>
    <x v="0"/>
    <s v=""/>
  </r>
  <r>
    <n v="358"/>
    <d v="2026-03-27T00:00:00"/>
    <d v="2026-03-28T00:00:00"/>
    <x v="0"/>
    <s v="STU-983"/>
    <s v="Returning Customer"/>
    <x v="2"/>
    <x v="7"/>
    <x v="0"/>
    <x v="0"/>
    <n v="59"/>
    <x v="1"/>
    <x v="0"/>
    <n v="0"/>
    <n v="59"/>
    <n v="57.82"/>
    <n v="0"/>
    <n v="0.02"/>
    <n v="1.1799999999999997"/>
    <n v="0.01"/>
    <n v="0.57820000000000249"/>
    <n v="0"/>
    <n v="57.241799999999998"/>
    <x v="2"/>
    <s v=""/>
  </r>
  <r>
    <n v="359"/>
    <d v="2026-03-13T00:00:00"/>
    <d v="2026-03-15T00:00:00"/>
    <x v="0"/>
    <s v="STU-528"/>
    <s v="New Customer"/>
    <x v="0"/>
    <x v="0"/>
    <x v="0"/>
    <x v="0"/>
    <n v="59"/>
    <x v="1"/>
    <x v="0"/>
    <n v="0"/>
    <n v="59"/>
    <n v="57.82"/>
    <n v="0"/>
    <n v="0.02"/>
    <n v="1.1799999999999997"/>
    <n v="0.01"/>
    <n v="0.57820000000000249"/>
    <n v="0"/>
    <n v="57.241799999999998"/>
    <x v="1"/>
    <s v=""/>
  </r>
  <r>
    <n v="360"/>
    <d v="2026-01-05T00:00:00"/>
    <d v="2026-01-08T00:00:00"/>
    <x v="4"/>
    <s v="STU-144"/>
    <s v="New Customer"/>
    <x v="1"/>
    <x v="3"/>
    <x v="1"/>
    <x v="1"/>
    <n v="29"/>
    <x v="1"/>
    <x v="3"/>
    <n v="0"/>
    <n v="29"/>
    <n v="28.42"/>
    <n v="0"/>
    <n v="0.02"/>
    <n v="0.57999999999999829"/>
    <n v="0.01"/>
    <n v="0.28419999999999845"/>
    <n v="0"/>
    <n v="28.135800000000003"/>
    <x v="1"/>
    <s v=""/>
  </r>
  <r>
    <n v="361"/>
    <d v="2026-03-24T00:00:00"/>
    <d v="2026-03-28T00:00:00"/>
    <x v="0"/>
    <s v="STU-120"/>
    <s v="New Customer"/>
    <x v="1"/>
    <x v="6"/>
    <x v="6"/>
    <x v="2"/>
    <n v="29"/>
    <x v="1"/>
    <x v="0"/>
    <n v="0"/>
    <n v="29"/>
    <n v="28.42"/>
    <n v="0"/>
    <n v="0.02"/>
    <n v="0.57999999999999829"/>
    <n v="0.01"/>
    <n v="0.28419999999999845"/>
    <n v="0"/>
    <n v="28.135800000000003"/>
    <x v="1"/>
    <n v="10"/>
  </r>
  <r>
    <n v="362"/>
    <d v="2026-03-14T00:00:00"/>
    <d v="2026-03-14T00:00:00"/>
    <x v="0"/>
    <s v="STU-392"/>
    <s v="New Customer"/>
    <x v="1"/>
    <x v="6"/>
    <x v="6"/>
    <x v="2"/>
    <n v="29"/>
    <x v="1"/>
    <x v="0"/>
    <n v="0"/>
    <n v="29"/>
    <n v="28.42"/>
    <n v="0"/>
    <n v="0.02"/>
    <n v="0.57999999999999829"/>
    <n v="0.01"/>
    <n v="0.28419999999999845"/>
    <n v="0"/>
    <n v="28.135800000000003"/>
    <x v="0"/>
    <n v="10"/>
  </r>
  <r>
    <n v="363"/>
    <d v="2026-01-01T00:00:00"/>
    <d v="2026-01-06T00:00:00"/>
    <x v="4"/>
    <s v="STU-848"/>
    <s v="Returning Customer"/>
    <x v="0"/>
    <x v="2"/>
    <x v="2"/>
    <x v="2"/>
    <n v="29"/>
    <x v="2"/>
    <x v="4"/>
    <n v="20"/>
    <n v="-551"/>
    <n v="-531.71500000000003"/>
    <n v="0"/>
    <n v="3.5000000000000003E-2"/>
    <n v="-19.284999999999968"/>
    <n v="0.01"/>
    <n v="-5.3171499999999696"/>
    <n v="-526.39785000000006"/>
    <n v="0"/>
    <x v="2"/>
    <s v=""/>
  </r>
  <r>
    <n v="364"/>
    <d v="2026-06-12T00:00:00"/>
    <d v="2026-06-14T00:00:00"/>
    <x v="1"/>
    <s v="STU-566"/>
    <s v="New Customer"/>
    <x v="2"/>
    <x v="2"/>
    <x v="1"/>
    <x v="1"/>
    <n v="29"/>
    <x v="2"/>
    <x v="1"/>
    <n v="0"/>
    <n v="29"/>
    <n v="29"/>
    <n v="0"/>
    <n v="0"/>
    <n v="0"/>
    <n v="0.01"/>
    <n v="0.28999999999999915"/>
    <n v="28.71"/>
    <n v="0"/>
    <x v="1"/>
    <s v=""/>
  </r>
  <r>
    <n v="365"/>
    <d v="2026-01-27T00:00:00"/>
    <d v="2026-02-01T00:00:00"/>
    <x v="6"/>
    <s v="STU-923"/>
    <s v="New Customer"/>
    <x v="0"/>
    <x v="3"/>
    <x v="7"/>
    <x v="3"/>
    <n v="99"/>
    <x v="1"/>
    <x v="0"/>
    <n v="0"/>
    <n v="99"/>
    <n v="97.02"/>
    <n v="0"/>
    <n v="0.02"/>
    <n v="1.980000000000004"/>
    <n v="0.01"/>
    <n v="0.9702000000000055"/>
    <n v="0"/>
    <n v="96.049799999999991"/>
    <x v="1"/>
    <n v="10"/>
  </r>
  <r>
    <n v="366"/>
    <d v="2026-03-08T00:00:00"/>
    <d v="2026-03-11T00:00:00"/>
    <x v="0"/>
    <s v="STU-868"/>
    <s v="New Customer"/>
    <x v="1"/>
    <x v="1"/>
    <x v="0"/>
    <x v="0"/>
    <n v="59"/>
    <x v="1"/>
    <x v="1"/>
    <n v="0"/>
    <n v="59"/>
    <n v="59"/>
    <n v="0"/>
    <n v="0"/>
    <n v="0"/>
    <n v="0.01"/>
    <n v="0.59000000000000341"/>
    <n v="0"/>
    <n v="58.41"/>
    <x v="0"/>
    <s v=""/>
  </r>
  <r>
    <n v="367"/>
    <d v="2026-04-02T00:00:00"/>
    <d v="2026-04-04T00:00:00"/>
    <x v="5"/>
    <s v="STU-316"/>
    <s v="New Customer"/>
    <x v="1"/>
    <x v="7"/>
    <x v="6"/>
    <x v="2"/>
    <n v="29"/>
    <x v="1"/>
    <x v="2"/>
    <n v="0"/>
    <n v="29"/>
    <n v="27.984999999999999"/>
    <n v="0"/>
    <n v="3.5000000000000003E-2"/>
    <n v="1.0150000000000006"/>
    <n v="0.01"/>
    <n v="0.27984999999999971"/>
    <n v="0"/>
    <n v="27.70515"/>
    <x v="2"/>
    <s v=""/>
  </r>
  <r>
    <n v="368"/>
    <d v="2026-05-03T00:00:00"/>
    <d v="2026-05-04T00:00:00"/>
    <x v="3"/>
    <s v="STU-919"/>
    <s v="New Customer"/>
    <x v="2"/>
    <x v="0"/>
    <x v="2"/>
    <x v="2"/>
    <n v="29"/>
    <x v="1"/>
    <x v="4"/>
    <n v="0"/>
    <n v="29"/>
    <n v="27.984999999999999"/>
    <n v="0"/>
    <n v="3.5000000000000003E-2"/>
    <n v="1.0150000000000006"/>
    <n v="0.01"/>
    <n v="0.27984999999999971"/>
    <n v="0"/>
    <n v="27.70515"/>
    <x v="0"/>
    <s v=""/>
  </r>
  <r>
    <n v="369"/>
    <d v="2026-02-07T00:00:00"/>
    <d v="2026-02-11T00:00:00"/>
    <x v="6"/>
    <s v="STU-456"/>
    <s v="Returning Customer"/>
    <x v="2"/>
    <x v="0"/>
    <x v="6"/>
    <x v="2"/>
    <n v="29"/>
    <x v="2"/>
    <x v="4"/>
    <n v="0"/>
    <n v="29"/>
    <n v="27.984999999999999"/>
    <n v="0"/>
    <n v="3.5000000000000003E-2"/>
    <n v="1.0150000000000006"/>
    <n v="0.01"/>
    <n v="0.27984999999999971"/>
    <n v="27.70515"/>
    <n v="0"/>
    <x v="0"/>
    <s v=""/>
  </r>
  <r>
    <n v="370"/>
    <d v="2026-07-27T00:00:00"/>
    <d v="2026-07-30T00:00:00"/>
    <x v="2"/>
    <s v="STU-241"/>
    <s v="New Customer"/>
    <x v="0"/>
    <x v="6"/>
    <x v="6"/>
    <x v="2"/>
    <n v="29"/>
    <x v="2"/>
    <x v="3"/>
    <n v="0"/>
    <n v="29"/>
    <n v="28.42"/>
    <n v="0"/>
    <n v="0.02"/>
    <n v="0.57999999999999829"/>
    <n v="0.01"/>
    <n v="0.28419999999999845"/>
    <n v="28.135800000000003"/>
    <n v="0"/>
    <x v="2"/>
    <s v=""/>
  </r>
  <r>
    <n v="371"/>
    <d v="2026-03-12T00:00:00"/>
    <d v="2026-03-17T00:00:00"/>
    <x v="0"/>
    <s v="STU-357"/>
    <s v="Returning Customer"/>
    <x v="0"/>
    <x v="1"/>
    <x v="0"/>
    <x v="0"/>
    <n v="59"/>
    <x v="0"/>
    <x v="2"/>
    <n v="0"/>
    <n v="59"/>
    <n v="56.935000000000002"/>
    <n v="56.365650000000002"/>
    <n v="3.5000000000000003E-2"/>
    <n v="2.0649999999999977"/>
    <n v="0.01"/>
    <n v="0.56935000000000002"/>
    <n v="0"/>
    <n v="0"/>
    <x v="1"/>
    <s v=""/>
  </r>
  <r>
    <n v="372"/>
    <d v="2026-07-06T00:00:00"/>
    <d v="2026-07-08T00:00:00"/>
    <x v="2"/>
    <s v="STU-143"/>
    <s v="New Customer"/>
    <x v="0"/>
    <x v="1"/>
    <x v="6"/>
    <x v="2"/>
    <n v="29"/>
    <x v="1"/>
    <x v="0"/>
    <n v="0"/>
    <n v="29"/>
    <n v="28.42"/>
    <n v="0"/>
    <n v="0.02"/>
    <n v="0.57999999999999829"/>
    <n v="0.01"/>
    <n v="0.28419999999999845"/>
    <n v="0"/>
    <n v="28.135800000000003"/>
    <x v="2"/>
    <s v=""/>
  </r>
  <r>
    <n v="373"/>
    <d v="2026-07-22T00:00:00"/>
    <d v="2026-07-26T00:00:00"/>
    <x v="2"/>
    <s v="STU-445"/>
    <s v="New Customer"/>
    <x v="1"/>
    <x v="2"/>
    <x v="2"/>
    <x v="2"/>
    <n v="29"/>
    <x v="2"/>
    <x v="4"/>
    <n v="0"/>
    <n v="29"/>
    <n v="27.984999999999999"/>
    <n v="0"/>
    <n v="3.5000000000000003E-2"/>
    <n v="1.0150000000000006"/>
    <n v="0.01"/>
    <n v="0.27984999999999971"/>
    <n v="27.70515"/>
    <n v="0"/>
    <x v="0"/>
    <n v="10"/>
  </r>
  <r>
    <n v="374"/>
    <d v="2026-04-20T00:00:00"/>
    <d v="2026-04-23T00:00:00"/>
    <x v="5"/>
    <s v="STU-719"/>
    <s v="New Customer"/>
    <x v="1"/>
    <x v="5"/>
    <x v="5"/>
    <x v="2"/>
    <n v="29"/>
    <x v="1"/>
    <x v="2"/>
    <n v="0"/>
    <n v="29"/>
    <n v="27.984999999999999"/>
    <n v="0"/>
    <n v="3.5000000000000003E-2"/>
    <n v="1.0150000000000006"/>
    <n v="0.01"/>
    <n v="0.27984999999999971"/>
    <n v="0"/>
    <n v="27.70515"/>
    <x v="2"/>
    <s v=""/>
  </r>
  <r>
    <n v="375"/>
    <d v="2026-05-26T00:00:00"/>
    <d v="2026-05-31T00:00:00"/>
    <x v="3"/>
    <s v="STU-608"/>
    <s v="New Customer"/>
    <x v="0"/>
    <x v="1"/>
    <x v="6"/>
    <x v="2"/>
    <n v="29"/>
    <x v="1"/>
    <x v="0"/>
    <n v="0"/>
    <n v="29"/>
    <n v="28.42"/>
    <n v="0"/>
    <n v="0.02"/>
    <n v="0.57999999999999829"/>
    <n v="0.01"/>
    <n v="0.28419999999999845"/>
    <n v="0"/>
    <n v="28.135800000000003"/>
    <x v="2"/>
    <n v="10"/>
  </r>
  <r>
    <n v="376"/>
    <d v="2026-05-14T00:00:00"/>
    <d v="2026-05-17T00:00:00"/>
    <x v="3"/>
    <s v="STU-836"/>
    <s v="New Customer"/>
    <x v="0"/>
    <x v="4"/>
    <x v="0"/>
    <x v="0"/>
    <n v="59"/>
    <x v="1"/>
    <x v="2"/>
    <n v="0"/>
    <n v="59"/>
    <n v="56.935000000000002"/>
    <n v="0"/>
    <n v="3.5000000000000003E-2"/>
    <n v="2.0649999999999977"/>
    <n v="0.01"/>
    <n v="0.56935000000000002"/>
    <n v="0"/>
    <n v="56.365650000000002"/>
    <x v="0"/>
    <s v=""/>
  </r>
  <r>
    <n v="377"/>
    <d v="2026-07-29T00:00:00"/>
    <d v="2026-07-30T00:00:00"/>
    <x v="2"/>
    <s v="STU-870"/>
    <s v="New Customer"/>
    <x v="0"/>
    <x v="6"/>
    <x v="5"/>
    <x v="2"/>
    <n v="29"/>
    <x v="0"/>
    <x v="2"/>
    <n v="0"/>
    <n v="29"/>
    <n v="27.984999999999999"/>
    <n v="27.70515"/>
    <n v="3.5000000000000003E-2"/>
    <n v="1.0150000000000006"/>
    <n v="0.01"/>
    <n v="0.27984999999999971"/>
    <n v="0"/>
    <n v="0"/>
    <x v="2"/>
    <s v=""/>
  </r>
  <r>
    <n v="378"/>
    <d v="2026-03-04T00:00:00"/>
    <d v="2026-03-09T00:00:00"/>
    <x v="0"/>
    <s v="STU-594"/>
    <s v="New Customer"/>
    <x v="0"/>
    <x v="4"/>
    <x v="4"/>
    <x v="2"/>
    <n v="59"/>
    <x v="1"/>
    <x v="0"/>
    <n v="0"/>
    <n v="59"/>
    <n v="57.82"/>
    <n v="0"/>
    <n v="0.02"/>
    <n v="1.1799999999999997"/>
    <n v="0.01"/>
    <n v="0.57820000000000249"/>
    <n v="0"/>
    <n v="57.241799999999998"/>
    <x v="2"/>
    <s v=""/>
  </r>
  <r>
    <n v="379"/>
    <d v="2026-02-18T00:00:00"/>
    <d v="2026-02-22T00:00:00"/>
    <x v="6"/>
    <s v="STU-919"/>
    <s v="Returning Customer"/>
    <x v="0"/>
    <x v="5"/>
    <x v="0"/>
    <x v="0"/>
    <n v="59"/>
    <x v="1"/>
    <x v="2"/>
    <n v="0"/>
    <n v="59"/>
    <n v="56.935000000000002"/>
    <n v="0"/>
    <n v="3.5000000000000003E-2"/>
    <n v="2.0649999999999977"/>
    <n v="0.01"/>
    <n v="0.56935000000000002"/>
    <n v="0"/>
    <n v="56.365650000000002"/>
    <x v="2"/>
    <s v=""/>
  </r>
  <r>
    <n v="380"/>
    <d v="2026-02-26T00:00:00"/>
    <d v="2026-02-26T00:00:00"/>
    <x v="6"/>
    <s v="STU-966"/>
    <s v="Returning Customer"/>
    <x v="0"/>
    <x v="1"/>
    <x v="0"/>
    <x v="0"/>
    <n v="59"/>
    <x v="1"/>
    <x v="3"/>
    <n v="0"/>
    <n v="59"/>
    <n v="57.82"/>
    <n v="0"/>
    <n v="0.02"/>
    <n v="1.1799999999999997"/>
    <n v="0.01"/>
    <n v="0.57820000000000249"/>
    <n v="0"/>
    <n v="57.241799999999998"/>
    <x v="1"/>
    <n v="10"/>
  </r>
  <r>
    <n v="381"/>
    <d v="2026-06-10T00:00:00"/>
    <d v="2026-06-11T00:00:00"/>
    <x v="1"/>
    <s v="STU-971"/>
    <s v="New Customer"/>
    <x v="2"/>
    <x v="2"/>
    <x v="3"/>
    <x v="3"/>
    <n v="59"/>
    <x v="1"/>
    <x v="0"/>
    <n v="0"/>
    <n v="59"/>
    <n v="57.82"/>
    <n v="0"/>
    <n v="0.02"/>
    <n v="1.1799999999999997"/>
    <n v="0.01"/>
    <n v="0.57820000000000249"/>
    <n v="0"/>
    <n v="57.241799999999998"/>
    <x v="2"/>
    <s v=""/>
  </r>
  <r>
    <n v="382"/>
    <d v="2026-05-16T00:00:00"/>
    <d v="2026-05-19T00:00:00"/>
    <x v="3"/>
    <s v="STU-331"/>
    <s v="Returning Customer"/>
    <x v="2"/>
    <x v="2"/>
    <x v="2"/>
    <x v="2"/>
    <n v="29"/>
    <x v="2"/>
    <x v="4"/>
    <n v="0"/>
    <n v="29"/>
    <n v="27.984999999999999"/>
    <n v="0"/>
    <n v="3.5000000000000003E-2"/>
    <n v="1.0150000000000006"/>
    <n v="0.01"/>
    <n v="0.27984999999999971"/>
    <n v="27.70515"/>
    <n v="0"/>
    <x v="2"/>
    <s v=""/>
  </r>
  <r>
    <n v="383"/>
    <d v="2026-04-25T00:00:00"/>
    <d v="2026-04-27T00:00:00"/>
    <x v="5"/>
    <s v="STU-135"/>
    <s v="New Customer"/>
    <x v="0"/>
    <x v="4"/>
    <x v="2"/>
    <x v="2"/>
    <n v="29"/>
    <x v="2"/>
    <x v="1"/>
    <n v="0"/>
    <n v="29"/>
    <n v="29"/>
    <n v="0"/>
    <n v="0"/>
    <n v="0"/>
    <n v="0.01"/>
    <n v="0.28999999999999915"/>
    <n v="28.71"/>
    <n v="0"/>
    <x v="1"/>
    <s v=""/>
  </r>
  <r>
    <n v="384"/>
    <d v="2026-05-03T00:00:00"/>
    <d v="2026-05-03T00:00:00"/>
    <x v="3"/>
    <s v="STU-65"/>
    <s v="New Customer"/>
    <x v="0"/>
    <x v="3"/>
    <x v="5"/>
    <x v="2"/>
    <n v="29"/>
    <x v="1"/>
    <x v="4"/>
    <n v="0"/>
    <n v="29"/>
    <n v="27.984999999999999"/>
    <n v="0"/>
    <n v="3.5000000000000003E-2"/>
    <n v="1.0150000000000006"/>
    <n v="0.01"/>
    <n v="0.27984999999999971"/>
    <n v="0"/>
    <n v="27.70515"/>
    <x v="0"/>
    <n v="10"/>
  </r>
  <r>
    <n v="385"/>
    <d v="2026-01-03T00:00:00"/>
    <d v="2026-01-05T00:00:00"/>
    <x v="4"/>
    <s v="STU-268"/>
    <s v="Returning Customer"/>
    <x v="0"/>
    <x v="6"/>
    <x v="1"/>
    <x v="1"/>
    <n v="29"/>
    <x v="0"/>
    <x v="2"/>
    <n v="0"/>
    <n v="29"/>
    <n v="27.984999999999999"/>
    <n v="27.70515"/>
    <n v="3.5000000000000003E-2"/>
    <n v="1.0150000000000006"/>
    <n v="0.01"/>
    <n v="0.27984999999999971"/>
    <n v="0"/>
    <n v="0"/>
    <x v="2"/>
    <s v=""/>
  </r>
  <r>
    <n v="386"/>
    <d v="2026-03-11T00:00:00"/>
    <d v="2026-03-12T00:00:00"/>
    <x v="0"/>
    <s v="STU-520"/>
    <s v="New Customer"/>
    <x v="1"/>
    <x v="5"/>
    <x v="5"/>
    <x v="2"/>
    <n v="29"/>
    <x v="1"/>
    <x v="3"/>
    <n v="0"/>
    <n v="29"/>
    <n v="28.42"/>
    <n v="0"/>
    <n v="0.02"/>
    <n v="0.57999999999999829"/>
    <n v="0.01"/>
    <n v="0.28419999999999845"/>
    <n v="0"/>
    <n v="28.135800000000003"/>
    <x v="2"/>
    <s v=""/>
  </r>
  <r>
    <n v="387"/>
    <d v="2026-07-27T00:00:00"/>
    <d v="2026-07-28T00:00:00"/>
    <x v="2"/>
    <s v="STU-636"/>
    <s v="New Customer"/>
    <x v="0"/>
    <x v="6"/>
    <x v="4"/>
    <x v="2"/>
    <n v="59"/>
    <x v="0"/>
    <x v="3"/>
    <n v="0"/>
    <n v="59"/>
    <n v="57.82"/>
    <n v="57.241799999999998"/>
    <n v="0.02"/>
    <n v="1.1799999999999997"/>
    <n v="0.01"/>
    <n v="0.57820000000000249"/>
    <n v="0"/>
    <n v="0"/>
    <x v="1"/>
    <s v=""/>
  </r>
  <r>
    <n v="388"/>
    <d v="2026-01-27T00:00:00"/>
    <d v="2026-02-01T00:00:00"/>
    <x v="6"/>
    <s v="STU-8"/>
    <s v="New Customer"/>
    <x v="1"/>
    <x v="7"/>
    <x v="0"/>
    <x v="0"/>
    <n v="59"/>
    <x v="1"/>
    <x v="4"/>
    <n v="0"/>
    <n v="59"/>
    <n v="56.935000000000002"/>
    <n v="0"/>
    <n v="3.5000000000000003E-2"/>
    <n v="2.0649999999999977"/>
    <n v="0.01"/>
    <n v="0.56935000000000002"/>
    <n v="0"/>
    <n v="56.365650000000002"/>
    <x v="1"/>
    <s v=""/>
  </r>
  <r>
    <n v="389"/>
    <d v="2026-05-06T00:00:00"/>
    <d v="2026-05-09T00:00:00"/>
    <x v="3"/>
    <s v="STU-93"/>
    <s v="New Customer"/>
    <x v="0"/>
    <x v="5"/>
    <x v="7"/>
    <x v="3"/>
    <n v="99"/>
    <x v="0"/>
    <x v="3"/>
    <n v="0"/>
    <n v="99"/>
    <n v="97.02"/>
    <n v="96.049799999999991"/>
    <n v="0.02"/>
    <n v="1.980000000000004"/>
    <n v="0.01"/>
    <n v="0.9702000000000055"/>
    <n v="0"/>
    <n v="0"/>
    <x v="1"/>
    <s v=""/>
  </r>
  <r>
    <n v="390"/>
    <d v="2026-04-29T00:00:00"/>
    <d v="2026-04-29T00:00:00"/>
    <x v="5"/>
    <s v="STU-149"/>
    <s v="New Customer"/>
    <x v="2"/>
    <x v="1"/>
    <x v="6"/>
    <x v="2"/>
    <n v="29"/>
    <x v="1"/>
    <x v="4"/>
    <n v="0"/>
    <n v="29"/>
    <n v="27.984999999999999"/>
    <n v="0"/>
    <n v="3.5000000000000003E-2"/>
    <n v="1.0150000000000006"/>
    <n v="0.01"/>
    <n v="0.27984999999999971"/>
    <n v="0"/>
    <n v="27.70515"/>
    <x v="1"/>
    <s v=""/>
  </r>
  <r>
    <n v="391"/>
    <d v="2026-03-21T00:00:00"/>
    <d v="2026-03-25T00:00:00"/>
    <x v="0"/>
    <s v="STU-972"/>
    <s v="Returning Customer"/>
    <x v="1"/>
    <x v="1"/>
    <x v="5"/>
    <x v="2"/>
    <n v="29"/>
    <x v="0"/>
    <x v="3"/>
    <n v="0"/>
    <n v="29"/>
    <n v="28.42"/>
    <n v="28.135800000000003"/>
    <n v="0.02"/>
    <n v="0.57999999999999829"/>
    <n v="0.01"/>
    <n v="0.28419999999999845"/>
    <n v="0"/>
    <n v="0"/>
    <x v="2"/>
    <s v=""/>
  </r>
  <r>
    <n v="392"/>
    <d v="2026-05-20T00:00:00"/>
    <d v="2026-05-25T00:00:00"/>
    <x v="3"/>
    <s v="STU-909"/>
    <s v="Returning Customer"/>
    <x v="2"/>
    <x v="6"/>
    <x v="3"/>
    <x v="3"/>
    <n v="59"/>
    <x v="0"/>
    <x v="1"/>
    <n v="0"/>
    <n v="59"/>
    <n v="59"/>
    <n v="58.41"/>
    <n v="0"/>
    <n v="0"/>
    <n v="0.01"/>
    <n v="0.59000000000000341"/>
    <n v="0"/>
    <n v="0"/>
    <x v="1"/>
    <n v="10"/>
  </r>
  <r>
    <n v="393"/>
    <d v="2026-01-04T00:00:00"/>
    <d v="2026-01-05T00:00:00"/>
    <x v="4"/>
    <s v="STU-35"/>
    <s v="Returning Customer"/>
    <x v="0"/>
    <x v="3"/>
    <x v="7"/>
    <x v="3"/>
    <n v="99"/>
    <x v="1"/>
    <x v="0"/>
    <n v="0"/>
    <n v="99"/>
    <n v="97.02"/>
    <n v="0"/>
    <n v="0.02"/>
    <n v="1.980000000000004"/>
    <n v="0.01"/>
    <n v="0.9702000000000055"/>
    <n v="0"/>
    <n v="96.049799999999991"/>
    <x v="0"/>
    <n v="10"/>
  </r>
  <r>
    <n v="394"/>
    <d v="2026-02-02T00:00:00"/>
    <d v="2026-02-02T00:00:00"/>
    <x v="6"/>
    <s v="STU-62"/>
    <s v="New Customer"/>
    <x v="1"/>
    <x v="7"/>
    <x v="2"/>
    <x v="2"/>
    <n v="29"/>
    <x v="0"/>
    <x v="4"/>
    <n v="0"/>
    <n v="29"/>
    <n v="27.984999999999999"/>
    <n v="27.70515"/>
    <n v="3.5000000000000003E-2"/>
    <n v="1.0150000000000006"/>
    <n v="0.01"/>
    <n v="0.27984999999999971"/>
    <n v="0"/>
    <n v="0"/>
    <x v="0"/>
    <n v="10"/>
  </r>
  <r>
    <n v="395"/>
    <d v="2026-01-13T00:00:00"/>
    <d v="2026-01-17T00:00:00"/>
    <x v="4"/>
    <s v="STU-738"/>
    <s v="New Customer"/>
    <x v="2"/>
    <x v="0"/>
    <x v="1"/>
    <x v="1"/>
    <n v="29"/>
    <x v="2"/>
    <x v="2"/>
    <n v="0"/>
    <n v="29"/>
    <n v="27.984999999999999"/>
    <n v="0"/>
    <n v="3.5000000000000003E-2"/>
    <n v="1.0150000000000006"/>
    <n v="0.01"/>
    <n v="0.27984999999999971"/>
    <n v="27.70515"/>
    <n v="0"/>
    <x v="0"/>
    <n v="10"/>
  </r>
  <r>
    <n v="396"/>
    <d v="2026-02-25T00:00:00"/>
    <d v="2026-03-01T00:00:00"/>
    <x v="0"/>
    <s v="STU-468"/>
    <s v="Returning Customer"/>
    <x v="0"/>
    <x v="1"/>
    <x v="0"/>
    <x v="0"/>
    <n v="59"/>
    <x v="0"/>
    <x v="1"/>
    <n v="0"/>
    <n v="59"/>
    <n v="59"/>
    <n v="58.41"/>
    <n v="0"/>
    <n v="0"/>
    <n v="0.01"/>
    <n v="0.59000000000000341"/>
    <n v="0"/>
    <n v="0"/>
    <x v="0"/>
    <s v=""/>
  </r>
  <r>
    <n v="397"/>
    <d v="2026-03-09T00:00:00"/>
    <d v="2026-03-11T00:00:00"/>
    <x v="0"/>
    <s v="STU-307"/>
    <s v="New Customer"/>
    <x v="0"/>
    <x v="6"/>
    <x v="3"/>
    <x v="3"/>
    <n v="59"/>
    <x v="2"/>
    <x v="1"/>
    <n v="0"/>
    <n v="59"/>
    <n v="59"/>
    <n v="0"/>
    <n v="0"/>
    <n v="0"/>
    <n v="0.01"/>
    <n v="0.59000000000000341"/>
    <n v="58.41"/>
    <n v="0"/>
    <x v="0"/>
    <n v="10"/>
  </r>
  <r>
    <n v="398"/>
    <d v="2026-07-05T00:00:00"/>
    <d v="2026-07-08T00:00:00"/>
    <x v="2"/>
    <s v="STU-386"/>
    <s v="New Customer"/>
    <x v="1"/>
    <x v="1"/>
    <x v="5"/>
    <x v="2"/>
    <n v="29"/>
    <x v="1"/>
    <x v="0"/>
    <n v="0"/>
    <n v="29"/>
    <n v="28.42"/>
    <n v="0"/>
    <n v="0.02"/>
    <n v="0.57999999999999829"/>
    <n v="0.01"/>
    <n v="0.28419999999999845"/>
    <n v="0"/>
    <n v="28.135800000000003"/>
    <x v="2"/>
    <s v=""/>
  </r>
  <r>
    <n v="399"/>
    <d v="2026-03-01T00:00:00"/>
    <d v="2026-03-06T00:00:00"/>
    <x v="0"/>
    <s v="STU-155"/>
    <s v="New Customer"/>
    <x v="2"/>
    <x v="5"/>
    <x v="1"/>
    <x v="1"/>
    <n v="29"/>
    <x v="0"/>
    <x v="4"/>
    <n v="0"/>
    <n v="29"/>
    <n v="27.984999999999999"/>
    <n v="27.70515"/>
    <n v="3.5000000000000003E-2"/>
    <n v="1.0150000000000006"/>
    <n v="0.01"/>
    <n v="0.27984999999999971"/>
    <n v="0"/>
    <n v="0"/>
    <x v="2"/>
    <n v="10"/>
  </r>
  <r>
    <n v="400"/>
    <d v="2026-07-13T00:00:00"/>
    <d v="2026-07-17T00:00:00"/>
    <x v="2"/>
    <s v="STU-451"/>
    <s v="New Customer"/>
    <x v="2"/>
    <x v="2"/>
    <x v="2"/>
    <x v="2"/>
    <n v="29"/>
    <x v="1"/>
    <x v="1"/>
    <n v="0"/>
    <n v="29"/>
    <n v="29"/>
    <n v="0"/>
    <n v="0"/>
    <n v="0"/>
    <n v="0.01"/>
    <n v="0.28999999999999915"/>
    <n v="0"/>
    <n v="28.71"/>
    <x v="2"/>
    <s v=""/>
  </r>
  <r>
    <n v="401"/>
    <d v="2026-05-28T00:00:00"/>
    <d v="2026-06-01T00:00:00"/>
    <x v="1"/>
    <s v="STU-818"/>
    <s v="Returning Customer"/>
    <x v="0"/>
    <x v="0"/>
    <x v="5"/>
    <x v="2"/>
    <n v="29"/>
    <x v="1"/>
    <x v="1"/>
    <n v="0"/>
    <n v="29"/>
    <n v="29"/>
    <n v="0"/>
    <n v="0"/>
    <n v="0"/>
    <n v="0.01"/>
    <n v="0.28999999999999915"/>
    <n v="0"/>
    <n v="28.71"/>
    <x v="1"/>
    <s v=""/>
  </r>
  <r>
    <n v="402"/>
    <d v="2026-05-28T00:00:00"/>
    <d v="2026-06-02T00:00:00"/>
    <x v="1"/>
    <s v="STU-772"/>
    <s v="Returning Customer"/>
    <x v="2"/>
    <x v="6"/>
    <x v="4"/>
    <x v="2"/>
    <n v="59"/>
    <x v="1"/>
    <x v="3"/>
    <n v="0"/>
    <n v="59"/>
    <n v="57.82"/>
    <n v="0"/>
    <n v="0.02"/>
    <n v="1.1799999999999997"/>
    <n v="0.01"/>
    <n v="0.57820000000000249"/>
    <n v="0"/>
    <n v="57.241799999999998"/>
    <x v="1"/>
    <n v="10"/>
  </r>
  <r>
    <n v="403"/>
    <d v="2026-04-02T00:00:00"/>
    <d v="2026-04-05T00:00:00"/>
    <x v="5"/>
    <s v="STU-452"/>
    <s v="Returning Customer"/>
    <x v="0"/>
    <x v="7"/>
    <x v="0"/>
    <x v="0"/>
    <n v="59"/>
    <x v="1"/>
    <x v="0"/>
    <n v="0"/>
    <n v="59"/>
    <n v="57.82"/>
    <n v="0"/>
    <n v="0.02"/>
    <n v="1.1799999999999997"/>
    <n v="0.01"/>
    <n v="0.57820000000000249"/>
    <n v="0"/>
    <n v="57.241799999999998"/>
    <x v="1"/>
    <n v="10"/>
  </r>
  <r>
    <n v="404"/>
    <d v="2026-05-04T00:00:00"/>
    <d v="2026-05-07T00:00:00"/>
    <x v="3"/>
    <s v="STU-882"/>
    <s v="Returning Customer"/>
    <x v="0"/>
    <x v="3"/>
    <x v="1"/>
    <x v="1"/>
    <n v="29"/>
    <x v="0"/>
    <x v="2"/>
    <n v="0"/>
    <n v="29"/>
    <n v="27.984999999999999"/>
    <n v="27.70515"/>
    <n v="3.5000000000000003E-2"/>
    <n v="1.0150000000000006"/>
    <n v="0.01"/>
    <n v="0.27984999999999971"/>
    <n v="0"/>
    <n v="0"/>
    <x v="1"/>
    <s v=""/>
  </r>
  <r>
    <n v="405"/>
    <d v="2026-05-10T00:00:00"/>
    <d v="2026-05-13T00:00:00"/>
    <x v="3"/>
    <s v="STU-677"/>
    <s v="New Customer"/>
    <x v="1"/>
    <x v="5"/>
    <x v="3"/>
    <x v="3"/>
    <n v="59"/>
    <x v="0"/>
    <x v="1"/>
    <n v="0"/>
    <n v="59"/>
    <n v="59"/>
    <n v="58.41"/>
    <n v="0"/>
    <n v="0"/>
    <n v="0.01"/>
    <n v="0.59000000000000341"/>
    <n v="0"/>
    <n v="0"/>
    <x v="1"/>
    <n v="10"/>
  </r>
  <r>
    <n v="406"/>
    <d v="2026-02-01T00:00:00"/>
    <d v="2026-02-01T00:00:00"/>
    <x v="6"/>
    <s v="STU-772"/>
    <s v="Returning Customer"/>
    <x v="2"/>
    <x v="6"/>
    <x v="0"/>
    <x v="0"/>
    <n v="59"/>
    <x v="1"/>
    <x v="3"/>
    <n v="0"/>
    <n v="59"/>
    <n v="57.82"/>
    <n v="0"/>
    <n v="0.02"/>
    <n v="1.1799999999999997"/>
    <n v="0.01"/>
    <n v="0.57820000000000249"/>
    <n v="0"/>
    <n v="57.241799999999998"/>
    <x v="2"/>
    <n v="10"/>
  </r>
  <r>
    <n v="407"/>
    <d v="2026-05-16T00:00:00"/>
    <d v="2026-05-19T00:00:00"/>
    <x v="3"/>
    <s v="STU-893"/>
    <s v="New Customer"/>
    <x v="2"/>
    <x v="6"/>
    <x v="4"/>
    <x v="2"/>
    <n v="59"/>
    <x v="1"/>
    <x v="3"/>
    <n v="0"/>
    <n v="59"/>
    <n v="57.82"/>
    <n v="0"/>
    <n v="0.02"/>
    <n v="1.1799999999999997"/>
    <n v="0.01"/>
    <n v="0.57820000000000249"/>
    <n v="0"/>
    <n v="57.241799999999998"/>
    <x v="0"/>
    <s v=""/>
  </r>
  <r>
    <n v="408"/>
    <d v="2026-07-03T00:00:00"/>
    <d v="2026-07-05T00:00:00"/>
    <x v="2"/>
    <s v="STU-54"/>
    <s v="Returning Customer"/>
    <x v="0"/>
    <x v="2"/>
    <x v="0"/>
    <x v="0"/>
    <n v="59"/>
    <x v="1"/>
    <x v="3"/>
    <n v="0"/>
    <n v="59"/>
    <n v="57.82"/>
    <n v="0"/>
    <n v="0.02"/>
    <n v="1.1799999999999997"/>
    <n v="0.01"/>
    <n v="0.57820000000000249"/>
    <n v="0"/>
    <n v="57.241799999999998"/>
    <x v="2"/>
    <s v=""/>
  </r>
  <r>
    <n v="409"/>
    <d v="2026-06-30T00:00:00"/>
    <d v="2026-07-05T00:00:00"/>
    <x v="2"/>
    <s v="STU-66"/>
    <s v="New Customer"/>
    <x v="1"/>
    <x v="1"/>
    <x v="5"/>
    <x v="2"/>
    <n v="29"/>
    <x v="0"/>
    <x v="1"/>
    <n v="0"/>
    <n v="29"/>
    <n v="29"/>
    <n v="28.71"/>
    <n v="0"/>
    <n v="0"/>
    <n v="0.01"/>
    <n v="0.28999999999999915"/>
    <n v="0"/>
    <n v="0"/>
    <x v="1"/>
    <s v=""/>
  </r>
  <r>
    <n v="410"/>
    <d v="2026-06-04T00:00:00"/>
    <d v="2026-06-04T00:00:00"/>
    <x v="1"/>
    <s v="STU-453"/>
    <s v="New Customer"/>
    <x v="1"/>
    <x v="5"/>
    <x v="7"/>
    <x v="3"/>
    <n v="99"/>
    <x v="2"/>
    <x v="2"/>
    <n v="0"/>
    <n v="99"/>
    <n v="95.534999999999997"/>
    <n v="0"/>
    <n v="3.5000000000000003E-2"/>
    <n v="3.4650000000000034"/>
    <n v="0.01"/>
    <n v="0.9553499999999957"/>
    <n v="94.579650000000001"/>
    <n v="0"/>
    <x v="1"/>
    <s v=""/>
  </r>
  <r>
    <n v="411"/>
    <d v="2026-01-15T00:00:00"/>
    <d v="2026-01-18T00:00:00"/>
    <x v="4"/>
    <s v="STU-93"/>
    <s v="Returning Customer"/>
    <x v="0"/>
    <x v="1"/>
    <x v="4"/>
    <x v="2"/>
    <n v="59"/>
    <x v="1"/>
    <x v="1"/>
    <n v="0"/>
    <n v="59"/>
    <n v="59"/>
    <n v="0"/>
    <n v="0"/>
    <n v="0"/>
    <n v="0.01"/>
    <n v="0.59000000000000341"/>
    <n v="0"/>
    <n v="58.41"/>
    <x v="2"/>
    <s v=""/>
  </r>
  <r>
    <n v="412"/>
    <d v="2026-04-15T00:00:00"/>
    <d v="2026-04-17T00:00:00"/>
    <x v="5"/>
    <s v="STU-179"/>
    <s v="New Customer"/>
    <x v="2"/>
    <x v="5"/>
    <x v="6"/>
    <x v="2"/>
    <n v="29"/>
    <x v="2"/>
    <x v="0"/>
    <n v="0"/>
    <n v="29"/>
    <n v="28.42"/>
    <n v="0"/>
    <n v="0.02"/>
    <n v="0.57999999999999829"/>
    <n v="0.01"/>
    <n v="0.28419999999999845"/>
    <n v="28.135800000000003"/>
    <n v="0"/>
    <x v="0"/>
    <n v="10"/>
  </r>
  <r>
    <n v="413"/>
    <d v="2026-06-24T00:00:00"/>
    <d v="2026-06-27T00:00:00"/>
    <x v="1"/>
    <s v="STU-579"/>
    <s v="Returning Customer"/>
    <x v="1"/>
    <x v="0"/>
    <x v="4"/>
    <x v="2"/>
    <n v="59"/>
    <x v="1"/>
    <x v="3"/>
    <n v="0"/>
    <n v="59"/>
    <n v="57.82"/>
    <n v="0"/>
    <n v="0.02"/>
    <n v="1.1799999999999997"/>
    <n v="0.01"/>
    <n v="0.57820000000000249"/>
    <n v="0"/>
    <n v="57.241799999999998"/>
    <x v="2"/>
    <n v="10"/>
  </r>
  <r>
    <n v="414"/>
    <d v="2026-06-08T00:00:00"/>
    <d v="2026-06-11T00:00:00"/>
    <x v="1"/>
    <s v="STU-360"/>
    <s v="New Customer"/>
    <x v="1"/>
    <x v="2"/>
    <x v="5"/>
    <x v="2"/>
    <n v="29"/>
    <x v="0"/>
    <x v="4"/>
    <n v="0"/>
    <n v="29"/>
    <n v="27.984999999999999"/>
    <n v="27.70515"/>
    <n v="3.5000000000000003E-2"/>
    <n v="1.0150000000000006"/>
    <n v="0.01"/>
    <n v="0.27984999999999971"/>
    <n v="0"/>
    <n v="0"/>
    <x v="2"/>
    <s v=""/>
  </r>
  <r>
    <n v="415"/>
    <d v="2026-04-06T00:00:00"/>
    <d v="2026-04-06T00:00:00"/>
    <x v="5"/>
    <s v="STU-638"/>
    <s v="New Customer"/>
    <x v="1"/>
    <x v="3"/>
    <x v="2"/>
    <x v="2"/>
    <n v="29"/>
    <x v="0"/>
    <x v="1"/>
    <n v="0"/>
    <n v="29"/>
    <n v="29"/>
    <n v="28.71"/>
    <n v="0"/>
    <n v="0"/>
    <n v="0.01"/>
    <n v="0.28999999999999915"/>
    <n v="0"/>
    <n v="0"/>
    <x v="0"/>
    <s v=""/>
  </r>
  <r>
    <n v="416"/>
    <d v="2026-05-07T00:00:00"/>
    <d v="2026-05-09T00:00:00"/>
    <x v="3"/>
    <s v="STU-53"/>
    <s v="New Customer"/>
    <x v="1"/>
    <x v="6"/>
    <x v="5"/>
    <x v="2"/>
    <n v="29"/>
    <x v="1"/>
    <x v="0"/>
    <n v="0"/>
    <n v="29"/>
    <n v="28.42"/>
    <n v="0"/>
    <n v="0.02"/>
    <n v="0.57999999999999829"/>
    <n v="0.01"/>
    <n v="0.28419999999999845"/>
    <n v="0"/>
    <n v="28.135800000000003"/>
    <x v="1"/>
    <s v=""/>
  </r>
  <r>
    <n v="417"/>
    <d v="2026-04-26T00:00:00"/>
    <d v="2026-05-01T00:00:00"/>
    <x v="3"/>
    <s v="STU-530"/>
    <s v="New Customer"/>
    <x v="1"/>
    <x v="5"/>
    <x v="5"/>
    <x v="2"/>
    <n v="29"/>
    <x v="1"/>
    <x v="1"/>
    <n v="0"/>
    <n v="29"/>
    <n v="29"/>
    <n v="0"/>
    <n v="0"/>
    <n v="0"/>
    <n v="0.01"/>
    <n v="0.28999999999999915"/>
    <n v="0"/>
    <n v="28.71"/>
    <x v="1"/>
    <s v=""/>
  </r>
  <r>
    <n v="418"/>
    <d v="2026-05-27T00:00:00"/>
    <d v="2026-05-29T00:00:00"/>
    <x v="3"/>
    <s v="STU-208"/>
    <s v="New Customer"/>
    <x v="2"/>
    <x v="1"/>
    <x v="3"/>
    <x v="3"/>
    <n v="59"/>
    <x v="0"/>
    <x v="3"/>
    <n v="0"/>
    <n v="59"/>
    <n v="57.82"/>
    <n v="57.241799999999998"/>
    <n v="0.02"/>
    <n v="1.1799999999999997"/>
    <n v="0.01"/>
    <n v="0.57820000000000249"/>
    <n v="0"/>
    <n v="0"/>
    <x v="0"/>
    <s v=""/>
  </r>
  <r>
    <n v="419"/>
    <d v="2026-07-26T00:00:00"/>
    <d v="2026-07-27T00:00:00"/>
    <x v="2"/>
    <s v="STU-668"/>
    <s v="New Customer"/>
    <x v="1"/>
    <x v="5"/>
    <x v="2"/>
    <x v="2"/>
    <n v="29"/>
    <x v="1"/>
    <x v="4"/>
    <n v="0"/>
    <n v="29"/>
    <n v="27.984999999999999"/>
    <n v="0"/>
    <n v="3.5000000000000003E-2"/>
    <n v="1.0150000000000006"/>
    <n v="0.01"/>
    <n v="0.27984999999999971"/>
    <n v="0"/>
    <n v="27.70515"/>
    <x v="0"/>
    <s v=""/>
  </r>
  <r>
    <n v="420"/>
    <d v="2026-04-21T00:00:00"/>
    <d v="2026-04-24T00:00:00"/>
    <x v="5"/>
    <s v="STU-146"/>
    <s v="Returning Customer"/>
    <x v="2"/>
    <x v="7"/>
    <x v="4"/>
    <x v="2"/>
    <n v="59"/>
    <x v="1"/>
    <x v="3"/>
    <n v="0"/>
    <n v="59"/>
    <n v="57.82"/>
    <n v="0"/>
    <n v="0.02"/>
    <n v="1.1799999999999997"/>
    <n v="0.01"/>
    <n v="0.57820000000000249"/>
    <n v="0"/>
    <n v="57.241799999999998"/>
    <x v="1"/>
    <s v=""/>
  </r>
  <r>
    <n v="421"/>
    <d v="2026-04-21T00:00:00"/>
    <d v="2026-04-24T00:00:00"/>
    <x v="5"/>
    <s v="STU-311"/>
    <s v="New Customer"/>
    <x v="0"/>
    <x v="4"/>
    <x v="0"/>
    <x v="0"/>
    <n v="59"/>
    <x v="0"/>
    <x v="4"/>
    <n v="0"/>
    <n v="59"/>
    <n v="56.935000000000002"/>
    <n v="56.365650000000002"/>
    <n v="3.5000000000000003E-2"/>
    <n v="2.0649999999999977"/>
    <n v="0.01"/>
    <n v="0.56935000000000002"/>
    <n v="0"/>
    <n v="0"/>
    <x v="1"/>
    <s v=""/>
  </r>
  <r>
    <n v="422"/>
    <d v="2026-04-28T00:00:00"/>
    <d v="2026-05-03T00:00:00"/>
    <x v="3"/>
    <s v="STU-347"/>
    <s v="New Customer"/>
    <x v="0"/>
    <x v="2"/>
    <x v="6"/>
    <x v="2"/>
    <n v="29"/>
    <x v="1"/>
    <x v="3"/>
    <n v="0"/>
    <n v="29"/>
    <n v="28.42"/>
    <n v="0"/>
    <n v="0.02"/>
    <n v="0.57999999999999829"/>
    <n v="0.01"/>
    <n v="0.28419999999999845"/>
    <n v="0"/>
    <n v="28.135800000000003"/>
    <x v="2"/>
    <s v=""/>
  </r>
  <r>
    <n v="423"/>
    <d v="2026-05-18T00:00:00"/>
    <d v="2026-05-23T00:00:00"/>
    <x v="3"/>
    <s v="STU-26"/>
    <s v="Returning Customer"/>
    <x v="0"/>
    <x v="3"/>
    <x v="0"/>
    <x v="0"/>
    <n v="59"/>
    <x v="0"/>
    <x v="3"/>
    <n v="0"/>
    <n v="59"/>
    <n v="57.82"/>
    <n v="57.241799999999998"/>
    <n v="0.02"/>
    <n v="1.1799999999999997"/>
    <n v="0.01"/>
    <n v="0.57820000000000249"/>
    <n v="0"/>
    <n v="0"/>
    <x v="2"/>
    <n v="10"/>
  </r>
  <r>
    <n v="424"/>
    <d v="2026-02-03T00:00:00"/>
    <d v="2026-02-06T00:00:00"/>
    <x v="6"/>
    <s v="STU-357"/>
    <s v="Returning Customer"/>
    <x v="0"/>
    <x v="0"/>
    <x v="0"/>
    <x v="0"/>
    <n v="59"/>
    <x v="1"/>
    <x v="4"/>
    <n v="0"/>
    <n v="59"/>
    <n v="56.935000000000002"/>
    <n v="0"/>
    <n v="3.5000000000000003E-2"/>
    <n v="2.0649999999999977"/>
    <n v="0.01"/>
    <n v="0.56935000000000002"/>
    <n v="0"/>
    <n v="56.365650000000002"/>
    <x v="1"/>
    <n v="10"/>
  </r>
  <r>
    <n v="425"/>
    <d v="2026-06-14T00:00:00"/>
    <d v="2026-06-18T00:00:00"/>
    <x v="1"/>
    <s v="STU-694"/>
    <s v="New Customer"/>
    <x v="1"/>
    <x v="3"/>
    <x v="3"/>
    <x v="3"/>
    <n v="59"/>
    <x v="0"/>
    <x v="3"/>
    <n v="0"/>
    <n v="59"/>
    <n v="57.82"/>
    <n v="57.241799999999998"/>
    <n v="0.02"/>
    <n v="1.1799999999999997"/>
    <n v="0.01"/>
    <n v="0.57820000000000249"/>
    <n v="0"/>
    <n v="0"/>
    <x v="2"/>
    <s v=""/>
  </r>
  <r>
    <n v="426"/>
    <d v="2026-06-25T00:00:00"/>
    <d v="2026-06-26T00:00:00"/>
    <x v="1"/>
    <s v="STU-687"/>
    <s v="Returning Customer"/>
    <x v="0"/>
    <x v="0"/>
    <x v="1"/>
    <x v="1"/>
    <n v="29"/>
    <x v="0"/>
    <x v="0"/>
    <n v="0"/>
    <n v="29"/>
    <n v="28.42"/>
    <n v="28.135800000000003"/>
    <n v="0.02"/>
    <n v="0.57999999999999829"/>
    <n v="0.01"/>
    <n v="0.28419999999999845"/>
    <n v="0"/>
    <n v="0"/>
    <x v="0"/>
    <s v=""/>
  </r>
  <r>
    <n v="427"/>
    <d v="2026-05-12T00:00:00"/>
    <d v="2026-05-16T00:00:00"/>
    <x v="3"/>
    <s v="STU-453"/>
    <s v="Returning Customer"/>
    <x v="0"/>
    <x v="1"/>
    <x v="3"/>
    <x v="3"/>
    <n v="59"/>
    <x v="0"/>
    <x v="0"/>
    <n v="0"/>
    <n v="59"/>
    <n v="57.82"/>
    <n v="57.241799999999998"/>
    <n v="0.02"/>
    <n v="1.1799999999999997"/>
    <n v="0.01"/>
    <n v="0.57820000000000249"/>
    <n v="0"/>
    <n v="0"/>
    <x v="0"/>
    <s v=""/>
  </r>
  <r>
    <n v="428"/>
    <d v="2026-04-17T00:00:00"/>
    <d v="2026-04-20T00:00:00"/>
    <x v="5"/>
    <s v="STU-133"/>
    <s v="New Customer"/>
    <x v="0"/>
    <x v="6"/>
    <x v="5"/>
    <x v="2"/>
    <n v="29"/>
    <x v="1"/>
    <x v="2"/>
    <n v="0"/>
    <n v="29"/>
    <n v="27.984999999999999"/>
    <n v="0"/>
    <n v="3.5000000000000003E-2"/>
    <n v="1.0150000000000006"/>
    <n v="0.01"/>
    <n v="0.27984999999999971"/>
    <n v="0"/>
    <n v="27.70515"/>
    <x v="0"/>
    <n v="10"/>
  </r>
  <r>
    <n v="429"/>
    <d v="2026-05-30T00:00:00"/>
    <d v="2026-06-03T00:00:00"/>
    <x v="1"/>
    <s v="STU-959"/>
    <s v="New Customer"/>
    <x v="0"/>
    <x v="6"/>
    <x v="7"/>
    <x v="3"/>
    <n v="99"/>
    <x v="1"/>
    <x v="2"/>
    <n v="0"/>
    <n v="99"/>
    <n v="95.534999999999997"/>
    <n v="0"/>
    <n v="3.5000000000000003E-2"/>
    <n v="3.4650000000000034"/>
    <n v="0.01"/>
    <n v="0.9553499999999957"/>
    <n v="0"/>
    <n v="94.579650000000001"/>
    <x v="2"/>
    <s v=""/>
  </r>
  <r>
    <n v="430"/>
    <d v="2026-07-19T00:00:00"/>
    <d v="2026-07-21T00:00:00"/>
    <x v="2"/>
    <s v="STU-502"/>
    <s v="New Customer"/>
    <x v="2"/>
    <x v="2"/>
    <x v="2"/>
    <x v="2"/>
    <n v="29"/>
    <x v="2"/>
    <x v="4"/>
    <n v="0"/>
    <n v="29"/>
    <n v="27.984999999999999"/>
    <n v="0"/>
    <n v="3.5000000000000003E-2"/>
    <n v="1.0150000000000006"/>
    <n v="0.01"/>
    <n v="0.27984999999999971"/>
    <n v="27.70515"/>
    <n v="0"/>
    <x v="2"/>
    <s v=""/>
  </r>
  <r>
    <n v="431"/>
    <d v="2026-01-12T00:00:00"/>
    <d v="2026-01-12T00:00:00"/>
    <x v="4"/>
    <s v="STU-619"/>
    <s v="New Customer"/>
    <x v="0"/>
    <x v="3"/>
    <x v="6"/>
    <x v="2"/>
    <n v="29"/>
    <x v="1"/>
    <x v="3"/>
    <n v="0"/>
    <n v="29"/>
    <n v="28.42"/>
    <n v="0"/>
    <n v="0.02"/>
    <n v="0.57999999999999829"/>
    <n v="0.01"/>
    <n v="0.28419999999999845"/>
    <n v="0"/>
    <n v="28.135800000000003"/>
    <x v="0"/>
    <s v=""/>
  </r>
  <r>
    <n v="432"/>
    <d v="2026-02-24T00:00:00"/>
    <d v="2026-02-26T00:00:00"/>
    <x v="6"/>
    <s v="STU-565"/>
    <s v="New Customer"/>
    <x v="2"/>
    <x v="4"/>
    <x v="7"/>
    <x v="3"/>
    <n v="99"/>
    <x v="1"/>
    <x v="3"/>
    <n v="0"/>
    <n v="99"/>
    <n v="97.02"/>
    <n v="0"/>
    <n v="0.02"/>
    <n v="1.980000000000004"/>
    <n v="0.01"/>
    <n v="0.9702000000000055"/>
    <n v="0"/>
    <n v="96.049799999999991"/>
    <x v="0"/>
    <s v=""/>
  </r>
  <r>
    <n v="433"/>
    <d v="2026-03-11T00:00:00"/>
    <d v="2026-03-15T00:00:00"/>
    <x v="0"/>
    <s v="STU-57"/>
    <s v="New Customer"/>
    <x v="0"/>
    <x v="3"/>
    <x v="3"/>
    <x v="3"/>
    <n v="59"/>
    <x v="1"/>
    <x v="3"/>
    <n v="0"/>
    <n v="59"/>
    <n v="57.82"/>
    <n v="0"/>
    <n v="0.02"/>
    <n v="1.1799999999999997"/>
    <n v="0.01"/>
    <n v="0.57820000000000249"/>
    <n v="0"/>
    <n v="57.241799999999998"/>
    <x v="2"/>
    <s v=""/>
  </r>
  <r>
    <n v="434"/>
    <d v="2026-03-26T00:00:00"/>
    <d v="2026-03-28T00:00:00"/>
    <x v="0"/>
    <s v="STU-467"/>
    <s v="New Customer"/>
    <x v="1"/>
    <x v="1"/>
    <x v="6"/>
    <x v="2"/>
    <n v="29"/>
    <x v="1"/>
    <x v="3"/>
    <n v="0"/>
    <n v="29"/>
    <n v="28.42"/>
    <n v="0"/>
    <n v="0.02"/>
    <n v="0.57999999999999829"/>
    <n v="0.01"/>
    <n v="0.28419999999999845"/>
    <n v="0"/>
    <n v="28.135800000000003"/>
    <x v="2"/>
    <s v=""/>
  </r>
  <r>
    <n v="435"/>
    <d v="2026-06-25T00:00:00"/>
    <d v="2026-06-26T00:00:00"/>
    <x v="1"/>
    <s v="STU-78"/>
    <s v="New Customer"/>
    <x v="0"/>
    <x v="6"/>
    <x v="2"/>
    <x v="2"/>
    <n v="29"/>
    <x v="0"/>
    <x v="4"/>
    <n v="0"/>
    <n v="29"/>
    <n v="27.984999999999999"/>
    <n v="27.70515"/>
    <n v="3.5000000000000003E-2"/>
    <n v="1.0150000000000006"/>
    <n v="0.01"/>
    <n v="0.27984999999999971"/>
    <n v="0"/>
    <n v="0"/>
    <x v="0"/>
    <s v=""/>
  </r>
  <r>
    <n v="436"/>
    <d v="2026-02-12T00:00:00"/>
    <d v="2026-02-17T00:00:00"/>
    <x v="6"/>
    <s v="STU-659"/>
    <s v="New Customer"/>
    <x v="1"/>
    <x v="0"/>
    <x v="0"/>
    <x v="0"/>
    <n v="59"/>
    <x v="1"/>
    <x v="3"/>
    <n v="0"/>
    <n v="59"/>
    <n v="57.82"/>
    <n v="0"/>
    <n v="0.02"/>
    <n v="1.1799999999999997"/>
    <n v="0.01"/>
    <n v="0.57820000000000249"/>
    <n v="0"/>
    <n v="57.241799999999998"/>
    <x v="1"/>
    <s v=""/>
  </r>
  <r>
    <n v="437"/>
    <d v="2026-07-11T00:00:00"/>
    <d v="2026-07-12T00:00:00"/>
    <x v="2"/>
    <s v="STU-873"/>
    <s v="Returning Customer"/>
    <x v="2"/>
    <x v="7"/>
    <x v="7"/>
    <x v="3"/>
    <n v="99"/>
    <x v="1"/>
    <x v="1"/>
    <n v="0"/>
    <n v="99"/>
    <n v="99"/>
    <n v="0"/>
    <n v="0"/>
    <n v="0"/>
    <n v="0.01"/>
    <n v="0.98999999999999488"/>
    <n v="0"/>
    <n v="98.01"/>
    <x v="0"/>
    <s v=""/>
  </r>
  <r>
    <n v="438"/>
    <d v="2026-01-18T00:00:00"/>
    <d v="2026-01-18T00:00:00"/>
    <x v="4"/>
    <s v="STU-471"/>
    <s v="New Customer"/>
    <x v="0"/>
    <x v="0"/>
    <x v="1"/>
    <x v="1"/>
    <n v="29"/>
    <x v="1"/>
    <x v="0"/>
    <n v="0"/>
    <n v="29"/>
    <n v="28.42"/>
    <n v="0"/>
    <n v="0.02"/>
    <n v="0.57999999999999829"/>
    <n v="0.01"/>
    <n v="0.28419999999999845"/>
    <n v="0"/>
    <n v="28.135800000000003"/>
    <x v="0"/>
    <n v="10"/>
  </r>
  <r>
    <n v="439"/>
    <d v="2026-03-25T00:00:00"/>
    <d v="2026-03-29T00:00:00"/>
    <x v="0"/>
    <s v="STU-820"/>
    <s v="New Customer"/>
    <x v="2"/>
    <x v="1"/>
    <x v="2"/>
    <x v="2"/>
    <n v="29"/>
    <x v="1"/>
    <x v="3"/>
    <n v="0"/>
    <n v="29"/>
    <n v="28.42"/>
    <n v="0"/>
    <n v="0.02"/>
    <n v="0.57999999999999829"/>
    <n v="0.01"/>
    <n v="0.28419999999999845"/>
    <n v="0"/>
    <n v="28.135800000000003"/>
    <x v="1"/>
    <s v=""/>
  </r>
  <r>
    <n v="440"/>
    <d v="2026-07-15T00:00:00"/>
    <d v="2026-07-15T00:00:00"/>
    <x v="2"/>
    <s v="STU-838"/>
    <s v="New Customer"/>
    <x v="2"/>
    <x v="4"/>
    <x v="0"/>
    <x v="0"/>
    <n v="59"/>
    <x v="1"/>
    <x v="3"/>
    <n v="0"/>
    <n v="59"/>
    <n v="57.82"/>
    <n v="0"/>
    <n v="0.02"/>
    <n v="1.1799999999999997"/>
    <n v="0.01"/>
    <n v="0.57820000000000249"/>
    <n v="0"/>
    <n v="57.241799999999998"/>
    <x v="0"/>
    <s v=""/>
  </r>
  <r>
    <n v="441"/>
    <d v="2026-01-01T00:00:00"/>
    <d v="2026-01-03T00:00:00"/>
    <x v="4"/>
    <s v="STU-140"/>
    <s v="New Customer"/>
    <x v="1"/>
    <x v="5"/>
    <x v="2"/>
    <x v="2"/>
    <n v="29"/>
    <x v="0"/>
    <x v="4"/>
    <n v="20"/>
    <n v="-551"/>
    <n v="-531.71500000000003"/>
    <n v="-526.39785000000006"/>
    <n v="3.5000000000000003E-2"/>
    <n v="-19.284999999999968"/>
    <n v="0.01"/>
    <n v="-5.3171499999999696"/>
    <n v="0"/>
    <n v="0"/>
    <x v="1"/>
    <s v=""/>
  </r>
  <r>
    <n v="442"/>
    <d v="2026-06-12T00:00:00"/>
    <d v="2026-06-12T00:00:00"/>
    <x v="1"/>
    <s v="STU-396"/>
    <s v="New Customer"/>
    <x v="1"/>
    <x v="0"/>
    <x v="4"/>
    <x v="2"/>
    <n v="59"/>
    <x v="1"/>
    <x v="1"/>
    <n v="0"/>
    <n v="59"/>
    <n v="59"/>
    <n v="0"/>
    <n v="0"/>
    <n v="0"/>
    <n v="0.01"/>
    <n v="0.59000000000000341"/>
    <n v="0"/>
    <n v="58.41"/>
    <x v="2"/>
    <s v=""/>
  </r>
  <r>
    <n v="443"/>
    <d v="2026-04-23T00:00:00"/>
    <d v="2026-04-23T00:00:00"/>
    <x v="5"/>
    <s v="STU-839"/>
    <s v="New Customer"/>
    <x v="0"/>
    <x v="2"/>
    <x v="7"/>
    <x v="3"/>
    <n v="99"/>
    <x v="1"/>
    <x v="3"/>
    <n v="0"/>
    <n v="99"/>
    <n v="97.02"/>
    <n v="0"/>
    <n v="0.02"/>
    <n v="1.980000000000004"/>
    <n v="0.01"/>
    <n v="0.9702000000000055"/>
    <n v="0"/>
    <n v="96.049799999999991"/>
    <x v="1"/>
    <s v=""/>
  </r>
  <r>
    <n v="444"/>
    <d v="2026-01-17T00:00:00"/>
    <d v="2026-01-17T00:00:00"/>
    <x v="4"/>
    <s v="STU-947"/>
    <s v="Returning Customer"/>
    <x v="2"/>
    <x v="0"/>
    <x v="3"/>
    <x v="3"/>
    <n v="59"/>
    <x v="1"/>
    <x v="0"/>
    <n v="0"/>
    <n v="59"/>
    <n v="57.82"/>
    <n v="0"/>
    <n v="0.02"/>
    <n v="1.1799999999999997"/>
    <n v="0.01"/>
    <n v="0.57820000000000249"/>
    <n v="0"/>
    <n v="57.241799999999998"/>
    <x v="2"/>
    <s v=""/>
  </r>
  <r>
    <n v="445"/>
    <d v="2026-03-07T00:00:00"/>
    <d v="2026-03-07T00:00:00"/>
    <x v="0"/>
    <s v="STU-550"/>
    <s v="New Customer"/>
    <x v="0"/>
    <x v="6"/>
    <x v="3"/>
    <x v="3"/>
    <n v="59"/>
    <x v="1"/>
    <x v="0"/>
    <n v="0"/>
    <n v="59"/>
    <n v="57.82"/>
    <n v="0"/>
    <n v="0.02"/>
    <n v="1.1799999999999997"/>
    <n v="0.01"/>
    <n v="0.57820000000000249"/>
    <n v="0"/>
    <n v="57.241799999999998"/>
    <x v="0"/>
    <s v=""/>
  </r>
  <r>
    <n v="446"/>
    <d v="2026-07-21T00:00:00"/>
    <d v="2026-07-26T00:00:00"/>
    <x v="2"/>
    <s v="STU-561"/>
    <s v="Returning Customer"/>
    <x v="0"/>
    <x v="2"/>
    <x v="6"/>
    <x v="2"/>
    <n v="29"/>
    <x v="1"/>
    <x v="0"/>
    <n v="0"/>
    <n v="29"/>
    <n v="28.42"/>
    <n v="0"/>
    <n v="0.02"/>
    <n v="0.57999999999999829"/>
    <n v="0.01"/>
    <n v="0.28419999999999845"/>
    <n v="0"/>
    <n v="28.135800000000003"/>
    <x v="1"/>
    <s v=""/>
  </r>
  <r>
    <n v="447"/>
    <d v="2026-04-29T00:00:00"/>
    <d v="2026-05-02T00:00:00"/>
    <x v="3"/>
    <s v="STU-979"/>
    <s v="New Customer"/>
    <x v="2"/>
    <x v="5"/>
    <x v="3"/>
    <x v="3"/>
    <n v="59"/>
    <x v="0"/>
    <x v="2"/>
    <n v="0"/>
    <n v="59"/>
    <n v="56.935000000000002"/>
    <n v="56.365650000000002"/>
    <n v="3.5000000000000003E-2"/>
    <n v="2.0649999999999977"/>
    <n v="0.01"/>
    <n v="0.56935000000000002"/>
    <n v="0"/>
    <n v="0"/>
    <x v="0"/>
    <s v=""/>
  </r>
  <r>
    <n v="448"/>
    <d v="2026-06-11T00:00:00"/>
    <d v="2026-06-14T00:00:00"/>
    <x v="1"/>
    <s v="STU-52"/>
    <s v="Returning Customer"/>
    <x v="0"/>
    <x v="4"/>
    <x v="7"/>
    <x v="3"/>
    <n v="99"/>
    <x v="2"/>
    <x v="4"/>
    <n v="0"/>
    <n v="99"/>
    <n v="95.534999999999997"/>
    <n v="0"/>
    <n v="3.5000000000000003E-2"/>
    <n v="3.4650000000000034"/>
    <n v="0.01"/>
    <n v="0.9553499999999957"/>
    <n v="94.579650000000001"/>
    <n v="0"/>
    <x v="2"/>
    <s v=""/>
  </r>
  <r>
    <n v="449"/>
    <d v="2026-01-08T00:00:00"/>
    <d v="2026-01-12T00:00:00"/>
    <x v="4"/>
    <s v="STU-644"/>
    <s v="New Customer"/>
    <x v="1"/>
    <x v="0"/>
    <x v="7"/>
    <x v="3"/>
    <n v="99"/>
    <x v="1"/>
    <x v="4"/>
    <n v="0"/>
    <n v="99"/>
    <n v="95.534999999999997"/>
    <n v="0"/>
    <n v="3.5000000000000003E-2"/>
    <n v="3.4650000000000034"/>
    <n v="0.01"/>
    <n v="0.9553499999999957"/>
    <n v="0"/>
    <n v="94.579650000000001"/>
    <x v="0"/>
    <s v=""/>
  </r>
  <r>
    <n v="450"/>
    <d v="2026-03-19T00:00:00"/>
    <d v="2026-03-24T00:00:00"/>
    <x v="0"/>
    <s v="STU-431"/>
    <s v="Returning Customer"/>
    <x v="0"/>
    <x v="7"/>
    <x v="2"/>
    <x v="2"/>
    <n v="29"/>
    <x v="1"/>
    <x v="3"/>
    <n v="0"/>
    <n v="29"/>
    <n v="28.42"/>
    <n v="0"/>
    <n v="0.02"/>
    <n v="0.57999999999999829"/>
    <n v="0.01"/>
    <n v="0.28419999999999845"/>
    <n v="0"/>
    <n v="28.135800000000003"/>
    <x v="0"/>
    <s v=""/>
  </r>
  <r>
    <n v="451"/>
    <d v="2026-03-22T00:00:00"/>
    <d v="2026-03-25T00:00:00"/>
    <x v="0"/>
    <s v="STU-202"/>
    <s v="New Customer"/>
    <x v="1"/>
    <x v="7"/>
    <x v="6"/>
    <x v="2"/>
    <n v="29"/>
    <x v="1"/>
    <x v="1"/>
    <n v="0"/>
    <n v="29"/>
    <n v="29"/>
    <n v="0"/>
    <n v="0"/>
    <n v="0"/>
    <n v="0.01"/>
    <n v="0.28999999999999915"/>
    <n v="0"/>
    <n v="28.71"/>
    <x v="2"/>
    <s v=""/>
  </r>
  <r>
    <n v="452"/>
    <d v="2026-05-31T00:00:00"/>
    <d v="2026-06-03T00:00:00"/>
    <x v="1"/>
    <s v="STU-256"/>
    <s v="Returning Customer"/>
    <x v="1"/>
    <x v="1"/>
    <x v="1"/>
    <x v="1"/>
    <n v="29"/>
    <x v="1"/>
    <x v="0"/>
    <n v="0"/>
    <n v="29"/>
    <n v="28.42"/>
    <n v="0"/>
    <n v="0.02"/>
    <n v="0.57999999999999829"/>
    <n v="0.01"/>
    <n v="0.28419999999999845"/>
    <n v="0"/>
    <n v="28.135800000000003"/>
    <x v="1"/>
    <s v=""/>
  </r>
  <r>
    <n v="453"/>
    <d v="2026-05-14T00:00:00"/>
    <d v="2026-05-17T00:00:00"/>
    <x v="3"/>
    <s v="STU-248"/>
    <s v="New Customer"/>
    <x v="2"/>
    <x v="2"/>
    <x v="7"/>
    <x v="3"/>
    <n v="99"/>
    <x v="0"/>
    <x v="2"/>
    <n v="0"/>
    <n v="99"/>
    <n v="95.534999999999997"/>
    <n v="94.579650000000001"/>
    <n v="3.5000000000000003E-2"/>
    <n v="3.4650000000000034"/>
    <n v="0.01"/>
    <n v="0.9553499999999957"/>
    <n v="0"/>
    <n v="0"/>
    <x v="2"/>
    <n v="10"/>
  </r>
  <r>
    <n v="454"/>
    <d v="2026-02-27T00:00:00"/>
    <d v="2026-02-27T00:00:00"/>
    <x v="6"/>
    <s v="STU-503"/>
    <s v="Returning Customer"/>
    <x v="1"/>
    <x v="5"/>
    <x v="3"/>
    <x v="3"/>
    <n v="59"/>
    <x v="0"/>
    <x v="3"/>
    <n v="0"/>
    <n v="59"/>
    <n v="57.82"/>
    <n v="57.241799999999998"/>
    <n v="0.02"/>
    <n v="1.1799999999999997"/>
    <n v="0.01"/>
    <n v="0.57820000000000249"/>
    <n v="0"/>
    <n v="0"/>
    <x v="1"/>
    <s v=""/>
  </r>
  <r>
    <n v="455"/>
    <d v="2026-02-27T00:00:00"/>
    <d v="2026-03-03T00:00:00"/>
    <x v="0"/>
    <s v="STU-873"/>
    <s v="Returning Customer"/>
    <x v="2"/>
    <x v="3"/>
    <x v="1"/>
    <x v="1"/>
    <n v="29"/>
    <x v="1"/>
    <x v="1"/>
    <n v="0"/>
    <n v="29"/>
    <n v="29"/>
    <n v="0"/>
    <n v="0"/>
    <n v="0"/>
    <n v="0.01"/>
    <n v="0.28999999999999915"/>
    <n v="0"/>
    <n v="28.71"/>
    <x v="2"/>
    <n v="10"/>
  </r>
  <r>
    <n v="456"/>
    <d v="2026-06-10T00:00:00"/>
    <d v="2026-06-12T00:00:00"/>
    <x v="1"/>
    <s v="STU-199"/>
    <s v="Returning Customer"/>
    <x v="1"/>
    <x v="4"/>
    <x v="3"/>
    <x v="3"/>
    <n v="59"/>
    <x v="0"/>
    <x v="2"/>
    <n v="0"/>
    <n v="59"/>
    <n v="56.935000000000002"/>
    <n v="56.365650000000002"/>
    <n v="3.5000000000000003E-2"/>
    <n v="2.0649999999999977"/>
    <n v="0.01"/>
    <n v="0.56935000000000002"/>
    <n v="0"/>
    <n v="0"/>
    <x v="2"/>
    <n v="10"/>
  </r>
  <r>
    <n v="457"/>
    <d v="2026-07-03T00:00:00"/>
    <d v="2026-07-05T00:00:00"/>
    <x v="2"/>
    <s v="STU-969"/>
    <s v="New Customer"/>
    <x v="1"/>
    <x v="3"/>
    <x v="2"/>
    <x v="2"/>
    <n v="29"/>
    <x v="1"/>
    <x v="2"/>
    <n v="0"/>
    <n v="29"/>
    <n v="27.984999999999999"/>
    <n v="0"/>
    <n v="3.5000000000000003E-2"/>
    <n v="1.0150000000000006"/>
    <n v="0.01"/>
    <n v="0.27984999999999971"/>
    <n v="0"/>
    <n v="27.70515"/>
    <x v="0"/>
    <s v=""/>
  </r>
  <r>
    <n v="458"/>
    <d v="2026-05-10T00:00:00"/>
    <d v="2026-05-10T00:00:00"/>
    <x v="3"/>
    <s v="STU-183"/>
    <s v="New Customer"/>
    <x v="1"/>
    <x v="5"/>
    <x v="7"/>
    <x v="3"/>
    <n v="99"/>
    <x v="2"/>
    <x v="3"/>
    <n v="0"/>
    <n v="99"/>
    <n v="97.02"/>
    <n v="0"/>
    <n v="0.02"/>
    <n v="1.980000000000004"/>
    <n v="0.01"/>
    <n v="0.9702000000000055"/>
    <n v="96.049799999999991"/>
    <n v="0"/>
    <x v="2"/>
    <s v=""/>
  </r>
  <r>
    <n v="459"/>
    <d v="2026-02-28T00:00:00"/>
    <d v="2026-02-28T00:00:00"/>
    <x v="6"/>
    <s v="STU-289"/>
    <s v="New Customer"/>
    <x v="1"/>
    <x v="5"/>
    <x v="4"/>
    <x v="2"/>
    <n v="59"/>
    <x v="0"/>
    <x v="1"/>
    <n v="0"/>
    <n v="59"/>
    <n v="59"/>
    <n v="58.41"/>
    <n v="0"/>
    <n v="0"/>
    <n v="0.01"/>
    <n v="0.59000000000000341"/>
    <n v="0"/>
    <n v="0"/>
    <x v="2"/>
    <s v=""/>
  </r>
  <r>
    <n v="460"/>
    <d v="2026-06-07T00:00:00"/>
    <d v="2026-06-09T00:00:00"/>
    <x v="1"/>
    <s v="STU-79"/>
    <s v="Returning Customer"/>
    <x v="0"/>
    <x v="3"/>
    <x v="7"/>
    <x v="3"/>
    <n v="99"/>
    <x v="1"/>
    <x v="0"/>
    <n v="0"/>
    <n v="99"/>
    <n v="97.02"/>
    <n v="0"/>
    <n v="0.02"/>
    <n v="1.980000000000004"/>
    <n v="0.01"/>
    <n v="0.9702000000000055"/>
    <n v="0"/>
    <n v="96.049799999999991"/>
    <x v="2"/>
    <s v=""/>
  </r>
  <r>
    <n v="461"/>
    <d v="2026-05-15T00:00:00"/>
    <d v="2026-05-15T00:00:00"/>
    <x v="3"/>
    <s v="STU-772"/>
    <s v="Returning Customer"/>
    <x v="0"/>
    <x v="3"/>
    <x v="4"/>
    <x v="2"/>
    <n v="59"/>
    <x v="0"/>
    <x v="3"/>
    <n v="0"/>
    <n v="59"/>
    <n v="57.82"/>
    <n v="57.241799999999998"/>
    <n v="0.02"/>
    <n v="1.1799999999999997"/>
    <n v="0.01"/>
    <n v="0.57820000000000249"/>
    <n v="0"/>
    <n v="0"/>
    <x v="2"/>
    <s v=""/>
  </r>
  <r>
    <n v="462"/>
    <d v="2026-01-31T00:00:00"/>
    <d v="2026-02-02T00:00:00"/>
    <x v="6"/>
    <s v="STU-985"/>
    <s v="Returning Customer"/>
    <x v="0"/>
    <x v="3"/>
    <x v="5"/>
    <x v="2"/>
    <n v="29"/>
    <x v="1"/>
    <x v="1"/>
    <n v="0"/>
    <n v="29"/>
    <n v="29"/>
    <n v="0"/>
    <n v="0"/>
    <n v="0"/>
    <n v="0.01"/>
    <n v="0.28999999999999915"/>
    <n v="0"/>
    <n v="28.71"/>
    <x v="0"/>
    <s v=""/>
  </r>
  <r>
    <n v="463"/>
    <d v="2026-01-21T00:00:00"/>
    <d v="2026-01-25T00:00:00"/>
    <x v="4"/>
    <s v="STU-981"/>
    <s v="New Customer"/>
    <x v="1"/>
    <x v="1"/>
    <x v="5"/>
    <x v="2"/>
    <n v="29"/>
    <x v="0"/>
    <x v="4"/>
    <n v="0"/>
    <n v="29"/>
    <n v="27.984999999999999"/>
    <n v="27.70515"/>
    <n v="3.5000000000000003E-2"/>
    <n v="1.0150000000000006"/>
    <n v="0.01"/>
    <n v="0.27984999999999971"/>
    <n v="0"/>
    <n v="0"/>
    <x v="2"/>
    <s v=""/>
  </r>
  <r>
    <n v="464"/>
    <d v="2026-01-21T00:00:00"/>
    <d v="2026-01-25T00:00:00"/>
    <x v="4"/>
    <s v="STU-386"/>
    <s v="Returning Customer"/>
    <x v="0"/>
    <x v="4"/>
    <x v="3"/>
    <x v="3"/>
    <n v="59"/>
    <x v="1"/>
    <x v="3"/>
    <n v="0"/>
    <n v="59"/>
    <n v="57.82"/>
    <n v="0"/>
    <n v="0.02"/>
    <n v="1.1799999999999997"/>
    <n v="0.01"/>
    <n v="0.57820000000000249"/>
    <n v="0"/>
    <n v="57.241799999999998"/>
    <x v="2"/>
    <s v=""/>
  </r>
  <r>
    <n v="465"/>
    <d v="2026-05-16T00:00:00"/>
    <d v="2026-05-21T00:00:00"/>
    <x v="3"/>
    <s v="STU-129"/>
    <s v="New Customer"/>
    <x v="1"/>
    <x v="1"/>
    <x v="1"/>
    <x v="1"/>
    <n v="29"/>
    <x v="1"/>
    <x v="0"/>
    <n v="0"/>
    <n v="29"/>
    <n v="28.42"/>
    <n v="0"/>
    <n v="0.02"/>
    <n v="0.57999999999999829"/>
    <n v="0.01"/>
    <n v="0.28419999999999845"/>
    <n v="0"/>
    <n v="28.135800000000003"/>
    <x v="0"/>
    <s v=""/>
  </r>
  <r>
    <n v="466"/>
    <d v="2026-04-28T00:00:00"/>
    <d v="2026-04-30T00:00:00"/>
    <x v="5"/>
    <s v="STU-306"/>
    <s v="Returning Customer"/>
    <x v="0"/>
    <x v="5"/>
    <x v="3"/>
    <x v="3"/>
    <n v="59"/>
    <x v="1"/>
    <x v="0"/>
    <n v="0"/>
    <n v="59"/>
    <n v="57.82"/>
    <n v="0"/>
    <n v="0.02"/>
    <n v="1.1799999999999997"/>
    <n v="0.01"/>
    <n v="0.57820000000000249"/>
    <n v="0"/>
    <n v="57.241799999999998"/>
    <x v="0"/>
    <n v="10"/>
  </r>
  <r>
    <n v="467"/>
    <d v="2026-01-12T00:00:00"/>
    <d v="2026-01-16T00:00:00"/>
    <x v="4"/>
    <s v="STU-571"/>
    <s v="New Customer"/>
    <x v="1"/>
    <x v="2"/>
    <x v="6"/>
    <x v="2"/>
    <n v="29"/>
    <x v="1"/>
    <x v="4"/>
    <n v="0"/>
    <n v="29"/>
    <n v="27.984999999999999"/>
    <n v="0"/>
    <n v="3.5000000000000003E-2"/>
    <n v="1.0150000000000006"/>
    <n v="0.01"/>
    <n v="0.27984999999999971"/>
    <n v="0"/>
    <n v="27.70515"/>
    <x v="1"/>
    <n v="10"/>
  </r>
  <r>
    <n v="468"/>
    <d v="2026-07-05T00:00:00"/>
    <d v="2026-07-08T00:00:00"/>
    <x v="2"/>
    <s v="STU-652"/>
    <s v="New Customer"/>
    <x v="2"/>
    <x v="2"/>
    <x v="2"/>
    <x v="2"/>
    <n v="29"/>
    <x v="1"/>
    <x v="4"/>
    <n v="0"/>
    <n v="29"/>
    <n v="27.984999999999999"/>
    <n v="0"/>
    <n v="3.5000000000000003E-2"/>
    <n v="1.0150000000000006"/>
    <n v="0.01"/>
    <n v="0.27984999999999971"/>
    <n v="0"/>
    <n v="27.70515"/>
    <x v="0"/>
    <s v=""/>
  </r>
  <r>
    <n v="469"/>
    <d v="2026-04-09T00:00:00"/>
    <d v="2026-04-13T00:00:00"/>
    <x v="5"/>
    <s v="STU-987"/>
    <s v="New Customer"/>
    <x v="0"/>
    <x v="1"/>
    <x v="0"/>
    <x v="0"/>
    <n v="59"/>
    <x v="1"/>
    <x v="4"/>
    <n v="0"/>
    <n v="59"/>
    <n v="56.935000000000002"/>
    <n v="0"/>
    <n v="3.5000000000000003E-2"/>
    <n v="2.0649999999999977"/>
    <n v="0.01"/>
    <n v="0.56935000000000002"/>
    <n v="0"/>
    <n v="56.365650000000002"/>
    <x v="0"/>
    <s v=""/>
  </r>
  <r>
    <n v="470"/>
    <d v="2026-04-05T00:00:00"/>
    <d v="2026-04-10T00:00:00"/>
    <x v="5"/>
    <s v="STU-866"/>
    <s v="New Customer"/>
    <x v="1"/>
    <x v="4"/>
    <x v="5"/>
    <x v="2"/>
    <n v="29"/>
    <x v="1"/>
    <x v="2"/>
    <n v="0"/>
    <n v="29"/>
    <n v="27.984999999999999"/>
    <n v="0"/>
    <n v="3.5000000000000003E-2"/>
    <n v="1.0150000000000006"/>
    <n v="0.01"/>
    <n v="0.27984999999999971"/>
    <n v="0"/>
    <n v="27.70515"/>
    <x v="0"/>
    <s v=""/>
  </r>
  <r>
    <n v="471"/>
    <d v="2026-04-23T00:00:00"/>
    <d v="2026-04-28T00:00:00"/>
    <x v="5"/>
    <s v="STU-351"/>
    <s v="New Customer"/>
    <x v="2"/>
    <x v="1"/>
    <x v="1"/>
    <x v="1"/>
    <n v="29"/>
    <x v="2"/>
    <x v="0"/>
    <n v="0"/>
    <n v="29"/>
    <n v="28.42"/>
    <n v="0"/>
    <n v="0.02"/>
    <n v="0.57999999999999829"/>
    <n v="0.01"/>
    <n v="0.28419999999999845"/>
    <n v="28.135800000000003"/>
    <n v="0"/>
    <x v="2"/>
    <s v=""/>
  </r>
  <r>
    <n v="472"/>
    <d v="2026-05-07T00:00:00"/>
    <d v="2026-05-11T00:00:00"/>
    <x v="3"/>
    <s v="STU-823"/>
    <s v="New Customer"/>
    <x v="0"/>
    <x v="0"/>
    <x v="6"/>
    <x v="2"/>
    <n v="29"/>
    <x v="1"/>
    <x v="4"/>
    <n v="0"/>
    <n v="29"/>
    <n v="27.984999999999999"/>
    <n v="0"/>
    <n v="3.5000000000000003E-2"/>
    <n v="1.0150000000000006"/>
    <n v="0.01"/>
    <n v="0.27984999999999971"/>
    <n v="0"/>
    <n v="27.70515"/>
    <x v="2"/>
    <s v=""/>
  </r>
  <r>
    <n v="473"/>
    <d v="2026-03-08T00:00:00"/>
    <d v="2026-03-11T00:00:00"/>
    <x v="0"/>
    <s v="STU-670"/>
    <s v="Returning Customer"/>
    <x v="0"/>
    <x v="1"/>
    <x v="5"/>
    <x v="2"/>
    <n v="29"/>
    <x v="1"/>
    <x v="3"/>
    <n v="0"/>
    <n v="29"/>
    <n v="28.42"/>
    <n v="0"/>
    <n v="0.02"/>
    <n v="0.57999999999999829"/>
    <n v="0.01"/>
    <n v="0.28419999999999845"/>
    <n v="0"/>
    <n v="28.135800000000003"/>
    <x v="2"/>
    <s v=""/>
  </r>
  <r>
    <n v="474"/>
    <d v="2026-03-23T00:00:00"/>
    <d v="2026-03-25T00:00:00"/>
    <x v="0"/>
    <s v="STU-632"/>
    <s v="New Customer"/>
    <x v="2"/>
    <x v="3"/>
    <x v="5"/>
    <x v="2"/>
    <n v="29"/>
    <x v="1"/>
    <x v="0"/>
    <n v="0"/>
    <n v="29"/>
    <n v="28.42"/>
    <n v="0"/>
    <n v="0.02"/>
    <n v="0.57999999999999829"/>
    <n v="0.01"/>
    <n v="0.28419999999999845"/>
    <n v="0"/>
    <n v="28.135800000000003"/>
    <x v="0"/>
    <s v=""/>
  </r>
  <r>
    <n v="475"/>
    <d v="2026-07-13T00:00:00"/>
    <d v="2026-07-15T00:00:00"/>
    <x v="2"/>
    <s v="STU-629"/>
    <s v="New Customer"/>
    <x v="0"/>
    <x v="0"/>
    <x v="4"/>
    <x v="2"/>
    <n v="59"/>
    <x v="1"/>
    <x v="2"/>
    <n v="0"/>
    <n v="59"/>
    <n v="56.935000000000002"/>
    <n v="0"/>
    <n v="3.5000000000000003E-2"/>
    <n v="2.0649999999999977"/>
    <n v="0.01"/>
    <n v="0.56935000000000002"/>
    <n v="0"/>
    <n v="56.365650000000002"/>
    <x v="2"/>
    <s v=""/>
  </r>
  <r>
    <n v="476"/>
    <d v="2026-01-29T00:00:00"/>
    <d v="2026-02-03T00:00:00"/>
    <x v="6"/>
    <s v="STU-243"/>
    <s v="Returning Customer"/>
    <x v="2"/>
    <x v="3"/>
    <x v="3"/>
    <x v="3"/>
    <n v="59"/>
    <x v="1"/>
    <x v="4"/>
    <n v="0"/>
    <n v="59"/>
    <n v="56.935000000000002"/>
    <n v="0"/>
    <n v="3.5000000000000003E-2"/>
    <n v="2.0649999999999977"/>
    <n v="0.01"/>
    <n v="0.56935000000000002"/>
    <n v="0"/>
    <n v="56.365650000000002"/>
    <x v="0"/>
    <s v=""/>
  </r>
  <r>
    <n v="477"/>
    <d v="2026-02-28T00:00:00"/>
    <d v="2026-02-28T00:00:00"/>
    <x v="6"/>
    <s v="STU-442"/>
    <s v="New Customer"/>
    <x v="0"/>
    <x v="2"/>
    <x v="2"/>
    <x v="2"/>
    <n v="29"/>
    <x v="1"/>
    <x v="2"/>
    <n v="0"/>
    <n v="29"/>
    <n v="27.984999999999999"/>
    <n v="0"/>
    <n v="3.5000000000000003E-2"/>
    <n v="1.0150000000000006"/>
    <n v="0.01"/>
    <n v="0.27984999999999971"/>
    <n v="0"/>
    <n v="27.70515"/>
    <x v="1"/>
    <s v=""/>
  </r>
  <r>
    <n v="478"/>
    <d v="2026-07-25T00:00:00"/>
    <d v="2026-07-29T00:00:00"/>
    <x v="2"/>
    <s v="STU-552"/>
    <s v="New Customer"/>
    <x v="0"/>
    <x v="5"/>
    <x v="4"/>
    <x v="2"/>
    <n v="59"/>
    <x v="0"/>
    <x v="3"/>
    <n v="0"/>
    <n v="59"/>
    <n v="57.82"/>
    <n v="57.241799999999998"/>
    <n v="0.02"/>
    <n v="1.1799999999999997"/>
    <n v="0.01"/>
    <n v="0.57820000000000249"/>
    <n v="0"/>
    <n v="0"/>
    <x v="2"/>
    <s v=""/>
  </r>
  <r>
    <n v="479"/>
    <d v="2026-05-15T00:00:00"/>
    <d v="2026-05-19T00:00:00"/>
    <x v="3"/>
    <s v="STU-998"/>
    <s v="New Customer"/>
    <x v="1"/>
    <x v="0"/>
    <x v="4"/>
    <x v="2"/>
    <n v="59"/>
    <x v="1"/>
    <x v="4"/>
    <n v="0"/>
    <n v="59"/>
    <n v="56.935000000000002"/>
    <n v="0"/>
    <n v="3.5000000000000003E-2"/>
    <n v="2.0649999999999977"/>
    <n v="0.01"/>
    <n v="0.56935000000000002"/>
    <n v="0"/>
    <n v="56.365650000000002"/>
    <x v="0"/>
    <s v=""/>
  </r>
  <r>
    <n v="480"/>
    <d v="2026-02-11T00:00:00"/>
    <d v="2026-02-12T00:00:00"/>
    <x v="6"/>
    <s v="STU-195"/>
    <s v="New Customer"/>
    <x v="2"/>
    <x v="7"/>
    <x v="6"/>
    <x v="2"/>
    <n v="29"/>
    <x v="1"/>
    <x v="3"/>
    <n v="0"/>
    <n v="29"/>
    <n v="28.42"/>
    <n v="0"/>
    <n v="0.02"/>
    <n v="0.57999999999999829"/>
    <n v="0.01"/>
    <n v="0.28419999999999845"/>
    <n v="0"/>
    <n v="28.135800000000003"/>
    <x v="2"/>
    <s v=""/>
  </r>
  <r>
    <n v="481"/>
    <d v="2026-06-02T00:00:00"/>
    <d v="2026-06-07T00:00:00"/>
    <x v="1"/>
    <s v="STU-683"/>
    <s v="Returning Customer"/>
    <x v="2"/>
    <x v="5"/>
    <x v="7"/>
    <x v="3"/>
    <n v="99"/>
    <x v="0"/>
    <x v="1"/>
    <n v="0"/>
    <n v="99"/>
    <n v="99"/>
    <n v="98.01"/>
    <n v="0"/>
    <n v="0"/>
    <n v="0.01"/>
    <n v="0.98999999999999488"/>
    <n v="0"/>
    <n v="0"/>
    <x v="2"/>
    <s v=""/>
  </r>
  <r>
    <n v="482"/>
    <d v="2026-07-19T00:00:00"/>
    <d v="2026-07-22T00:00:00"/>
    <x v="2"/>
    <s v="STU-923"/>
    <s v="Returning Customer"/>
    <x v="0"/>
    <x v="5"/>
    <x v="7"/>
    <x v="3"/>
    <n v="99"/>
    <x v="2"/>
    <x v="3"/>
    <n v="0"/>
    <n v="99"/>
    <n v="97.02"/>
    <n v="0"/>
    <n v="0.02"/>
    <n v="1.980000000000004"/>
    <n v="0.01"/>
    <n v="0.9702000000000055"/>
    <n v="96.049799999999991"/>
    <n v="0"/>
    <x v="1"/>
    <s v=""/>
  </r>
  <r>
    <n v="483"/>
    <d v="2026-06-12T00:00:00"/>
    <d v="2026-06-14T00:00:00"/>
    <x v="1"/>
    <s v="STU-247"/>
    <s v="New Customer"/>
    <x v="2"/>
    <x v="0"/>
    <x v="7"/>
    <x v="3"/>
    <n v="99"/>
    <x v="0"/>
    <x v="2"/>
    <n v="0"/>
    <n v="99"/>
    <n v="95.534999999999997"/>
    <n v="94.579650000000001"/>
    <n v="3.5000000000000003E-2"/>
    <n v="3.4650000000000034"/>
    <n v="0.01"/>
    <n v="0.9553499999999957"/>
    <n v="0"/>
    <n v="0"/>
    <x v="2"/>
    <s v=""/>
  </r>
  <r>
    <n v="484"/>
    <d v="2026-03-20T00:00:00"/>
    <d v="2026-03-23T00:00:00"/>
    <x v="0"/>
    <s v="STU-649"/>
    <s v="New Customer"/>
    <x v="0"/>
    <x v="3"/>
    <x v="2"/>
    <x v="2"/>
    <n v="29"/>
    <x v="1"/>
    <x v="0"/>
    <n v="0"/>
    <n v="29"/>
    <n v="28.42"/>
    <n v="0"/>
    <n v="0.02"/>
    <n v="0.57999999999999829"/>
    <n v="0.01"/>
    <n v="0.28419999999999845"/>
    <n v="0"/>
    <n v="28.135800000000003"/>
    <x v="2"/>
    <s v=""/>
  </r>
  <r>
    <n v="485"/>
    <d v="2026-03-22T00:00:00"/>
    <d v="2026-03-24T00:00:00"/>
    <x v="0"/>
    <s v="STU-806"/>
    <s v="Returning Customer"/>
    <x v="1"/>
    <x v="6"/>
    <x v="1"/>
    <x v="1"/>
    <n v="29"/>
    <x v="0"/>
    <x v="1"/>
    <n v="0"/>
    <n v="29"/>
    <n v="29"/>
    <n v="28.71"/>
    <n v="0"/>
    <n v="0"/>
    <n v="0.01"/>
    <n v="0.28999999999999915"/>
    <n v="0"/>
    <n v="0"/>
    <x v="1"/>
    <n v="10"/>
  </r>
  <r>
    <n v="486"/>
    <d v="2026-01-16T00:00:00"/>
    <d v="2026-01-16T00:00:00"/>
    <x v="4"/>
    <s v="STU-559"/>
    <s v="Returning Customer"/>
    <x v="0"/>
    <x v="7"/>
    <x v="7"/>
    <x v="3"/>
    <n v="99"/>
    <x v="1"/>
    <x v="2"/>
    <n v="0"/>
    <n v="99"/>
    <n v="95.534999999999997"/>
    <n v="0"/>
    <n v="3.5000000000000003E-2"/>
    <n v="3.4650000000000034"/>
    <n v="0.01"/>
    <n v="0.9553499999999957"/>
    <n v="0"/>
    <n v="94.579650000000001"/>
    <x v="0"/>
    <s v=""/>
  </r>
  <r>
    <n v="487"/>
    <d v="2026-01-05T00:00:00"/>
    <d v="2026-01-09T00:00:00"/>
    <x v="4"/>
    <s v="STU-797"/>
    <s v="Returning Customer"/>
    <x v="1"/>
    <x v="6"/>
    <x v="5"/>
    <x v="2"/>
    <n v="29"/>
    <x v="0"/>
    <x v="2"/>
    <n v="0"/>
    <n v="29"/>
    <n v="27.984999999999999"/>
    <n v="27.70515"/>
    <n v="3.5000000000000003E-2"/>
    <n v="1.0150000000000006"/>
    <n v="0.01"/>
    <n v="0.27984999999999971"/>
    <n v="0"/>
    <n v="0"/>
    <x v="1"/>
    <s v=""/>
  </r>
  <r>
    <n v="488"/>
    <d v="2026-04-23T00:00:00"/>
    <d v="2026-04-28T00:00:00"/>
    <x v="5"/>
    <s v="STU-6"/>
    <s v="Returning Customer"/>
    <x v="2"/>
    <x v="3"/>
    <x v="5"/>
    <x v="2"/>
    <n v="29"/>
    <x v="1"/>
    <x v="4"/>
    <n v="0"/>
    <n v="29"/>
    <n v="27.984999999999999"/>
    <n v="0"/>
    <n v="3.5000000000000003E-2"/>
    <n v="1.0150000000000006"/>
    <n v="0.01"/>
    <n v="0.27984999999999971"/>
    <n v="0"/>
    <n v="27.70515"/>
    <x v="2"/>
    <s v=""/>
  </r>
  <r>
    <n v="489"/>
    <d v="2026-01-10T00:00:00"/>
    <d v="2026-01-12T00:00:00"/>
    <x v="4"/>
    <s v="STU-647"/>
    <s v="New Customer"/>
    <x v="1"/>
    <x v="5"/>
    <x v="5"/>
    <x v="2"/>
    <n v="29"/>
    <x v="1"/>
    <x v="1"/>
    <n v="0"/>
    <n v="29"/>
    <n v="29"/>
    <n v="0"/>
    <n v="0"/>
    <n v="0"/>
    <n v="0.01"/>
    <n v="0.28999999999999915"/>
    <n v="0"/>
    <n v="28.71"/>
    <x v="1"/>
    <s v=""/>
  </r>
  <r>
    <n v="490"/>
    <d v="2026-04-20T00:00:00"/>
    <d v="2026-04-22T00:00:00"/>
    <x v="5"/>
    <s v="STU-55"/>
    <s v="New Customer"/>
    <x v="1"/>
    <x v="5"/>
    <x v="7"/>
    <x v="3"/>
    <n v="99"/>
    <x v="1"/>
    <x v="2"/>
    <n v="0"/>
    <n v="99"/>
    <n v="95.534999999999997"/>
    <n v="0"/>
    <n v="3.5000000000000003E-2"/>
    <n v="3.4650000000000034"/>
    <n v="0.01"/>
    <n v="0.9553499999999957"/>
    <n v="0"/>
    <n v="94.579650000000001"/>
    <x v="0"/>
    <s v=""/>
  </r>
  <r>
    <n v="491"/>
    <d v="2026-05-14T00:00:00"/>
    <d v="2026-05-16T00:00:00"/>
    <x v="3"/>
    <s v="STU-457"/>
    <s v="New Customer"/>
    <x v="2"/>
    <x v="7"/>
    <x v="1"/>
    <x v="1"/>
    <n v="29"/>
    <x v="1"/>
    <x v="4"/>
    <n v="0"/>
    <n v="29"/>
    <n v="27.984999999999999"/>
    <n v="0"/>
    <n v="3.5000000000000003E-2"/>
    <n v="1.0150000000000006"/>
    <n v="0.01"/>
    <n v="0.27984999999999971"/>
    <n v="0"/>
    <n v="27.70515"/>
    <x v="2"/>
    <s v=""/>
  </r>
  <r>
    <n v="492"/>
    <d v="2026-06-05T00:00:00"/>
    <d v="2026-06-06T00:00:00"/>
    <x v="1"/>
    <s v="STU-802"/>
    <s v="New Customer"/>
    <x v="2"/>
    <x v="0"/>
    <x v="6"/>
    <x v="2"/>
    <n v="29"/>
    <x v="1"/>
    <x v="3"/>
    <n v="0"/>
    <n v="29"/>
    <n v="28.42"/>
    <n v="0"/>
    <n v="0.02"/>
    <n v="0.57999999999999829"/>
    <n v="0.01"/>
    <n v="0.28419999999999845"/>
    <n v="0"/>
    <n v="28.135800000000003"/>
    <x v="2"/>
    <s v=""/>
  </r>
  <r>
    <n v="493"/>
    <d v="2026-02-06T00:00:00"/>
    <d v="2026-02-06T00:00:00"/>
    <x v="6"/>
    <s v="STU-210"/>
    <s v="New Customer"/>
    <x v="2"/>
    <x v="2"/>
    <x v="2"/>
    <x v="2"/>
    <n v="29"/>
    <x v="0"/>
    <x v="1"/>
    <n v="0"/>
    <n v="29"/>
    <n v="29"/>
    <n v="28.71"/>
    <n v="0"/>
    <n v="0"/>
    <n v="0.01"/>
    <n v="0.28999999999999915"/>
    <n v="0"/>
    <n v="0"/>
    <x v="1"/>
    <s v=""/>
  </r>
  <r>
    <n v="494"/>
    <d v="2026-02-27T00:00:00"/>
    <d v="2026-03-04T00:00:00"/>
    <x v="0"/>
    <s v="STU-325"/>
    <s v="New Customer"/>
    <x v="1"/>
    <x v="0"/>
    <x v="2"/>
    <x v="2"/>
    <n v="29"/>
    <x v="0"/>
    <x v="0"/>
    <n v="0"/>
    <n v="29"/>
    <n v="28.42"/>
    <n v="28.135800000000003"/>
    <n v="0.02"/>
    <n v="0.57999999999999829"/>
    <n v="0.01"/>
    <n v="0.28419999999999845"/>
    <n v="0"/>
    <n v="0"/>
    <x v="0"/>
    <s v=""/>
  </r>
  <r>
    <n v="495"/>
    <d v="2026-04-20T00:00:00"/>
    <d v="2026-04-24T00:00:00"/>
    <x v="5"/>
    <s v="STU-223"/>
    <s v="Returning Customer"/>
    <x v="0"/>
    <x v="5"/>
    <x v="3"/>
    <x v="3"/>
    <n v="59"/>
    <x v="1"/>
    <x v="1"/>
    <n v="0"/>
    <n v="59"/>
    <n v="59"/>
    <n v="0"/>
    <n v="0"/>
    <n v="0"/>
    <n v="0.01"/>
    <n v="0.59000000000000341"/>
    <n v="0"/>
    <n v="58.41"/>
    <x v="2"/>
    <n v="10"/>
  </r>
  <r>
    <n v="496"/>
    <d v="2026-03-26T00:00:00"/>
    <d v="2026-03-27T00:00:00"/>
    <x v="0"/>
    <s v="STU-164"/>
    <s v="New Customer"/>
    <x v="2"/>
    <x v="2"/>
    <x v="5"/>
    <x v="2"/>
    <n v="29"/>
    <x v="1"/>
    <x v="4"/>
    <n v="0"/>
    <n v="29"/>
    <n v="27.984999999999999"/>
    <n v="0"/>
    <n v="3.5000000000000003E-2"/>
    <n v="1.0150000000000006"/>
    <n v="0.01"/>
    <n v="0.27984999999999971"/>
    <n v="0"/>
    <n v="27.70515"/>
    <x v="1"/>
    <s v=""/>
  </r>
  <r>
    <n v="497"/>
    <d v="2026-05-17T00:00:00"/>
    <d v="2026-05-22T00:00:00"/>
    <x v="3"/>
    <s v="STU-398"/>
    <s v="Returning Customer"/>
    <x v="1"/>
    <x v="4"/>
    <x v="0"/>
    <x v="0"/>
    <n v="59"/>
    <x v="0"/>
    <x v="4"/>
    <n v="0"/>
    <n v="59"/>
    <n v="56.935000000000002"/>
    <n v="56.365650000000002"/>
    <n v="3.5000000000000003E-2"/>
    <n v="2.0649999999999977"/>
    <n v="0.01"/>
    <n v="0.56935000000000002"/>
    <n v="0"/>
    <n v="0"/>
    <x v="0"/>
    <s v=""/>
  </r>
  <r>
    <n v="498"/>
    <d v="2026-02-09T00:00:00"/>
    <d v="2026-02-10T00:00:00"/>
    <x v="6"/>
    <s v="STU-910"/>
    <s v="New Customer"/>
    <x v="1"/>
    <x v="2"/>
    <x v="3"/>
    <x v="3"/>
    <n v="59"/>
    <x v="0"/>
    <x v="0"/>
    <n v="0"/>
    <n v="59"/>
    <n v="57.82"/>
    <n v="57.241799999999998"/>
    <n v="0.02"/>
    <n v="1.1799999999999997"/>
    <n v="0.01"/>
    <n v="0.57820000000000249"/>
    <n v="0"/>
    <n v="0"/>
    <x v="2"/>
    <s v=""/>
  </r>
  <r>
    <n v="499"/>
    <d v="2026-04-28T00:00:00"/>
    <d v="2026-04-28T00:00:00"/>
    <x v="5"/>
    <s v="STU-744"/>
    <s v="Returning Customer"/>
    <x v="0"/>
    <x v="7"/>
    <x v="0"/>
    <x v="0"/>
    <n v="59"/>
    <x v="2"/>
    <x v="0"/>
    <n v="0"/>
    <n v="59"/>
    <n v="57.82"/>
    <n v="0"/>
    <n v="0.02"/>
    <n v="1.1799999999999997"/>
    <n v="0.01"/>
    <n v="0.57820000000000249"/>
    <n v="57.241799999999998"/>
    <n v="0"/>
    <x v="1"/>
    <s v=""/>
  </r>
  <r>
    <n v="500"/>
    <d v="2026-07-05T00:00:00"/>
    <d v="2026-07-05T00:00:00"/>
    <x v="2"/>
    <s v="STU-646"/>
    <s v="New Customer"/>
    <x v="1"/>
    <x v="2"/>
    <x v="6"/>
    <x v="2"/>
    <n v="29"/>
    <x v="1"/>
    <x v="0"/>
    <n v="0"/>
    <n v="29"/>
    <n v="28.42"/>
    <n v="0"/>
    <n v="0.02"/>
    <n v="0.57999999999999829"/>
    <n v="0.01"/>
    <n v="0.28419999999999845"/>
    <n v="0"/>
    <n v="28.135800000000003"/>
    <x v="0"/>
    <s v=""/>
  </r>
  <r>
    <n v="501"/>
    <d v="2026-06-04T00:00:00"/>
    <d v="2026-06-04T00:00:00"/>
    <x v="1"/>
    <s v="STU-128"/>
    <s v="New Customer"/>
    <x v="2"/>
    <x v="5"/>
    <x v="2"/>
    <x v="2"/>
    <n v="29"/>
    <x v="1"/>
    <x v="3"/>
    <n v="0"/>
    <n v="29"/>
    <n v="28.42"/>
    <n v="0"/>
    <n v="0.02"/>
    <n v="0.57999999999999829"/>
    <n v="0.01"/>
    <n v="0.28419999999999845"/>
    <n v="0"/>
    <n v="28.135800000000003"/>
    <x v="2"/>
    <s v=""/>
  </r>
  <r>
    <n v="502"/>
    <d v="2026-05-26T00:00:00"/>
    <d v="2026-05-26T00:00:00"/>
    <x v="3"/>
    <s v="STU-19"/>
    <s v="Returning Customer"/>
    <x v="0"/>
    <x v="4"/>
    <x v="1"/>
    <x v="1"/>
    <n v="29"/>
    <x v="2"/>
    <x v="4"/>
    <n v="0"/>
    <n v="29"/>
    <n v="27.984999999999999"/>
    <n v="0"/>
    <n v="3.5000000000000003E-2"/>
    <n v="1.0150000000000006"/>
    <n v="0.01"/>
    <n v="0.27984999999999971"/>
    <n v="27.70515"/>
    <n v="0"/>
    <x v="1"/>
    <s v=""/>
  </r>
  <r>
    <n v="503"/>
    <d v="2026-01-23T00:00:00"/>
    <d v="2026-01-23T00:00:00"/>
    <x v="4"/>
    <s v="STU-351"/>
    <s v="Returning Customer"/>
    <x v="1"/>
    <x v="2"/>
    <x v="6"/>
    <x v="2"/>
    <n v="29"/>
    <x v="1"/>
    <x v="2"/>
    <n v="0"/>
    <n v="29"/>
    <n v="27.984999999999999"/>
    <n v="0"/>
    <n v="3.5000000000000003E-2"/>
    <n v="1.0150000000000006"/>
    <n v="0.01"/>
    <n v="0.27984999999999971"/>
    <n v="0"/>
    <n v="27.70515"/>
    <x v="2"/>
    <n v="10"/>
  </r>
  <r>
    <n v="504"/>
    <d v="2026-01-03T00:00:00"/>
    <d v="2026-01-04T00:00:00"/>
    <x v="4"/>
    <s v="STU-818"/>
    <s v="Returning Customer"/>
    <x v="2"/>
    <x v="7"/>
    <x v="7"/>
    <x v="3"/>
    <n v="99"/>
    <x v="1"/>
    <x v="2"/>
    <n v="0"/>
    <n v="99"/>
    <n v="95.534999999999997"/>
    <n v="0"/>
    <n v="3.5000000000000003E-2"/>
    <n v="3.4650000000000034"/>
    <n v="0.01"/>
    <n v="0.9553499999999957"/>
    <n v="0"/>
    <n v="94.579650000000001"/>
    <x v="1"/>
    <s v=""/>
  </r>
  <r>
    <n v="505"/>
    <d v="2026-06-16T00:00:00"/>
    <d v="2026-06-17T00:00:00"/>
    <x v="1"/>
    <s v="STU-654"/>
    <s v="New Customer"/>
    <x v="1"/>
    <x v="4"/>
    <x v="1"/>
    <x v="1"/>
    <n v="29"/>
    <x v="1"/>
    <x v="4"/>
    <n v="0"/>
    <n v="29"/>
    <n v="27.984999999999999"/>
    <n v="0"/>
    <n v="3.5000000000000003E-2"/>
    <n v="1.0150000000000006"/>
    <n v="0.01"/>
    <n v="0.27984999999999971"/>
    <n v="0"/>
    <n v="27.70515"/>
    <x v="0"/>
    <n v="10"/>
  </r>
  <r>
    <n v="506"/>
    <d v="2026-07-06T00:00:00"/>
    <d v="2026-07-09T00:00:00"/>
    <x v="2"/>
    <s v="STU-147"/>
    <s v="New Customer"/>
    <x v="0"/>
    <x v="6"/>
    <x v="1"/>
    <x v="1"/>
    <n v="29"/>
    <x v="1"/>
    <x v="1"/>
    <n v="0"/>
    <n v="29"/>
    <n v="29"/>
    <n v="0"/>
    <n v="0"/>
    <n v="0"/>
    <n v="0.01"/>
    <n v="0.28999999999999915"/>
    <n v="0"/>
    <n v="28.71"/>
    <x v="2"/>
    <s v=""/>
  </r>
  <r>
    <n v="507"/>
    <d v="2026-01-28T00:00:00"/>
    <d v="2026-02-02T00:00:00"/>
    <x v="6"/>
    <s v="STU-454"/>
    <s v="New Customer"/>
    <x v="2"/>
    <x v="7"/>
    <x v="7"/>
    <x v="3"/>
    <n v="99"/>
    <x v="1"/>
    <x v="3"/>
    <n v="0"/>
    <n v="99"/>
    <n v="97.02"/>
    <n v="0"/>
    <n v="0.02"/>
    <n v="1.980000000000004"/>
    <n v="0.01"/>
    <n v="0.9702000000000055"/>
    <n v="0"/>
    <n v="96.049799999999991"/>
    <x v="0"/>
    <n v="10"/>
  </r>
  <r>
    <n v="508"/>
    <d v="2026-04-26T00:00:00"/>
    <d v="2026-05-01T00:00:00"/>
    <x v="3"/>
    <s v="STU-309"/>
    <s v="New Customer"/>
    <x v="1"/>
    <x v="0"/>
    <x v="4"/>
    <x v="2"/>
    <n v="59"/>
    <x v="1"/>
    <x v="2"/>
    <n v="0"/>
    <n v="59"/>
    <n v="56.935000000000002"/>
    <n v="0"/>
    <n v="3.5000000000000003E-2"/>
    <n v="2.0649999999999977"/>
    <n v="0.01"/>
    <n v="0.56935000000000002"/>
    <n v="0"/>
    <n v="56.365650000000002"/>
    <x v="0"/>
    <s v=""/>
  </r>
  <r>
    <n v="509"/>
    <d v="2026-04-11T00:00:00"/>
    <d v="2026-04-14T00:00:00"/>
    <x v="5"/>
    <s v="STU-963"/>
    <s v="New Customer"/>
    <x v="0"/>
    <x v="7"/>
    <x v="7"/>
    <x v="3"/>
    <n v="99"/>
    <x v="1"/>
    <x v="3"/>
    <n v="0"/>
    <n v="99"/>
    <n v="97.02"/>
    <n v="0"/>
    <n v="0.02"/>
    <n v="1.980000000000004"/>
    <n v="0.01"/>
    <n v="0.9702000000000055"/>
    <n v="0"/>
    <n v="96.049799999999991"/>
    <x v="1"/>
    <s v=""/>
  </r>
  <r>
    <n v="510"/>
    <d v="2026-01-24T00:00:00"/>
    <d v="2026-01-28T00:00:00"/>
    <x v="4"/>
    <s v="STU-685"/>
    <s v="New Customer"/>
    <x v="2"/>
    <x v="1"/>
    <x v="7"/>
    <x v="3"/>
    <n v="99"/>
    <x v="0"/>
    <x v="4"/>
    <n v="0"/>
    <n v="99"/>
    <n v="95.534999999999997"/>
    <n v="94.579650000000001"/>
    <n v="3.5000000000000003E-2"/>
    <n v="3.4650000000000034"/>
    <n v="0.01"/>
    <n v="0.9553499999999957"/>
    <n v="0"/>
    <n v="0"/>
    <x v="2"/>
    <n v="10"/>
  </r>
  <r>
    <n v="511"/>
    <d v="2026-06-24T00:00:00"/>
    <d v="2026-06-26T00:00:00"/>
    <x v="1"/>
    <s v="STU-786"/>
    <s v="New Customer"/>
    <x v="1"/>
    <x v="3"/>
    <x v="7"/>
    <x v="3"/>
    <n v="99"/>
    <x v="2"/>
    <x v="0"/>
    <n v="0"/>
    <n v="99"/>
    <n v="97.02"/>
    <n v="0"/>
    <n v="0.02"/>
    <n v="1.980000000000004"/>
    <n v="0.01"/>
    <n v="0.9702000000000055"/>
    <n v="96.049799999999991"/>
    <n v="0"/>
    <x v="1"/>
    <s v=""/>
  </r>
  <r>
    <n v="512"/>
    <d v="2026-01-22T00:00:00"/>
    <d v="2026-01-26T00:00:00"/>
    <x v="4"/>
    <s v="STU-900"/>
    <s v="New Customer"/>
    <x v="1"/>
    <x v="3"/>
    <x v="0"/>
    <x v="0"/>
    <n v="59"/>
    <x v="1"/>
    <x v="2"/>
    <n v="0"/>
    <n v="59"/>
    <n v="56.935000000000002"/>
    <n v="0"/>
    <n v="3.5000000000000003E-2"/>
    <n v="2.0649999999999977"/>
    <n v="0.01"/>
    <n v="0.56935000000000002"/>
    <n v="0"/>
    <n v="56.365650000000002"/>
    <x v="2"/>
    <s v=""/>
  </r>
  <r>
    <n v="513"/>
    <d v="2026-06-27T00:00:00"/>
    <d v="2026-06-30T00:00:00"/>
    <x v="1"/>
    <s v="STU-126"/>
    <s v="Returning Customer"/>
    <x v="1"/>
    <x v="3"/>
    <x v="1"/>
    <x v="1"/>
    <n v="29"/>
    <x v="0"/>
    <x v="4"/>
    <n v="0"/>
    <n v="29"/>
    <n v="27.984999999999999"/>
    <n v="27.70515"/>
    <n v="3.5000000000000003E-2"/>
    <n v="1.0150000000000006"/>
    <n v="0.01"/>
    <n v="0.27984999999999971"/>
    <n v="0"/>
    <n v="0"/>
    <x v="1"/>
    <s v=""/>
  </r>
  <r>
    <n v="514"/>
    <d v="2026-03-08T00:00:00"/>
    <d v="2026-03-09T00:00:00"/>
    <x v="0"/>
    <s v="STU-633"/>
    <s v="New Customer"/>
    <x v="0"/>
    <x v="0"/>
    <x v="5"/>
    <x v="2"/>
    <n v="29"/>
    <x v="1"/>
    <x v="3"/>
    <n v="0"/>
    <n v="29"/>
    <n v="28.42"/>
    <n v="0"/>
    <n v="0.02"/>
    <n v="0.57999999999999829"/>
    <n v="0.01"/>
    <n v="0.28419999999999845"/>
    <n v="0"/>
    <n v="28.135800000000003"/>
    <x v="2"/>
    <s v=""/>
  </r>
  <r>
    <n v="515"/>
    <d v="2026-04-24T00:00:00"/>
    <d v="2026-04-29T00:00:00"/>
    <x v="5"/>
    <s v="STU-964"/>
    <s v="New Customer"/>
    <x v="2"/>
    <x v="0"/>
    <x v="3"/>
    <x v="3"/>
    <n v="59"/>
    <x v="1"/>
    <x v="4"/>
    <n v="0"/>
    <n v="59"/>
    <n v="56.935000000000002"/>
    <n v="0"/>
    <n v="3.5000000000000003E-2"/>
    <n v="2.0649999999999977"/>
    <n v="0.01"/>
    <n v="0.56935000000000002"/>
    <n v="0"/>
    <n v="56.365650000000002"/>
    <x v="0"/>
    <s v=""/>
  </r>
  <r>
    <n v="516"/>
    <d v="2026-07-10T00:00:00"/>
    <d v="2026-07-10T00:00:00"/>
    <x v="2"/>
    <s v="STU-675"/>
    <s v="New Customer"/>
    <x v="0"/>
    <x v="7"/>
    <x v="0"/>
    <x v="0"/>
    <n v="59"/>
    <x v="0"/>
    <x v="3"/>
    <n v="0"/>
    <n v="59"/>
    <n v="57.82"/>
    <n v="57.241799999999998"/>
    <n v="0.02"/>
    <n v="1.1799999999999997"/>
    <n v="0.01"/>
    <n v="0.57820000000000249"/>
    <n v="0"/>
    <n v="0"/>
    <x v="0"/>
    <s v=""/>
  </r>
  <r>
    <n v="517"/>
    <d v="2026-02-26T00:00:00"/>
    <d v="2026-03-03T00:00:00"/>
    <x v="0"/>
    <s v="STU-151"/>
    <s v="Returning Customer"/>
    <x v="0"/>
    <x v="2"/>
    <x v="2"/>
    <x v="2"/>
    <n v="29"/>
    <x v="1"/>
    <x v="0"/>
    <n v="0"/>
    <n v="29"/>
    <n v="28.42"/>
    <n v="0"/>
    <n v="0.02"/>
    <n v="0.57999999999999829"/>
    <n v="0.01"/>
    <n v="0.28419999999999845"/>
    <n v="0"/>
    <n v="28.135800000000003"/>
    <x v="0"/>
    <s v=""/>
  </r>
  <r>
    <n v="518"/>
    <d v="2026-04-01T00:00:00"/>
    <d v="2026-04-01T00:00:00"/>
    <x v="5"/>
    <s v="STU-800"/>
    <s v="Returning Customer"/>
    <x v="0"/>
    <x v="6"/>
    <x v="1"/>
    <x v="1"/>
    <n v="29"/>
    <x v="1"/>
    <x v="1"/>
    <n v="0"/>
    <n v="29"/>
    <n v="29"/>
    <n v="0"/>
    <n v="0"/>
    <n v="0"/>
    <n v="0.01"/>
    <n v="0.28999999999999915"/>
    <n v="0"/>
    <n v="28.71"/>
    <x v="0"/>
    <s v=""/>
  </r>
  <r>
    <n v="519"/>
    <d v="2026-05-14T00:00:00"/>
    <d v="2026-05-17T00:00:00"/>
    <x v="3"/>
    <s v="STU-887"/>
    <s v="New Customer"/>
    <x v="0"/>
    <x v="4"/>
    <x v="0"/>
    <x v="0"/>
    <n v="59"/>
    <x v="1"/>
    <x v="0"/>
    <n v="0"/>
    <n v="59"/>
    <n v="57.82"/>
    <n v="0"/>
    <n v="0.02"/>
    <n v="1.1799999999999997"/>
    <n v="0.01"/>
    <n v="0.57820000000000249"/>
    <n v="0"/>
    <n v="57.241799999999998"/>
    <x v="1"/>
    <s v=""/>
  </r>
  <r>
    <n v="520"/>
    <d v="2026-03-19T00:00:00"/>
    <d v="2026-03-19T00:00:00"/>
    <x v="0"/>
    <s v="STU-619"/>
    <s v="Returning Customer"/>
    <x v="1"/>
    <x v="3"/>
    <x v="3"/>
    <x v="3"/>
    <n v="59"/>
    <x v="1"/>
    <x v="0"/>
    <n v="0"/>
    <n v="59"/>
    <n v="57.82"/>
    <n v="0"/>
    <n v="0.02"/>
    <n v="1.1799999999999997"/>
    <n v="0.01"/>
    <n v="0.57820000000000249"/>
    <n v="0"/>
    <n v="57.241799999999998"/>
    <x v="0"/>
    <s v=""/>
  </r>
  <r>
    <n v="521"/>
    <d v="2026-01-05T00:00:00"/>
    <d v="2026-01-08T00:00:00"/>
    <x v="4"/>
    <s v="STU-973"/>
    <s v="New Customer"/>
    <x v="0"/>
    <x v="0"/>
    <x v="7"/>
    <x v="3"/>
    <n v="99"/>
    <x v="1"/>
    <x v="4"/>
    <n v="0"/>
    <n v="99"/>
    <n v="95.534999999999997"/>
    <n v="0"/>
    <n v="3.5000000000000003E-2"/>
    <n v="3.4650000000000034"/>
    <n v="0.01"/>
    <n v="0.9553499999999957"/>
    <n v="0"/>
    <n v="94.579650000000001"/>
    <x v="2"/>
    <n v="10"/>
  </r>
  <r>
    <n v="522"/>
    <d v="2026-04-29T00:00:00"/>
    <d v="2026-04-30T00:00:00"/>
    <x v="5"/>
    <s v="STU-850"/>
    <s v="New Customer"/>
    <x v="0"/>
    <x v="7"/>
    <x v="0"/>
    <x v="0"/>
    <n v="59"/>
    <x v="1"/>
    <x v="3"/>
    <n v="0"/>
    <n v="59"/>
    <n v="57.82"/>
    <n v="0"/>
    <n v="0.02"/>
    <n v="1.1799999999999997"/>
    <n v="0.01"/>
    <n v="0.57820000000000249"/>
    <n v="0"/>
    <n v="57.241799999999998"/>
    <x v="1"/>
    <s v=""/>
  </r>
  <r>
    <n v="523"/>
    <d v="2026-01-05T00:00:00"/>
    <d v="2026-01-05T00:00:00"/>
    <x v="4"/>
    <s v="STU-855"/>
    <s v="New Customer"/>
    <x v="0"/>
    <x v="2"/>
    <x v="5"/>
    <x v="2"/>
    <n v="29"/>
    <x v="1"/>
    <x v="3"/>
    <n v="0"/>
    <n v="29"/>
    <n v="28.42"/>
    <n v="0"/>
    <n v="0.02"/>
    <n v="0.57999999999999829"/>
    <n v="0.01"/>
    <n v="0.28419999999999845"/>
    <n v="0"/>
    <n v="28.135800000000003"/>
    <x v="0"/>
    <s v=""/>
  </r>
  <r>
    <n v="524"/>
    <d v="2026-04-16T00:00:00"/>
    <d v="2026-04-21T00:00:00"/>
    <x v="5"/>
    <s v="STU-328"/>
    <s v="New Customer"/>
    <x v="2"/>
    <x v="4"/>
    <x v="3"/>
    <x v="3"/>
    <n v="59"/>
    <x v="1"/>
    <x v="3"/>
    <n v="0"/>
    <n v="59"/>
    <n v="57.82"/>
    <n v="0"/>
    <n v="0.02"/>
    <n v="1.1799999999999997"/>
    <n v="0.01"/>
    <n v="0.57820000000000249"/>
    <n v="0"/>
    <n v="57.241799999999998"/>
    <x v="2"/>
    <s v=""/>
  </r>
  <r>
    <n v="525"/>
    <d v="2026-06-14T00:00:00"/>
    <d v="2026-06-19T00:00:00"/>
    <x v="1"/>
    <s v="STU-748"/>
    <s v="New Customer"/>
    <x v="0"/>
    <x v="5"/>
    <x v="5"/>
    <x v="2"/>
    <n v="29"/>
    <x v="0"/>
    <x v="0"/>
    <n v="0"/>
    <n v="29"/>
    <n v="28.42"/>
    <n v="28.135800000000003"/>
    <n v="0.02"/>
    <n v="0.57999999999999829"/>
    <n v="0.01"/>
    <n v="0.28419999999999845"/>
    <n v="0"/>
    <n v="0"/>
    <x v="1"/>
    <s v=""/>
  </r>
  <r>
    <n v="526"/>
    <d v="2026-07-05T00:00:00"/>
    <d v="2026-07-10T00:00:00"/>
    <x v="2"/>
    <s v="STU-638"/>
    <s v="Returning Customer"/>
    <x v="2"/>
    <x v="2"/>
    <x v="3"/>
    <x v="3"/>
    <n v="59"/>
    <x v="1"/>
    <x v="0"/>
    <n v="0"/>
    <n v="59"/>
    <n v="57.82"/>
    <n v="0"/>
    <n v="0.02"/>
    <n v="1.1799999999999997"/>
    <n v="0.01"/>
    <n v="0.57820000000000249"/>
    <n v="0"/>
    <n v="57.241799999999998"/>
    <x v="2"/>
    <s v=""/>
  </r>
  <r>
    <n v="527"/>
    <d v="2026-03-28T00:00:00"/>
    <d v="2026-04-02T00:00:00"/>
    <x v="5"/>
    <s v="STU-172"/>
    <s v="New Customer"/>
    <x v="1"/>
    <x v="7"/>
    <x v="7"/>
    <x v="3"/>
    <n v="99"/>
    <x v="1"/>
    <x v="2"/>
    <n v="0"/>
    <n v="99"/>
    <n v="95.534999999999997"/>
    <n v="0"/>
    <n v="3.5000000000000003E-2"/>
    <n v="3.4650000000000034"/>
    <n v="0.01"/>
    <n v="0.9553499999999957"/>
    <n v="0"/>
    <n v="94.579650000000001"/>
    <x v="1"/>
    <s v=""/>
  </r>
  <r>
    <n v="528"/>
    <d v="2026-03-19T00:00:00"/>
    <d v="2026-03-20T00:00:00"/>
    <x v="0"/>
    <s v="STU-439"/>
    <s v="New Customer"/>
    <x v="0"/>
    <x v="3"/>
    <x v="4"/>
    <x v="2"/>
    <n v="59"/>
    <x v="1"/>
    <x v="2"/>
    <n v="0"/>
    <n v="59"/>
    <n v="56.935000000000002"/>
    <n v="0"/>
    <n v="3.5000000000000003E-2"/>
    <n v="2.0649999999999977"/>
    <n v="0.01"/>
    <n v="0.56935000000000002"/>
    <n v="0"/>
    <n v="56.365650000000002"/>
    <x v="0"/>
    <s v=""/>
  </r>
  <r>
    <n v="529"/>
    <d v="2026-05-09T00:00:00"/>
    <d v="2026-05-13T00:00:00"/>
    <x v="3"/>
    <s v="STU-975"/>
    <s v="New Customer"/>
    <x v="2"/>
    <x v="4"/>
    <x v="4"/>
    <x v="2"/>
    <n v="59"/>
    <x v="0"/>
    <x v="2"/>
    <n v="0"/>
    <n v="59"/>
    <n v="56.935000000000002"/>
    <n v="56.365650000000002"/>
    <n v="3.5000000000000003E-2"/>
    <n v="2.0649999999999977"/>
    <n v="0.01"/>
    <n v="0.56935000000000002"/>
    <n v="0"/>
    <n v="0"/>
    <x v="0"/>
    <n v="10"/>
  </r>
  <r>
    <n v="530"/>
    <d v="2026-03-20T00:00:00"/>
    <d v="2026-03-21T00:00:00"/>
    <x v="0"/>
    <s v="STU-402"/>
    <s v="New Customer"/>
    <x v="2"/>
    <x v="3"/>
    <x v="6"/>
    <x v="2"/>
    <n v="29"/>
    <x v="1"/>
    <x v="3"/>
    <n v="0"/>
    <n v="29"/>
    <n v="28.42"/>
    <n v="0"/>
    <n v="0.02"/>
    <n v="0.57999999999999829"/>
    <n v="0.01"/>
    <n v="0.28419999999999845"/>
    <n v="0"/>
    <n v="28.135800000000003"/>
    <x v="0"/>
    <s v=""/>
  </r>
  <r>
    <n v="531"/>
    <d v="2026-05-20T00:00:00"/>
    <d v="2026-05-20T00:00:00"/>
    <x v="3"/>
    <s v="STU-8"/>
    <s v="Returning Customer"/>
    <x v="0"/>
    <x v="5"/>
    <x v="3"/>
    <x v="3"/>
    <n v="59"/>
    <x v="0"/>
    <x v="2"/>
    <n v="0"/>
    <n v="59"/>
    <n v="56.935000000000002"/>
    <n v="56.365650000000002"/>
    <n v="3.5000000000000003E-2"/>
    <n v="2.0649999999999977"/>
    <n v="0.01"/>
    <n v="0.56935000000000002"/>
    <n v="0"/>
    <n v="0"/>
    <x v="0"/>
    <s v=""/>
  </r>
  <r>
    <n v="532"/>
    <d v="2026-06-30T00:00:00"/>
    <d v="2026-07-02T00:00:00"/>
    <x v="2"/>
    <s v="STU-521"/>
    <s v="New Customer"/>
    <x v="0"/>
    <x v="2"/>
    <x v="4"/>
    <x v="2"/>
    <n v="59"/>
    <x v="0"/>
    <x v="0"/>
    <n v="0"/>
    <n v="59"/>
    <n v="57.82"/>
    <n v="57.241799999999998"/>
    <n v="0.02"/>
    <n v="1.1799999999999997"/>
    <n v="0.01"/>
    <n v="0.57820000000000249"/>
    <n v="0"/>
    <n v="0"/>
    <x v="1"/>
    <s v=""/>
  </r>
  <r>
    <n v="533"/>
    <d v="2026-07-11T00:00:00"/>
    <d v="2026-07-12T00:00:00"/>
    <x v="2"/>
    <s v="STU-612"/>
    <s v="Returning Customer"/>
    <x v="2"/>
    <x v="5"/>
    <x v="1"/>
    <x v="1"/>
    <n v="29"/>
    <x v="1"/>
    <x v="1"/>
    <n v="0"/>
    <n v="29"/>
    <n v="29"/>
    <n v="0"/>
    <n v="0"/>
    <n v="0"/>
    <n v="0.01"/>
    <n v="0.28999999999999915"/>
    <n v="0"/>
    <n v="28.71"/>
    <x v="1"/>
    <s v=""/>
  </r>
  <r>
    <n v="534"/>
    <d v="2026-03-09T00:00:00"/>
    <d v="2026-03-11T00:00:00"/>
    <x v="0"/>
    <s v="STU-534"/>
    <s v="New Customer"/>
    <x v="2"/>
    <x v="7"/>
    <x v="4"/>
    <x v="2"/>
    <n v="59"/>
    <x v="0"/>
    <x v="1"/>
    <n v="0"/>
    <n v="59"/>
    <n v="59"/>
    <n v="58.41"/>
    <n v="0"/>
    <n v="0"/>
    <n v="0.01"/>
    <n v="0.59000000000000341"/>
    <n v="0"/>
    <n v="0"/>
    <x v="1"/>
    <n v="10"/>
  </r>
  <r>
    <n v="535"/>
    <d v="2026-01-28T00:00:00"/>
    <d v="2026-02-02T00:00:00"/>
    <x v="6"/>
    <s v="STU-140"/>
    <s v="Returning Customer"/>
    <x v="0"/>
    <x v="7"/>
    <x v="4"/>
    <x v="2"/>
    <n v="59"/>
    <x v="0"/>
    <x v="1"/>
    <n v="0"/>
    <n v="59"/>
    <n v="59"/>
    <n v="58.41"/>
    <n v="0"/>
    <n v="0"/>
    <n v="0.01"/>
    <n v="0.59000000000000341"/>
    <n v="0"/>
    <n v="0"/>
    <x v="2"/>
    <s v=""/>
  </r>
  <r>
    <n v="536"/>
    <d v="2026-01-20T00:00:00"/>
    <d v="2026-01-20T00:00:00"/>
    <x v="4"/>
    <s v="STU-141"/>
    <s v="New Customer"/>
    <x v="1"/>
    <x v="6"/>
    <x v="4"/>
    <x v="2"/>
    <n v="59"/>
    <x v="0"/>
    <x v="2"/>
    <n v="0"/>
    <n v="59"/>
    <n v="56.935000000000002"/>
    <n v="56.365650000000002"/>
    <n v="3.5000000000000003E-2"/>
    <n v="2.0649999999999977"/>
    <n v="0.01"/>
    <n v="0.56935000000000002"/>
    <n v="0"/>
    <n v="0"/>
    <x v="2"/>
    <s v=""/>
  </r>
  <r>
    <n v="537"/>
    <d v="2026-01-08T00:00:00"/>
    <d v="2026-01-09T00:00:00"/>
    <x v="4"/>
    <s v="STU-15"/>
    <s v="New Customer"/>
    <x v="2"/>
    <x v="7"/>
    <x v="4"/>
    <x v="2"/>
    <n v="59"/>
    <x v="0"/>
    <x v="4"/>
    <n v="0"/>
    <n v="59"/>
    <n v="56.935000000000002"/>
    <n v="56.365650000000002"/>
    <n v="3.5000000000000003E-2"/>
    <n v="2.0649999999999977"/>
    <n v="0.01"/>
    <n v="0.56935000000000002"/>
    <n v="0"/>
    <n v="0"/>
    <x v="1"/>
    <s v=""/>
  </r>
  <r>
    <n v="538"/>
    <d v="2026-06-01T00:00:00"/>
    <d v="2026-06-03T00:00:00"/>
    <x v="1"/>
    <s v="STU-380"/>
    <s v="New Customer"/>
    <x v="0"/>
    <x v="4"/>
    <x v="5"/>
    <x v="2"/>
    <n v="29"/>
    <x v="0"/>
    <x v="3"/>
    <n v="0"/>
    <n v="29"/>
    <n v="28.42"/>
    <n v="28.135800000000003"/>
    <n v="0.02"/>
    <n v="0.57999999999999829"/>
    <n v="0.01"/>
    <n v="0.28419999999999845"/>
    <n v="0"/>
    <n v="0"/>
    <x v="0"/>
    <s v=""/>
  </r>
  <r>
    <n v="539"/>
    <d v="2026-07-10T00:00:00"/>
    <d v="2026-07-13T00:00:00"/>
    <x v="2"/>
    <s v="STU-28"/>
    <s v="New Customer"/>
    <x v="2"/>
    <x v="0"/>
    <x v="4"/>
    <x v="2"/>
    <n v="59"/>
    <x v="1"/>
    <x v="4"/>
    <n v="0"/>
    <n v="59"/>
    <n v="56.935000000000002"/>
    <n v="0"/>
    <n v="3.5000000000000003E-2"/>
    <n v="2.0649999999999977"/>
    <n v="0.01"/>
    <n v="0.56935000000000002"/>
    <n v="0"/>
    <n v="56.365650000000002"/>
    <x v="2"/>
    <s v=""/>
  </r>
  <r>
    <n v="540"/>
    <d v="2026-05-11T00:00:00"/>
    <d v="2026-05-14T00:00:00"/>
    <x v="3"/>
    <s v="STU-130"/>
    <s v="New Customer"/>
    <x v="1"/>
    <x v="2"/>
    <x v="4"/>
    <x v="2"/>
    <n v="59"/>
    <x v="0"/>
    <x v="0"/>
    <n v="0"/>
    <n v="59"/>
    <n v="57.82"/>
    <n v="57.241799999999998"/>
    <n v="0.02"/>
    <n v="1.1799999999999997"/>
    <n v="0.01"/>
    <n v="0.57820000000000249"/>
    <n v="0"/>
    <n v="0"/>
    <x v="0"/>
    <s v=""/>
  </r>
  <r>
    <n v="541"/>
    <d v="2026-06-01T00:00:00"/>
    <d v="2026-06-05T00:00:00"/>
    <x v="1"/>
    <s v="STU-35"/>
    <s v="Returning Customer"/>
    <x v="0"/>
    <x v="7"/>
    <x v="1"/>
    <x v="1"/>
    <n v="29"/>
    <x v="1"/>
    <x v="1"/>
    <n v="0"/>
    <n v="29"/>
    <n v="29"/>
    <n v="0"/>
    <n v="0"/>
    <n v="0"/>
    <n v="0.01"/>
    <n v="0.28999999999999915"/>
    <n v="0"/>
    <n v="28.71"/>
    <x v="2"/>
    <s v=""/>
  </r>
  <r>
    <n v="542"/>
    <d v="2026-07-10T00:00:00"/>
    <d v="2026-07-11T00:00:00"/>
    <x v="2"/>
    <s v="STU-911"/>
    <s v="New Customer"/>
    <x v="0"/>
    <x v="3"/>
    <x v="2"/>
    <x v="2"/>
    <n v="29"/>
    <x v="0"/>
    <x v="0"/>
    <n v="0"/>
    <n v="29"/>
    <n v="28.42"/>
    <n v="28.135800000000003"/>
    <n v="0.02"/>
    <n v="0.57999999999999829"/>
    <n v="0.01"/>
    <n v="0.28419999999999845"/>
    <n v="0"/>
    <n v="0"/>
    <x v="2"/>
    <s v=""/>
  </r>
  <r>
    <n v="543"/>
    <d v="2026-07-10T00:00:00"/>
    <d v="2026-07-11T00:00:00"/>
    <x v="2"/>
    <s v="STU-747"/>
    <s v="New Customer"/>
    <x v="0"/>
    <x v="0"/>
    <x v="2"/>
    <x v="2"/>
    <n v="29"/>
    <x v="0"/>
    <x v="4"/>
    <n v="0"/>
    <n v="29"/>
    <n v="27.984999999999999"/>
    <n v="27.70515"/>
    <n v="3.5000000000000003E-2"/>
    <n v="1.0150000000000006"/>
    <n v="0.01"/>
    <n v="0.27984999999999971"/>
    <n v="0"/>
    <n v="0"/>
    <x v="2"/>
    <s v=""/>
  </r>
  <r>
    <n v="544"/>
    <d v="2026-04-27T00:00:00"/>
    <d v="2026-04-27T00:00:00"/>
    <x v="5"/>
    <s v="STU-640"/>
    <s v="New Customer"/>
    <x v="2"/>
    <x v="6"/>
    <x v="2"/>
    <x v="2"/>
    <n v="29"/>
    <x v="0"/>
    <x v="0"/>
    <n v="0"/>
    <n v="29"/>
    <n v="28.42"/>
    <n v="28.135800000000003"/>
    <n v="0.02"/>
    <n v="0.57999999999999829"/>
    <n v="0.01"/>
    <n v="0.28419999999999845"/>
    <n v="0"/>
    <n v="0"/>
    <x v="2"/>
    <s v=""/>
  </r>
  <r>
    <n v="545"/>
    <d v="2026-07-07T00:00:00"/>
    <d v="2026-07-09T00:00:00"/>
    <x v="2"/>
    <s v="STU-405"/>
    <s v="New Customer"/>
    <x v="2"/>
    <x v="3"/>
    <x v="3"/>
    <x v="3"/>
    <n v="59"/>
    <x v="1"/>
    <x v="2"/>
    <n v="0"/>
    <n v="59"/>
    <n v="56.935000000000002"/>
    <n v="0"/>
    <n v="3.5000000000000003E-2"/>
    <n v="2.0649999999999977"/>
    <n v="0.01"/>
    <n v="0.56935000000000002"/>
    <n v="0"/>
    <n v="56.365650000000002"/>
    <x v="0"/>
    <s v=""/>
  </r>
  <r>
    <n v="546"/>
    <d v="2026-01-17T00:00:00"/>
    <d v="2026-01-19T00:00:00"/>
    <x v="4"/>
    <s v="STU-397"/>
    <s v="New Customer"/>
    <x v="2"/>
    <x v="7"/>
    <x v="5"/>
    <x v="2"/>
    <n v="29"/>
    <x v="1"/>
    <x v="0"/>
    <n v="0"/>
    <n v="29"/>
    <n v="28.42"/>
    <n v="0"/>
    <n v="0.02"/>
    <n v="0.57999999999999829"/>
    <n v="0.01"/>
    <n v="0.28419999999999845"/>
    <n v="0"/>
    <n v="28.135800000000003"/>
    <x v="0"/>
    <s v=""/>
  </r>
  <r>
    <n v="547"/>
    <d v="2026-02-09T00:00:00"/>
    <d v="2026-02-10T00:00:00"/>
    <x v="6"/>
    <s v="STU-345"/>
    <s v="Returning Customer"/>
    <x v="1"/>
    <x v="4"/>
    <x v="0"/>
    <x v="0"/>
    <n v="59"/>
    <x v="1"/>
    <x v="0"/>
    <n v="0"/>
    <n v="59"/>
    <n v="57.82"/>
    <n v="0"/>
    <n v="0.02"/>
    <n v="1.1799999999999997"/>
    <n v="0.01"/>
    <n v="0.57820000000000249"/>
    <n v="0"/>
    <n v="57.241799999999998"/>
    <x v="1"/>
    <s v=""/>
  </r>
  <r>
    <n v="548"/>
    <d v="2026-03-28T00:00:00"/>
    <d v="2026-03-31T00:00:00"/>
    <x v="0"/>
    <s v="STU-12"/>
    <s v="New Customer"/>
    <x v="1"/>
    <x v="4"/>
    <x v="0"/>
    <x v="0"/>
    <n v="59"/>
    <x v="1"/>
    <x v="2"/>
    <n v="0"/>
    <n v="59"/>
    <n v="56.935000000000002"/>
    <n v="0"/>
    <n v="3.5000000000000003E-2"/>
    <n v="2.0649999999999977"/>
    <n v="0.01"/>
    <n v="0.56935000000000002"/>
    <n v="0"/>
    <n v="56.365650000000002"/>
    <x v="2"/>
    <s v=""/>
  </r>
  <r>
    <n v="549"/>
    <d v="2026-07-27T00:00:00"/>
    <d v="2026-07-29T00:00:00"/>
    <x v="2"/>
    <s v="STU-171"/>
    <s v="New Customer"/>
    <x v="1"/>
    <x v="5"/>
    <x v="0"/>
    <x v="0"/>
    <n v="59"/>
    <x v="1"/>
    <x v="2"/>
    <n v="0"/>
    <n v="59"/>
    <n v="56.935000000000002"/>
    <n v="0"/>
    <n v="3.5000000000000003E-2"/>
    <n v="2.0649999999999977"/>
    <n v="0.01"/>
    <n v="0.56935000000000002"/>
    <n v="0"/>
    <n v="56.365650000000002"/>
    <x v="2"/>
    <s v=""/>
  </r>
  <r>
    <n v="550"/>
    <d v="2026-05-24T00:00:00"/>
    <d v="2026-05-24T00:00:00"/>
    <x v="3"/>
    <s v="STU-429"/>
    <s v="New Customer"/>
    <x v="2"/>
    <x v="2"/>
    <x v="5"/>
    <x v="2"/>
    <n v="29"/>
    <x v="1"/>
    <x v="2"/>
    <n v="0"/>
    <n v="29"/>
    <n v="27.984999999999999"/>
    <n v="0"/>
    <n v="3.5000000000000003E-2"/>
    <n v="1.0150000000000006"/>
    <n v="0.01"/>
    <n v="0.27984999999999971"/>
    <n v="0"/>
    <n v="27.70515"/>
    <x v="0"/>
    <s v=""/>
  </r>
  <r>
    <n v="551"/>
    <d v="2026-07-06T00:00:00"/>
    <d v="2026-07-07T00:00:00"/>
    <x v="2"/>
    <s v="STU-509"/>
    <s v="Returning Customer"/>
    <x v="1"/>
    <x v="0"/>
    <x v="7"/>
    <x v="3"/>
    <n v="99"/>
    <x v="1"/>
    <x v="2"/>
    <n v="0"/>
    <n v="99"/>
    <n v="95.534999999999997"/>
    <n v="0"/>
    <n v="3.5000000000000003E-2"/>
    <n v="3.4650000000000034"/>
    <n v="0.01"/>
    <n v="0.9553499999999957"/>
    <n v="0"/>
    <n v="94.579650000000001"/>
    <x v="1"/>
    <s v=""/>
  </r>
  <r>
    <n v="552"/>
    <d v="2026-02-20T00:00:00"/>
    <d v="2026-02-25T00:00:00"/>
    <x v="6"/>
    <s v="STU-532"/>
    <s v="Returning Customer"/>
    <x v="2"/>
    <x v="5"/>
    <x v="6"/>
    <x v="2"/>
    <n v="29"/>
    <x v="1"/>
    <x v="3"/>
    <n v="0"/>
    <n v="29"/>
    <n v="28.42"/>
    <n v="0"/>
    <n v="0.02"/>
    <n v="0.57999999999999829"/>
    <n v="0.01"/>
    <n v="0.28419999999999845"/>
    <n v="0"/>
    <n v="28.135800000000003"/>
    <x v="2"/>
    <n v="10"/>
  </r>
  <r>
    <n v="553"/>
    <d v="2026-07-01T00:00:00"/>
    <d v="2026-07-03T00:00:00"/>
    <x v="2"/>
    <s v="STU-924"/>
    <s v="Returning Customer"/>
    <x v="0"/>
    <x v="4"/>
    <x v="1"/>
    <x v="1"/>
    <n v="29"/>
    <x v="0"/>
    <x v="4"/>
    <n v="0"/>
    <n v="29"/>
    <n v="27.984999999999999"/>
    <n v="27.70515"/>
    <n v="3.5000000000000003E-2"/>
    <n v="1.0150000000000006"/>
    <n v="0.01"/>
    <n v="0.27984999999999971"/>
    <n v="0"/>
    <n v="0"/>
    <x v="0"/>
    <s v=""/>
  </r>
  <r>
    <n v="554"/>
    <d v="2026-05-05T00:00:00"/>
    <d v="2026-05-10T00:00:00"/>
    <x v="3"/>
    <s v="STU-259"/>
    <s v="New Customer"/>
    <x v="1"/>
    <x v="5"/>
    <x v="7"/>
    <x v="3"/>
    <n v="99"/>
    <x v="0"/>
    <x v="3"/>
    <n v="0"/>
    <n v="99"/>
    <n v="97.02"/>
    <n v="96.049799999999991"/>
    <n v="0.02"/>
    <n v="1.980000000000004"/>
    <n v="0.01"/>
    <n v="0.9702000000000055"/>
    <n v="0"/>
    <n v="0"/>
    <x v="0"/>
    <s v=""/>
  </r>
  <r>
    <n v="555"/>
    <d v="2026-06-23T00:00:00"/>
    <d v="2026-06-27T00:00:00"/>
    <x v="1"/>
    <s v="STU-272"/>
    <s v="New Customer"/>
    <x v="2"/>
    <x v="7"/>
    <x v="1"/>
    <x v="1"/>
    <n v="29"/>
    <x v="1"/>
    <x v="3"/>
    <n v="0"/>
    <n v="29"/>
    <n v="28.42"/>
    <n v="0"/>
    <n v="0.02"/>
    <n v="0.57999999999999829"/>
    <n v="0.01"/>
    <n v="0.28419999999999845"/>
    <n v="0"/>
    <n v="28.135800000000003"/>
    <x v="1"/>
    <n v="10"/>
  </r>
  <r>
    <n v="556"/>
    <d v="2026-04-12T00:00:00"/>
    <d v="2026-04-13T00:00:00"/>
    <x v="5"/>
    <s v="STU-794"/>
    <s v="New Customer"/>
    <x v="0"/>
    <x v="3"/>
    <x v="5"/>
    <x v="2"/>
    <n v="29"/>
    <x v="0"/>
    <x v="4"/>
    <n v="0"/>
    <n v="29"/>
    <n v="27.984999999999999"/>
    <n v="27.70515"/>
    <n v="3.5000000000000003E-2"/>
    <n v="1.0150000000000006"/>
    <n v="0.01"/>
    <n v="0.27984999999999971"/>
    <n v="0"/>
    <n v="0"/>
    <x v="0"/>
    <s v=""/>
  </r>
  <r>
    <n v="557"/>
    <d v="2026-02-19T00:00:00"/>
    <d v="2026-02-21T00:00:00"/>
    <x v="6"/>
    <s v="STU-886"/>
    <s v="Returning Customer"/>
    <x v="1"/>
    <x v="5"/>
    <x v="2"/>
    <x v="2"/>
    <n v="29"/>
    <x v="1"/>
    <x v="1"/>
    <n v="0"/>
    <n v="29"/>
    <n v="29"/>
    <n v="0"/>
    <n v="0"/>
    <n v="0"/>
    <n v="0.01"/>
    <n v="0.28999999999999915"/>
    <n v="0"/>
    <n v="28.71"/>
    <x v="1"/>
    <n v="10"/>
  </r>
  <r>
    <n v="558"/>
    <d v="2026-04-26T00:00:00"/>
    <d v="2026-04-29T00:00:00"/>
    <x v="5"/>
    <s v="STU-588"/>
    <s v="Returning Customer"/>
    <x v="2"/>
    <x v="0"/>
    <x v="1"/>
    <x v="1"/>
    <n v="29"/>
    <x v="1"/>
    <x v="3"/>
    <n v="0"/>
    <n v="29"/>
    <n v="28.42"/>
    <n v="0"/>
    <n v="0.02"/>
    <n v="0.57999999999999829"/>
    <n v="0.01"/>
    <n v="0.28419999999999845"/>
    <n v="0"/>
    <n v="28.135800000000003"/>
    <x v="1"/>
    <n v="10"/>
  </r>
  <r>
    <n v="559"/>
    <d v="2026-07-17T00:00:00"/>
    <d v="2026-07-21T00:00:00"/>
    <x v="2"/>
    <s v="STU-185"/>
    <s v="New Customer"/>
    <x v="2"/>
    <x v="7"/>
    <x v="6"/>
    <x v="2"/>
    <n v="29"/>
    <x v="1"/>
    <x v="2"/>
    <n v="0"/>
    <n v="29"/>
    <n v="27.984999999999999"/>
    <n v="0"/>
    <n v="3.5000000000000003E-2"/>
    <n v="1.0150000000000006"/>
    <n v="0.01"/>
    <n v="0.27984999999999971"/>
    <n v="0"/>
    <n v="27.70515"/>
    <x v="2"/>
    <s v=""/>
  </r>
  <r>
    <n v="560"/>
    <d v="2026-04-07T00:00:00"/>
    <d v="2026-04-11T00:00:00"/>
    <x v="5"/>
    <s v="STU-910"/>
    <s v="Returning Customer"/>
    <x v="1"/>
    <x v="3"/>
    <x v="4"/>
    <x v="2"/>
    <n v="59"/>
    <x v="1"/>
    <x v="4"/>
    <n v="0"/>
    <n v="59"/>
    <n v="56.935000000000002"/>
    <n v="0"/>
    <n v="3.5000000000000003E-2"/>
    <n v="2.0649999999999977"/>
    <n v="0.01"/>
    <n v="0.56935000000000002"/>
    <n v="0"/>
    <n v="56.365650000000002"/>
    <x v="2"/>
    <s v=""/>
  </r>
  <r>
    <n v="561"/>
    <d v="2026-02-12T00:00:00"/>
    <d v="2026-02-14T00:00:00"/>
    <x v="6"/>
    <s v="STU-906"/>
    <s v="New Customer"/>
    <x v="1"/>
    <x v="4"/>
    <x v="0"/>
    <x v="0"/>
    <n v="59"/>
    <x v="1"/>
    <x v="0"/>
    <n v="0"/>
    <n v="59"/>
    <n v="57.82"/>
    <n v="0"/>
    <n v="0.02"/>
    <n v="1.1799999999999997"/>
    <n v="0.01"/>
    <n v="0.57820000000000249"/>
    <n v="0"/>
    <n v="57.241799999999998"/>
    <x v="1"/>
    <n v="10"/>
  </r>
  <r>
    <n v="562"/>
    <d v="2026-06-09T00:00:00"/>
    <d v="2026-06-14T00:00:00"/>
    <x v="1"/>
    <s v="STU-190"/>
    <s v="New Customer"/>
    <x v="0"/>
    <x v="5"/>
    <x v="0"/>
    <x v="0"/>
    <n v="59"/>
    <x v="1"/>
    <x v="0"/>
    <n v="0"/>
    <n v="59"/>
    <n v="57.82"/>
    <n v="0"/>
    <n v="0.02"/>
    <n v="1.1799999999999997"/>
    <n v="0.01"/>
    <n v="0.57820000000000249"/>
    <n v="0"/>
    <n v="57.241799999999998"/>
    <x v="0"/>
    <n v="10"/>
  </r>
  <r>
    <n v="563"/>
    <d v="2026-02-15T00:00:00"/>
    <d v="2026-02-19T00:00:00"/>
    <x v="6"/>
    <s v="STU-638"/>
    <s v="Returning Customer"/>
    <x v="2"/>
    <x v="6"/>
    <x v="1"/>
    <x v="1"/>
    <n v="29"/>
    <x v="1"/>
    <x v="3"/>
    <n v="0"/>
    <n v="29"/>
    <n v="28.42"/>
    <n v="0"/>
    <n v="0.02"/>
    <n v="0.57999999999999829"/>
    <n v="0.01"/>
    <n v="0.28419999999999845"/>
    <n v="0"/>
    <n v="28.135800000000003"/>
    <x v="0"/>
    <s v=""/>
  </r>
  <r>
    <n v="564"/>
    <d v="2026-03-29T00:00:00"/>
    <d v="2026-03-30T00:00:00"/>
    <x v="0"/>
    <s v="STU-853"/>
    <s v="New Customer"/>
    <x v="2"/>
    <x v="7"/>
    <x v="2"/>
    <x v="2"/>
    <n v="29"/>
    <x v="0"/>
    <x v="4"/>
    <n v="0"/>
    <n v="29"/>
    <n v="27.984999999999999"/>
    <n v="27.70515"/>
    <n v="3.5000000000000003E-2"/>
    <n v="1.0150000000000006"/>
    <n v="0.01"/>
    <n v="0.27984999999999971"/>
    <n v="0"/>
    <n v="0"/>
    <x v="1"/>
    <n v="10"/>
  </r>
  <r>
    <n v="565"/>
    <d v="2026-05-26T00:00:00"/>
    <d v="2026-05-28T00:00:00"/>
    <x v="3"/>
    <s v="STU-307"/>
    <s v="Returning Customer"/>
    <x v="0"/>
    <x v="4"/>
    <x v="5"/>
    <x v="2"/>
    <n v="29"/>
    <x v="1"/>
    <x v="2"/>
    <n v="0"/>
    <n v="29"/>
    <n v="27.984999999999999"/>
    <n v="0"/>
    <n v="3.5000000000000003E-2"/>
    <n v="1.0150000000000006"/>
    <n v="0.01"/>
    <n v="0.27984999999999971"/>
    <n v="0"/>
    <n v="27.70515"/>
    <x v="0"/>
    <s v=""/>
  </r>
  <r>
    <n v="566"/>
    <d v="2026-01-04T00:00:00"/>
    <d v="2026-01-07T00:00:00"/>
    <x v="4"/>
    <s v="STU-28"/>
    <s v="Returning Customer"/>
    <x v="0"/>
    <x v="4"/>
    <x v="5"/>
    <x v="2"/>
    <n v="29"/>
    <x v="1"/>
    <x v="1"/>
    <n v="0"/>
    <n v="29"/>
    <n v="29"/>
    <n v="0"/>
    <n v="0"/>
    <n v="0"/>
    <n v="0.01"/>
    <n v="0.28999999999999915"/>
    <n v="0"/>
    <n v="28.71"/>
    <x v="1"/>
    <n v="10"/>
  </r>
  <r>
    <n v="567"/>
    <d v="2026-05-06T00:00:00"/>
    <d v="2026-05-11T00:00:00"/>
    <x v="3"/>
    <s v="STU-998"/>
    <s v="Returning Customer"/>
    <x v="2"/>
    <x v="1"/>
    <x v="0"/>
    <x v="0"/>
    <n v="59"/>
    <x v="1"/>
    <x v="3"/>
    <n v="0"/>
    <n v="59"/>
    <n v="57.82"/>
    <n v="0"/>
    <n v="0.02"/>
    <n v="1.1799999999999997"/>
    <n v="0.01"/>
    <n v="0.57820000000000249"/>
    <n v="0"/>
    <n v="57.241799999999998"/>
    <x v="0"/>
    <s v=""/>
  </r>
  <r>
    <n v="568"/>
    <d v="2026-03-23T00:00:00"/>
    <d v="2026-03-25T00:00:00"/>
    <x v="0"/>
    <s v="STU-593"/>
    <s v="New Customer"/>
    <x v="1"/>
    <x v="4"/>
    <x v="4"/>
    <x v="2"/>
    <n v="59"/>
    <x v="1"/>
    <x v="2"/>
    <n v="0"/>
    <n v="59"/>
    <n v="56.935000000000002"/>
    <n v="0"/>
    <n v="3.5000000000000003E-2"/>
    <n v="2.0649999999999977"/>
    <n v="0.01"/>
    <n v="0.56935000000000002"/>
    <n v="0"/>
    <n v="56.365650000000002"/>
    <x v="2"/>
    <s v=""/>
  </r>
  <r>
    <n v="569"/>
    <d v="2026-05-05T00:00:00"/>
    <d v="2026-05-08T00:00:00"/>
    <x v="3"/>
    <s v="STU-406"/>
    <s v="Returning Customer"/>
    <x v="0"/>
    <x v="6"/>
    <x v="2"/>
    <x v="2"/>
    <n v="29"/>
    <x v="0"/>
    <x v="2"/>
    <n v="0"/>
    <n v="29"/>
    <n v="27.984999999999999"/>
    <n v="27.70515"/>
    <n v="3.5000000000000003E-2"/>
    <n v="1.0150000000000006"/>
    <n v="0.01"/>
    <n v="0.27984999999999971"/>
    <n v="0"/>
    <n v="0"/>
    <x v="2"/>
    <n v="10"/>
  </r>
  <r>
    <n v="570"/>
    <d v="2026-02-16T00:00:00"/>
    <d v="2026-02-18T00:00:00"/>
    <x v="6"/>
    <s v="STU-832"/>
    <s v="New Customer"/>
    <x v="0"/>
    <x v="2"/>
    <x v="5"/>
    <x v="2"/>
    <n v="29"/>
    <x v="1"/>
    <x v="0"/>
    <n v="0"/>
    <n v="29"/>
    <n v="28.42"/>
    <n v="0"/>
    <n v="0.02"/>
    <n v="0.57999999999999829"/>
    <n v="0.01"/>
    <n v="0.28419999999999845"/>
    <n v="0"/>
    <n v="28.135800000000003"/>
    <x v="1"/>
    <n v="10"/>
  </r>
  <r>
    <n v="571"/>
    <d v="2026-01-17T00:00:00"/>
    <d v="2026-01-18T00:00:00"/>
    <x v="4"/>
    <s v="STU-954"/>
    <s v="Returning Customer"/>
    <x v="0"/>
    <x v="2"/>
    <x v="3"/>
    <x v="3"/>
    <n v="59"/>
    <x v="1"/>
    <x v="4"/>
    <n v="0"/>
    <n v="59"/>
    <n v="56.935000000000002"/>
    <n v="0"/>
    <n v="3.5000000000000003E-2"/>
    <n v="2.0649999999999977"/>
    <n v="0.01"/>
    <n v="0.56935000000000002"/>
    <n v="0"/>
    <n v="56.365650000000002"/>
    <x v="2"/>
    <s v=""/>
  </r>
  <r>
    <n v="572"/>
    <d v="2026-04-06T00:00:00"/>
    <d v="2026-04-06T00:00:00"/>
    <x v="5"/>
    <s v="STU-771"/>
    <s v="New Customer"/>
    <x v="2"/>
    <x v="1"/>
    <x v="6"/>
    <x v="2"/>
    <n v="29"/>
    <x v="1"/>
    <x v="0"/>
    <n v="0"/>
    <n v="29"/>
    <n v="28.42"/>
    <n v="0"/>
    <n v="0.02"/>
    <n v="0.57999999999999829"/>
    <n v="0.01"/>
    <n v="0.28419999999999845"/>
    <n v="0"/>
    <n v="28.135800000000003"/>
    <x v="1"/>
    <s v=""/>
  </r>
  <r>
    <n v="573"/>
    <d v="2026-04-12T00:00:00"/>
    <d v="2026-04-17T00:00:00"/>
    <x v="5"/>
    <s v="STU-545"/>
    <s v="New Customer"/>
    <x v="2"/>
    <x v="6"/>
    <x v="5"/>
    <x v="2"/>
    <n v="29"/>
    <x v="1"/>
    <x v="1"/>
    <n v="0"/>
    <n v="29"/>
    <n v="29"/>
    <n v="0"/>
    <n v="0"/>
    <n v="0"/>
    <n v="0.01"/>
    <n v="0.28999999999999915"/>
    <n v="0"/>
    <n v="28.71"/>
    <x v="1"/>
    <s v=""/>
  </r>
  <r>
    <n v="574"/>
    <d v="2026-05-25T00:00:00"/>
    <d v="2026-05-29T00:00:00"/>
    <x v="3"/>
    <s v="STU-907"/>
    <s v="New Customer"/>
    <x v="1"/>
    <x v="3"/>
    <x v="5"/>
    <x v="2"/>
    <n v="29"/>
    <x v="1"/>
    <x v="3"/>
    <n v="0"/>
    <n v="29"/>
    <n v="28.42"/>
    <n v="0"/>
    <n v="0.02"/>
    <n v="0.57999999999999829"/>
    <n v="0.01"/>
    <n v="0.28419999999999845"/>
    <n v="0"/>
    <n v="28.135800000000003"/>
    <x v="1"/>
    <n v="10"/>
  </r>
  <r>
    <n v="575"/>
    <d v="2026-01-30T00:00:00"/>
    <d v="2026-02-04T00:00:00"/>
    <x v="6"/>
    <s v="STU-965"/>
    <s v="Returning Customer"/>
    <x v="0"/>
    <x v="6"/>
    <x v="6"/>
    <x v="2"/>
    <n v="29"/>
    <x v="1"/>
    <x v="0"/>
    <n v="0"/>
    <n v="29"/>
    <n v="28.42"/>
    <n v="0"/>
    <n v="0.02"/>
    <n v="0.57999999999999829"/>
    <n v="0.01"/>
    <n v="0.28419999999999845"/>
    <n v="0"/>
    <n v="28.135800000000003"/>
    <x v="2"/>
    <n v="10"/>
  </r>
  <r>
    <n v="576"/>
    <d v="2026-03-03T00:00:00"/>
    <d v="2026-03-07T00:00:00"/>
    <x v="0"/>
    <s v="STU-861"/>
    <s v="New Customer"/>
    <x v="2"/>
    <x v="4"/>
    <x v="0"/>
    <x v="0"/>
    <n v="59"/>
    <x v="0"/>
    <x v="1"/>
    <n v="20"/>
    <n v="-1121"/>
    <n v="-1121"/>
    <n v="-1109.79"/>
    <n v="0"/>
    <n v="0"/>
    <n v="0.01"/>
    <n v="-11.210000000000036"/>
    <n v="0"/>
    <n v="0"/>
    <x v="0"/>
    <s v=""/>
  </r>
  <r>
    <n v="577"/>
    <d v="2026-07-24T00:00:00"/>
    <d v="2026-07-24T00:00:00"/>
    <x v="2"/>
    <s v="STU-1"/>
    <s v="New Customer"/>
    <x v="2"/>
    <x v="3"/>
    <x v="6"/>
    <x v="2"/>
    <n v="29"/>
    <x v="1"/>
    <x v="2"/>
    <n v="0"/>
    <n v="29"/>
    <n v="27.984999999999999"/>
    <n v="0"/>
    <n v="3.5000000000000003E-2"/>
    <n v="1.0150000000000006"/>
    <n v="0.01"/>
    <n v="0.27984999999999971"/>
    <n v="0"/>
    <n v="27.70515"/>
    <x v="0"/>
    <s v=""/>
  </r>
  <r>
    <n v="578"/>
    <d v="2026-01-03T00:00:00"/>
    <d v="2026-01-04T00:00:00"/>
    <x v="4"/>
    <s v="STU-671"/>
    <s v="New Customer"/>
    <x v="2"/>
    <x v="6"/>
    <x v="6"/>
    <x v="2"/>
    <n v="29"/>
    <x v="0"/>
    <x v="2"/>
    <n v="0"/>
    <n v="29"/>
    <n v="27.984999999999999"/>
    <n v="27.70515"/>
    <n v="3.5000000000000003E-2"/>
    <n v="1.0150000000000006"/>
    <n v="0.01"/>
    <n v="0.27984999999999971"/>
    <n v="0"/>
    <n v="0"/>
    <x v="0"/>
    <s v=""/>
  </r>
  <r>
    <n v="579"/>
    <d v="2026-06-06T00:00:00"/>
    <d v="2026-06-10T00:00:00"/>
    <x v="1"/>
    <s v="STU-558"/>
    <s v="New Customer"/>
    <x v="0"/>
    <x v="4"/>
    <x v="5"/>
    <x v="2"/>
    <n v="29"/>
    <x v="0"/>
    <x v="2"/>
    <n v="0"/>
    <n v="29"/>
    <n v="27.984999999999999"/>
    <n v="27.70515"/>
    <n v="3.5000000000000003E-2"/>
    <n v="1.0150000000000006"/>
    <n v="0.01"/>
    <n v="0.27984999999999971"/>
    <n v="0"/>
    <n v="0"/>
    <x v="1"/>
    <n v="10"/>
  </r>
  <r>
    <n v="580"/>
    <d v="2026-05-10T00:00:00"/>
    <d v="2026-05-15T00:00:00"/>
    <x v="3"/>
    <s v="STU-116"/>
    <s v="New Customer"/>
    <x v="2"/>
    <x v="7"/>
    <x v="5"/>
    <x v="2"/>
    <n v="29"/>
    <x v="1"/>
    <x v="2"/>
    <n v="0"/>
    <n v="29"/>
    <n v="27.984999999999999"/>
    <n v="0"/>
    <n v="3.5000000000000003E-2"/>
    <n v="1.0150000000000006"/>
    <n v="0.01"/>
    <n v="0.27984999999999971"/>
    <n v="0"/>
    <n v="27.70515"/>
    <x v="1"/>
    <s v=""/>
  </r>
  <r>
    <n v="581"/>
    <d v="2026-07-01T00:00:00"/>
    <d v="2026-07-04T00:00:00"/>
    <x v="2"/>
    <s v="STU-156"/>
    <s v="New Customer"/>
    <x v="0"/>
    <x v="2"/>
    <x v="6"/>
    <x v="2"/>
    <n v="29"/>
    <x v="2"/>
    <x v="4"/>
    <n v="0"/>
    <n v="29"/>
    <n v="27.984999999999999"/>
    <n v="0"/>
    <n v="3.5000000000000003E-2"/>
    <n v="1.0150000000000006"/>
    <n v="0.01"/>
    <n v="0.27984999999999971"/>
    <n v="27.70515"/>
    <n v="0"/>
    <x v="0"/>
    <s v=""/>
  </r>
  <r>
    <n v="582"/>
    <d v="2026-06-16T00:00:00"/>
    <d v="2026-06-18T00:00:00"/>
    <x v="1"/>
    <s v="STU-192"/>
    <s v="Returning Customer"/>
    <x v="1"/>
    <x v="5"/>
    <x v="7"/>
    <x v="3"/>
    <n v="99"/>
    <x v="1"/>
    <x v="1"/>
    <n v="0"/>
    <n v="99"/>
    <n v="99"/>
    <n v="0"/>
    <n v="0"/>
    <n v="0"/>
    <n v="0.01"/>
    <n v="0.98999999999999488"/>
    <n v="0"/>
    <n v="98.01"/>
    <x v="0"/>
    <s v=""/>
  </r>
  <r>
    <n v="583"/>
    <d v="2026-01-21T00:00:00"/>
    <d v="2026-01-24T00:00:00"/>
    <x v="4"/>
    <s v="STU-635"/>
    <s v="New Customer"/>
    <x v="1"/>
    <x v="7"/>
    <x v="2"/>
    <x v="2"/>
    <n v="29"/>
    <x v="2"/>
    <x v="2"/>
    <n v="0"/>
    <n v="29"/>
    <n v="27.984999999999999"/>
    <n v="0"/>
    <n v="3.5000000000000003E-2"/>
    <n v="1.0150000000000006"/>
    <n v="0.01"/>
    <n v="0.27984999999999971"/>
    <n v="27.70515"/>
    <n v="0"/>
    <x v="0"/>
    <s v=""/>
  </r>
  <r>
    <n v="584"/>
    <d v="2026-02-03T00:00:00"/>
    <d v="2026-02-06T00:00:00"/>
    <x v="6"/>
    <s v="STU-917"/>
    <s v="New Customer"/>
    <x v="2"/>
    <x v="0"/>
    <x v="4"/>
    <x v="2"/>
    <n v="59"/>
    <x v="0"/>
    <x v="2"/>
    <n v="0"/>
    <n v="59"/>
    <n v="56.935000000000002"/>
    <n v="56.365650000000002"/>
    <n v="3.5000000000000003E-2"/>
    <n v="2.0649999999999977"/>
    <n v="0.01"/>
    <n v="0.56935000000000002"/>
    <n v="0"/>
    <n v="0"/>
    <x v="2"/>
    <s v=""/>
  </r>
  <r>
    <n v="585"/>
    <d v="2026-03-24T00:00:00"/>
    <d v="2026-03-25T00:00:00"/>
    <x v="0"/>
    <s v="STU-308"/>
    <s v="Returning Customer"/>
    <x v="2"/>
    <x v="2"/>
    <x v="6"/>
    <x v="2"/>
    <n v="29"/>
    <x v="1"/>
    <x v="1"/>
    <n v="0"/>
    <n v="29"/>
    <n v="29"/>
    <n v="0"/>
    <n v="0"/>
    <n v="0"/>
    <n v="0.01"/>
    <n v="0.28999999999999915"/>
    <n v="0"/>
    <n v="28.71"/>
    <x v="2"/>
    <s v=""/>
  </r>
  <r>
    <n v="586"/>
    <d v="2026-05-14T00:00:00"/>
    <d v="2026-05-14T00:00:00"/>
    <x v="3"/>
    <s v="STU-405"/>
    <s v="Returning Customer"/>
    <x v="1"/>
    <x v="6"/>
    <x v="0"/>
    <x v="0"/>
    <n v="59"/>
    <x v="0"/>
    <x v="4"/>
    <n v="0"/>
    <n v="59"/>
    <n v="56.935000000000002"/>
    <n v="56.365650000000002"/>
    <n v="3.5000000000000003E-2"/>
    <n v="2.0649999999999977"/>
    <n v="0.01"/>
    <n v="0.56935000000000002"/>
    <n v="0"/>
    <n v="0"/>
    <x v="1"/>
    <s v=""/>
  </r>
  <r>
    <n v="587"/>
    <d v="2026-05-21T00:00:00"/>
    <d v="2026-05-21T00:00:00"/>
    <x v="3"/>
    <s v="STU-884"/>
    <s v="Returning Customer"/>
    <x v="0"/>
    <x v="2"/>
    <x v="3"/>
    <x v="3"/>
    <n v="59"/>
    <x v="1"/>
    <x v="2"/>
    <n v="0"/>
    <n v="59"/>
    <n v="56.935000000000002"/>
    <n v="0"/>
    <n v="3.5000000000000003E-2"/>
    <n v="2.0649999999999977"/>
    <n v="0.01"/>
    <n v="0.56935000000000002"/>
    <n v="0"/>
    <n v="56.365650000000002"/>
    <x v="1"/>
    <s v=""/>
  </r>
  <r>
    <n v="588"/>
    <d v="2026-01-27T00:00:00"/>
    <d v="2026-01-30T00:00:00"/>
    <x v="4"/>
    <s v="STU-308"/>
    <s v="Returning Customer"/>
    <x v="1"/>
    <x v="0"/>
    <x v="2"/>
    <x v="2"/>
    <n v="29"/>
    <x v="0"/>
    <x v="4"/>
    <n v="0"/>
    <n v="29"/>
    <n v="27.984999999999999"/>
    <n v="27.70515"/>
    <n v="3.5000000000000003E-2"/>
    <n v="1.0150000000000006"/>
    <n v="0.01"/>
    <n v="0.27984999999999971"/>
    <n v="0"/>
    <n v="0"/>
    <x v="2"/>
    <s v=""/>
  </r>
  <r>
    <n v="589"/>
    <d v="2026-07-05T00:00:00"/>
    <d v="2026-07-07T00:00:00"/>
    <x v="2"/>
    <s v="STU-704"/>
    <s v="Returning Customer"/>
    <x v="2"/>
    <x v="2"/>
    <x v="7"/>
    <x v="3"/>
    <n v="99"/>
    <x v="0"/>
    <x v="2"/>
    <n v="0"/>
    <n v="99"/>
    <n v="95.534999999999997"/>
    <n v="94.579650000000001"/>
    <n v="3.5000000000000003E-2"/>
    <n v="3.4650000000000034"/>
    <n v="0.01"/>
    <n v="0.9553499999999957"/>
    <n v="0"/>
    <n v="0"/>
    <x v="0"/>
    <s v=""/>
  </r>
  <r>
    <n v="590"/>
    <d v="2026-07-11T00:00:00"/>
    <d v="2026-07-16T00:00:00"/>
    <x v="2"/>
    <s v="STU-758"/>
    <s v="New Customer"/>
    <x v="1"/>
    <x v="3"/>
    <x v="6"/>
    <x v="2"/>
    <n v="29"/>
    <x v="0"/>
    <x v="0"/>
    <n v="0"/>
    <n v="29"/>
    <n v="28.42"/>
    <n v="28.135800000000003"/>
    <n v="0.02"/>
    <n v="0.57999999999999829"/>
    <n v="0.01"/>
    <n v="0.28419999999999845"/>
    <n v="0"/>
    <n v="0"/>
    <x v="0"/>
    <s v=""/>
  </r>
  <r>
    <n v="591"/>
    <d v="2026-07-16T00:00:00"/>
    <d v="2026-07-19T00:00:00"/>
    <x v="2"/>
    <s v="STU-172"/>
    <s v="Returning Customer"/>
    <x v="1"/>
    <x v="6"/>
    <x v="3"/>
    <x v="3"/>
    <n v="59"/>
    <x v="1"/>
    <x v="3"/>
    <n v="0"/>
    <n v="59"/>
    <n v="57.82"/>
    <n v="0"/>
    <n v="0.02"/>
    <n v="1.1799999999999997"/>
    <n v="0.01"/>
    <n v="0.57820000000000249"/>
    <n v="0"/>
    <n v="57.241799999999998"/>
    <x v="1"/>
    <s v=""/>
  </r>
  <r>
    <n v="592"/>
    <d v="2026-06-11T00:00:00"/>
    <d v="2026-06-13T00:00:00"/>
    <x v="1"/>
    <s v="STU-143"/>
    <s v="Returning Customer"/>
    <x v="0"/>
    <x v="2"/>
    <x v="0"/>
    <x v="0"/>
    <n v="59"/>
    <x v="1"/>
    <x v="3"/>
    <n v="0"/>
    <n v="59"/>
    <n v="57.82"/>
    <n v="0"/>
    <n v="0.02"/>
    <n v="1.1799999999999997"/>
    <n v="0.01"/>
    <n v="0.57820000000000249"/>
    <n v="0"/>
    <n v="57.241799999999998"/>
    <x v="0"/>
    <s v=""/>
  </r>
  <r>
    <n v="593"/>
    <d v="2026-03-12T00:00:00"/>
    <d v="2026-03-12T00:00:00"/>
    <x v="0"/>
    <s v="STU-133"/>
    <s v="Returning Customer"/>
    <x v="1"/>
    <x v="1"/>
    <x v="1"/>
    <x v="1"/>
    <n v="29"/>
    <x v="2"/>
    <x v="3"/>
    <n v="0"/>
    <n v="29"/>
    <n v="28.42"/>
    <n v="0"/>
    <n v="0.02"/>
    <n v="0.57999999999999829"/>
    <n v="0.01"/>
    <n v="0.28419999999999845"/>
    <n v="28.135800000000003"/>
    <n v="0"/>
    <x v="1"/>
    <s v=""/>
  </r>
  <r>
    <n v="594"/>
    <d v="2026-06-29T00:00:00"/>
    <d v="2026-07-04T00:00:00"/>
    <x v="2"/>
    <s v="STU-379"/>
    <s v="New Customer"/>
    <x v="2"/>
    <x v="6"/>
    <x v="3"/>
    <x v="3"/>
    <n v="59"/>
    <x v="1"/>
    <x v="0"/>
    <n v="0"/>
    <n v="59"/>
    <n v="57.82"/>
    <n v="0"/>
    <n v="0.02"/>
    <n v="1.1799999999999997"/>
    <n v="0.01"/>
    <n v="0.57820000000000249"/>
    <n v="0"/>
    <n v="57.241799999999998"/>
    <x v="2"/>
    <s v=""/>
  </r>
  <r>
    <n v="595"/>
    <d v="2026-07-06T00:00:00"/>
    <d v="2026-07-10T00:00:00"/>
    <x v="2"/>
    <s v="STU-448"/>
    <s v="New Customer"/>
    <x v="1"/>
    <x v="6"/>
    <x v="1"/>
    <x v="1"/>
    <n v="29"/>
    <x v="0"/>
    <x v="0"/>
    <n v="0"/>
    <n v="29"/>
    <n v="28.42"/>
    <n v="28.135800000000003"/>
    <n v="0.02"/>
    <n v="0.57999999999999829"/>
    <n v="0.01"/>
    <n v="0.28419999999999845"/>
    <n v="0"/>
    <n v="0"/>
    <x v="0"/>
    <s v=""/>
  </r>
  <r>
    <n v="596"/>
    <d v="2026-03-31T00:00:00"/>
    <d v="2026-04-03T00:00:00"/>
    <x v="5"/>
    <s v="STU-542"/>
    <s v="New Customer"/>
    <x v="1"/>
    <x v="7"/>
    <x v="7"/>
    <x v="3"/>
    <n v="99"/>
    <x v="2"/>
    <x v="1"/>
    <n v="0"/>
    <n v="99"/>
    <n v="99"/>
    <n v="0"/>
    <n v="0"/>
    <n v="0"/>
    <n v="0.01"/>
    <n v="0.98999999999999488"/>
    <n v="98.01"/>
    <n v="0"/>
    <x v="2"/>
    <n v="10"/>
  </r>
  <r>
    <n v="597"/>
    <d v="2026-02-24T00:00:00"/>
    <d v="2026-02-26T00:00:00"/>
    <x v="6"/>
    <s v="STU-697"/>
    <s v="Returning Customer"/>
    <x v="1"/>
    <x v="0"/>
    <x v="5"/>
    <x v="2"/>
    <n v="29"/>
    <x v="1"/>
    <x v="4"/>
    <n v="0"/>
    <n v="29"/>
    <n v="27.984999999999999"/>
    <n v="0"/>
    <n v="3.5000000000000003E-2"/>
    <n v="1.0150000000000006"/>
    <n v="0.01"/>
    <n v="0.27984999999999971"/>
    <n v="0"/>
    <n v="27.70515"/>
    <x v="2"/>
    <s v=""/>
  </r>
  <r>
    <n v="598"/>
    <d v="2026-03-02T00:00:00"/>
    <d v="2026-03-03T00:00:00"/>
    <x v="0"/>
    <s v="STU-283"/>
    <s v="New Customer"/>
    <x v="1"/>
    <x v="3"/>
    <x v="1"/>
    <x v="1"/>
    <n v="29"/>
    <x v="1"/>
    <x v="4"/>
    <n v="0"/>
    <n v="29"/>
    <n v="27.984999999999999"/>
    <n v="0"/>
    <n v="3.5000000000000003E-2"/>
    <n v="1.0150000000000006"/>
    <n v="0.01"/>
    <n v="0.27984999999999971"/>
    <n v="0"/>
    <n v="27.70515"/>
    <x v="2"/>
    <s v=""/>
  </r>
  <r>
    <n v="599"/>
    <d v="2026-05-16T00:00:00"/>
    <d v="2026-05-20T00:00:00"/>
    <x v="3"/>
    <s v="STU-29"/>
    <s v="New Customer"/>
    <x v="2"/>
    <x v="1"/>
    <x v="3"/>
    <x v="3"/>
    <n v="59"/>
    <x v="2"/>
    <x v="3"/>
    <n v="0"/>
    <n v="59"/>
    <n v="57.82"/>
    <n v="0"/>
    <n v="0.02"/>
    <n v="1.1799999999999997"/>
    <n v="0.01"/>
    <n v="0.57820000000000249"/>
    <n v="57.241799999999998"/>
    <n v="0"/>
    <x v="0"/>
    <s v=""/>
  </r>
  <r>
    <n v="600"/>
    <d v="2026-07-27T00:00:00"/>
    <d v="2026-07-29T00:00:00"/>
    <x v="2"/>
    <s v="STU-263"/>
    <s v="New Customer"/>
    <x v="0"/>
    <x v="0"/>
    <x v="1"/>
    <x v="1"/>
    <n v="29"/>
    <x v="1"/>
    <x v="2"/>
    <n v="0"/>
    <n v="29"/>
    <n v="27.984999999999999"/>
    <n v="0"/>
    <n v="3.5000000000000003E-2"/>
    <n v="1.0150000000000006"/>
    <n v="0.01"/>
    <n v="0.27984999999999971"/>
    <n v="0"/>
    <n v="27.70515"/>
    <x v="0"/>
    <s v=""/>
  </r>
  <r>
    <n v="601"/>
    <d v="2026-06-29T00:00:00"/>
    <d v="2026-07-03T00:00:00"/>
    <x v="2"/>
    <s v="STU-962"/>
    <s v="New Customer"/>
    <x v="0"/>
    <x v="7"/>
    <x v="3"/>
    <x v="3"/>
    <n v="59"/>
    <x v="1"/>
    <x v="3"/>
    <n v="0"/>
    <n v="59"/>
    <n v="57.82"/>
    <n v="0"/>
    <n v="0.02"/>
    <n v="1.1799999999999997"/>
    <n v="0.01"/>
    <n v="0.57820000000000249"/>
    <n v="0"/>
    <n v="57.241799999999998"/>
    <x v="2"/>
    <s v=""/>
  </r>
  <r>
    <n v="602"/>
    <d v="2026-05-03T00:00:00"/>
    <d v="2026-05-04T00:00:00"/>
    <x v="3"/>
    <s v="STU-242"/>
    <s v="New Customer"/>
    <x v="0"/>
    <x v="4"/>
    <x v="1"/>
    <x v="1"/>
    <n v="29"/>
    <x v="2"/>
    <x v="3"/>
    <n v="0"/>
    <n v="29"/>
    <n v="28.42"/>
    <n v="0"/>
    <n v="0.02"/>
    <n v="0.57999999999999829"/>
    <n v="0.01"/>
    <n v="0.28419999999999845"/>
    <n v="28.135800000000003"/>
    <n v="0"/>
    <x v="2"/>
    <s v=""/>
  </r>
  <r>
    <n v="603"/>
    <d v="2026-04-10T00:00:00"/>
    <d v="2026-04-13T00:00:00"/>
    <x v="5"/>
    <s v="STU-466"/>
    <s v="New Customer"/>
    <x v="1"/>
    <x v="0"/>
    <x v="0"/>
    <x v="0"/>
    <n v="59"/>
    <x v="1"/>
    <x v="3"/>
    <n v="0"/>
    <n v="59"/>
    <n v="57.82"/>
    <n v="0"/>
    <n v="0.02"/>
    <n v="1.1799999999999997"/>
    <n v="0.01"/>
    <n v="0.57820000000000249"/>
    <n v="0"/>
    <n v="57.241799999999998"/>
    <x v="2"/>
    <s v=""/>
  </r>
  <r>
    <n v="604"/>
    <d v="2026-04-09T00:00:00"/>
    <d v="2026-04-11T00:00:00"/>
    <x v="5"/>
    <s v="STU-749"/>
    <s v="Returning Customer"/>
    <x v="0"/>
    <x v="0"/>
    <x v="0"/>
    <x v="0"/>
    <n v="59"/>
    <x v="1"/>
    <x v="3"/>
    <n v="0"/>
    <n v="59"/>
    <n v="57.82"/>
    <n v="0"/>
    <n v="0.02"/>
    <n v="1.1799999999999997"/>
    <n v="0.01"/>
    <n v="0.57820000000000249"/>
    <n v="0"/>
    <n v="57.241799999999998"/>
    <x v="1"/>
    <s v=""/>
  </r>
  <r>
    <n v="605"/>
    <d v="2026-04-16T00:00:00"/>
    <d v="2026-04-16T00:00:00"/>
    <x v="5"/>
    <s v="STU-129"/>
    <s v="Returning Customer"/>
    <x v="0"/>
    <x v="0"/>
    <x v="3"/>
    <x v="3"/>
    <n v="59"/>
    <x v="0"/>
    <x v="0"/>
    <n v="0"/>
    <n v="59"/>
    <n v="57.82"/>
    <n v="57.241799999999998"/>
    <n v="0.02"/>
    <n v="1.1799999999999997"/>
    <n v="0.01"/>
    <n v="0.57820000000000249"/>
    <n v="0"/>
    <n v="0"/>
    <x v="0"/>
    <s v=""/>
  </r>
  <r>
    <n v="606"/>
    <d v="2026-02-11T00:00:00"/>
    <d v="2026-02-15T00:00:00"/>
    <x v="6"/>
    <s v="STU-530"/>
    <s v="Returning Customer"/>
    <x v="1"/>
    <x v="0"/>
    <x v="1"/>
    <x v="1"/>
    <n v="29"/>
    <x v="1"/>
    <x v="2"/>
    <n v="0"/>
    <n v="29"/>
    <n v="27.984999999999999"/>
    <n v="0"/>
    <n v="3.5000000000000003E-2"/>
    <n v="1.0150000000000006"/>
    <n v="0.01"/>
    <n v="0.27984999999999971"/>
    <n v="0"/>
    <n v="27.70515"/>
    <x v="1"/>
    <s v=""/>
  </r>
  <r>
    <n v="607"/>
    <d v="2026-03-09T00:00:00"/>
    <d v="2026-03-14T00:00:00"/>
    <x v="0"/>
    <s v="STU-103"/>
    <s v="New Customer"/>
    <x v="1"/>
    <x v="5"/>
    <x v="6"/>
    <x v="2"/>
    <n v="29"/>
    <x v="1"/>
    <x v="0"/>
    <n v="0"/>
    <n v="29"/>
    <n v="28.42"/>
    <n v="0"/>
    <n v="0.02"/>
    <n v="0.57999999999999829"/>
    <n v="0.01"/>
    <n v="0.28419999999999845"/>
    <n v="0"/>
    <n v="28.135800000000003"/>
    <x v="2"/>
    <s v=""/>
  </r>
  <r>
    <n v="608"/>
    <d v="2026-05-08T00:00:00"/>
    <d v="2026-05-13T00:00:00"/>
    <x v="3"/>
    <s v="STU-943"/>
    <s v="New Customer"/>
    <x v="0"/>
    <x v="2"/>
    <x v="2"/>
    <x v="2"/>
    <n v="29"/>
    <x v="0"/>
    <x v="0"/>
    <n v="0"/>
    <n v="29"/>
    <n v="28.42"/>
    <n v="28.135800000000003"/>
    <n v="0.02"/>
    <n v="0.57999999999999829"/>
    <n v="0.01"/>
    <n v="0.28419999999999845"/>
    <n v="0"/>
    <n v="0"/>
    <x v="2"/>
    <s v=""/>
  </r>
  <r>
    <n v="609"/>
    <d v="2026-03-26T00:00:00"/>
    <d v="2026-03-28T00:00:00"/>
    <x v="0"/>
    <s v="STU-466"/>
    <s v="Returning Customer"/>
    <x v="2"/>
    <x v="2"/>
    <x v="4"/>
    <x v="2"/>
    <n v="59"/>
    <x v="1"/>
    <x v="2"/>
    <n v="0"/>
    <n v="59"/>
    <n v="56.935000000000002"/>
    <n v="0"/>
    <n v="3.5000000000000003E-2"/>
    <n v="2.0649999999999977"/>
    <n v="0.01"/>
    <n v="0.56935000000000002"/>
    <n v="0"/>
    <n v="56.365650000000002"/>
    <x v="1"/>
    <n v="10"/>
  </r>
  <r>
    <n v="610"/>
    <d v="2026-07-13T00:00:00"/>
    <d v="2026-07-16T00:00:00"/>
    <x v="2"/>
    <s v="STU-407"/>
    <s v="Returning Customer"/>
    <x v="0"/>
    <x v="0"/>
    <x v="1"/>
    <x v="1"/>
    <n v="29"/>
    <x v="1"/>
    <x v="3"/>
    <n v="0"/>
    <n v="29"/>
    <n v="28.42"/>
    <n v="0"/>
    <n v="0.02"/>
    <n v="0.57999999999999829"/>
    <n v="0.01"/>
    <n v="0.28419999999999845"/>
    <n v="0"/>
    <n v="28.135800000000003"/>
    <x v="1"/>
    <s v=""/>
  </r>
  <r>
    <n v="611"/>
    <d v="2026-03-15T00:00:00"/>
    <d v="2026-03-18T00:00:00"/>
    <x v="0"/>
    <s v="STU-640"/>
    <s v="Returning Customer"/>
    <x v="2"/>
    <x v="1"/>
    <x v="4"/>
    <x v="2"/>
    <n v="59"/>
    <x v="2"/>
    <x v="1"/>
    <n v="0"/>
    <n v="59"/>
    <n v="59"/>
    <n v="0"/>
    <n v="0"/>
    <n v="0"/>
    <n v="0.01"/>
    <n v="0.59000000000000341"/>
    <n v="58.41"/>
    <n v="0"/>
    <x v="0"/>
    <s v=""/>
  </r>
  <r>
    <n v="612"/>
    <d v="2026-01-11T00:00:00"/>
    <d v="2026-01-11T00:00:00"/>
    <x v="4"/>
    <s v="STU-228"/>
    <s v="Returning Customer"/>
    <x v="0"/>
    <x v="0"/>
    <x v="3"/>
    <x v="3"/>
    <n v="59"/>
    <x v="1"/>
    <x v="0"/>
    <n v="0"/>
    <n v="59"/>
    <n v="57.82"/>
    <n v="0"/>
    <n v="0.02"/>
    <n v="1.1799999999999997"/>
    <n v="0.01"/>
    <n v="0.57820000000000249"/>
    <n v="0"/>
    <n v="57.241799999999998"/>
    <x v="2"/>
    <s v=""/>
  </r>
  <r>
    <n v="613"/>
    <d v="2026-05-20T00:00:00"/>
    <d v="2026-05-20T00:00:00"/>
    <x v="3"/>
    <s v="STU-482"/>
    <s v="New Customer"/>
    <x v="2"/>
    <x v="7"/>
    <x v="6"/>
    <x v="2"/>
    <n v="29"/>
    <x v="2"/>
    <x v="2"/>
    <n v="0"/>
    <n v="29"/>
    <n v="27.984999999999999"/>
    <n v="0"/>
    <n v="3.5000000000000003E-2"/>
    <n v="1.0150000000000006"/>
    <n v="0.01"/>
    <n v="0.27984999999999971"/>
    <n v="27.70515"/>
    <n v="0"/>
    <x v="0"/>
    <s v=""/>
  </r>
  <r>
    <n v="614"/>
    <d v="2026-03-20T00:00:00"/>
    <d v="2026-03-24T00:00:00"/>
    <x v="0"/>
    <s v="STU-1"/>
    <s v="Returning Customer"/>
    <x v="2"/>
    <x v="4"/>
    <x v="5"/>
    <x v="2"/>
    <n v="29"/>
    <x v="0"/>
    <x v="4"/>
    <n v="0"/>
    <n v="29"/>
    <n v="27.984999999999999"/>
    <n v="27.70515"/>
    <n v="3.5000000000000003E-2"/>
    <n v="1.0150000000000006"/>
    <n v="0.01"/>
    <n v="0.27984999999999971"/>
    <n v="0"/>
    <n v="0"/>
    <x v="0"/>
    <s v=""/>
  </r>
  <r>
    <n v="615"/>
    <d v="2026-05-29T00:00:00"/>
    <d v="2026-05-29T00:00:00"/>
    <x v="3"/>
    <s v="STU-506"/>
    <s v="Returning Customer"/>
    <x v="1"/>
    <x v="3"/>
    <x v="4"/>
    <x v="2"/>
    <n v="59"/>
    <x v="1"/>
    <x v="3"/>
    <n v="0"/>
    <n v="59"/>
    <n v="57.82"/>
    <n v="0"/>
    <n v="0.02"/>
    <n v="1.1799999999999997"/>
    <n v="0.01"/>
    <n v="0.57820000000000249"/>
    <n v="0"/>
    <n v="57.241799999999998"/>
    <x v="1"/>
    <s v=""/>
  </r>
  <r>
    <n v="616"/>
    <d v="2026-01-19T00:00:00"/>
    <d v="2026-01-23T00:00:00"/>
    <x v="4"/>
    <s v="STU-206"/>
    <s v="New Customer"/>
    <x v="2"/>
    <x v="4"/>
    <x v="6"/>
    <x v="2"/>
    <n v="29"/>
    <x v="0"/>
    <x v="3"/>
    <n v="0"/>
    <n v="29"/>
    <n v="28.42"/>
    <n v="28.135800000000003"/>
    <n v="0.02"/>
    <n v="0.57999999999999829"/>
    <n v="0.01"/>
    <n v="0.28419999999999845"/>
    <n v="0"/>
    <n v="0"/>
    <x v="1"/>
    <s v=""/>
  </r>
  <r>
    <n v="617"/>
    <d v="2026-01-29T00:00:00"/>
    <d v="2026-02-01T00:00:00"/>
    <x v="6"/>
    <s v="STU-268"/>
    <s v="Returning Customer"/>
    <x v="1"/>
    <x v="6"/>
    <x v="0"/>
    <x v="0"/>
    <n v="59"/>
    <x v="1"/>
    <x v="1"/>
    <n v="0"/>
    <n v="59"/>
    <n v="59"/>
    <n v="0"/>
    <n v="0"/>
    <n v="0"/>
    <n v="0.01"/>
    <n v="0.59000000000000341"/>
    <n v="0"/>
    <n v="58.41"/>
    <x v="1"/>
    <s v=""/>
  </r>
  <r>
    <n v="618"/>
    <d v="2026-02-13T00:00:00"/>
    <d v="2026-02-14T00:00:00"/>
    <x v="6"/>
    <s v="STU-364"/>
    <s v="New Customer"/>
    <x v="2"/>
    <x v="7"/>
    <x v="2"/>
    <x v="2"/>
    <n v="29"/>
    <x v="2"/>
    <x v="1"/>
    <n v="0"/>
    <n v="29"/>
    <n v="29"/>
    <n v="0"/>
    <n v="0"/>
    <n v="0"/>
    <n v="0.01"/>
    <n v="0.28999999999999915"/>
    <n v="28.71"/>
    <n v="0"/>
    <x v="2"/>
    <s v=""/>
  </r>
  <r>
    <n v="619"/>
    <d v="2026-01-17T00:00:00"/>
    <d v="2026-01-18T00:00:00"/>
    <x v="4"/>
    <s v="STU-127"/>
    <s v="Returning Customer"/>
    <x v="1"/>
    <x v="3"/>
    <x v="3"/>
    <x v="3"/>
    <n v="59"/>
    <x v="2"/>
    <x v="0"/>
    <n v="0"/>
    <n v="59"/>
    <n v="57.82"/>
    <n v="0"/>
    <n v="0.02"/>
    <n v="1.1799999999999997"/>
    <n v="0.01"/>
    <n v="0.57820000000000249"/>
    <n v="57.241799999999998"/>
    <n v="0"/>
    <x v="2"/>
    <s v=""/>
  </r>
  <r>
    <n v="620"/>
    <d v="2026-03-27T00:00:00"/>
    <d v="2026-03-30T00:00:00"/>
    <x v="0"/>
    <s v="STU-603"/>
    <s v="New Customer"/>
    <x v="2"/>
    <x v="7"/>
    <x v="1"/>
    <x v="1"/>
    <n v="29"/>
    <x v="1"/>
    <x v="4"/>
    <n v="0"/>
    <n v="29"/>
    <n v="27.984999999999999"/>
    <n v="0"/>
    <n v="3.5000000000000003E-2"/>
    <n v="1.0150000000000006"/>
    <n v="0.01"/>
    <n v="0.27984999999999971"/>
    <n v="0"/>
    <n v="27.70515"/>
    <x v="0"/>
    <s v=""/>
  </r>
  <r>
    <n v="621"/>
    <d v="2026-02-04T00:00:00"/>
    <d v="2026-02-09T00:00:00"/>
    <x v="6"/>
    <s v="STU-348"/>
    <s v="Returning Customer"/>
    <x v="0"/>
    <x v="7"/>
    <x v="1"/>
    <x v="1"/>
    <n v="29"/>
    <x v="1"/>
    <x v="4"/>
    <n v="0"/>
    <n v="29"/>
    <n v="27.984999999999999"/>
    <n v="0"/>
    <n v="3.5000000000000003E-2"/>
    <n v="1.0150000000000006"/>
    <n v="0.01"/>
    <n v="0.27984999999999971"/>
    <n v="0"/>
    <n v="27.70515"/>
    <x v="0"/>
    <n v="10"/>
  </r>
  <r>
    <n v="622"/>
    <d v="2026-07-07T00:00:00"/>
    <d v="2026-07-07T00:00:00"/>
    <x v="2"/>
    <s v="STU-273"/>
    <s v="New Customer"/>
    <x v="0"/>
    <x v="4"/>
    <x v="2"/>
    <x v="2"/>
    <n v="29"/>
    <x v="0"/>
    <x v="0"/>
    <n v="0"/>
    <n v="29"/>
    <n v="28.42"/>
    <n v="28.135800000000003"/>
    <n v="0.02"/>
    <n v="0.57999999999999829"/>
    <n v="0.01"/>
    <n v="0.28419999999999845"/>
    <n v="0"/>
    <n v="0"/>
    <x v="2"/>
    <s v=""/>
  </r>
  <r>
    <n v="623"/>
    <d v="2026-01-12T00:00:00"/>
    <d v="2026-01-17T00:00:00"/>
    <x v="4"/>
    <s v="STU-597"/>
    <s v="New Customer"/>
    <x v="0"/>
    <x v="7"/>
    <x v="7"/>
    <x v="3"/>
    <n v="99"/>
    <x v="1"/>
    <x v="0"/>
    <n v="0"/>
    <n v="99"/>
    <n v="97.02"/>
    <n v="0"/>
    <n v="0.02"/>
    <n v="1.980000000000004"/>
    <n v="0.01"/>
    <n v="0.9702000000000055"/>
    <n v="0"/>
    <n v="96.049799999999991"/>
    <x v="2"/>
    <s v=""/>
  </r>
  <r>
    <n v="624"/>
    <d v="2026-02-19T00:00:00"/>
    <d v="2026-02-21T00:00:00"/>
    <x v="6"/>
    <s v="STU-710"/>
    <s v="New Customer"/>
    <x v="2"/>
    <x v="1"/>
    <x v="2"/>
    <x v="2"/>
    <n v="29"/>
    <x v="1"/>
    <x v="3"/>
    <n v="0"/>
    <n v="29"/>
    <n v="28.42"/>
    <n v="0"/>
    <n v="0.02"/>
    <n v="0.57999999999999829"/>
    <n v="0.01"/>
    <n v="0.28419999999999845"/>
    <n v="0"/>
    <n v="28.135800000000003"/>
    <x v="2"/>
    <s v=""/>
  </r>
  <r>
    <n v="625"/>
    <d v="2026-03-31T00:00:00"/>
    <d v="2026-04-02T00:00:00"/>
    <x v="5"/>
    <s v="STU-698"/>
    <s v="New Customer"/>
    <x v="0"/>
    <x v="6"/>
    <x v="7"/>
    <x v="3"/>
    <n v="99"/>
    <x v="1"/>
    <x v="1"/>
    <n v="0"/>
    <n v="99"/>
    <n v="99"/>
    <n v="0"/>
    <n v="0"/>
    <n v="0"/>
    <n v="0.01"/>
    <n v="0.98999999999999488"/>
    <n v="0"/>
    <n v="98.01"/>
    <x v="0"/>
    <s v=""/>
  </r>
  <r>
    <n v="626"/>
    <d v="2026-02-05T00:00:00"/>
    <d v="2026-02-10T00:00:00"/>
    <x v="6"/>
    <s v="STU-434"/>
    <s v="New Customer"/>
    <x v="2"/>
    <x v="3"/>
    <x v="0"/>
    <x v="0"/>
    <n v="59"/>
    <x v="1"/>
    <x v="3"/>
    <n v="0"/>
    <n v="59"/>
    <n v="57.82"/>
    <n v="0"/>
    <n v="0.02"/>
    <n v="1.1799999999999997"/>
    <n v="0.01"/>
    <n v="0.57820000000000249"/>
    <n v="0"/>
    <n v="57.241799999999998"/>
    <x v="2"/>
    <s v=""/>
  </r>
  <r>
    <n v="627"/>
    <d v="2026-01-14T00:00:00"/>
    <d v="2026-01-14T00:00:00"/>
    <x v="4"/>
    <s v="STU-857"/>
    <s v="New Customer"/>
    <x v="0"/>
    <x v="5"/>
    <x v="6"/>
    <x v="2"/>
    <n v="29"/>
    <x v="0"/>
    <x v="0"/>
    <n v="0"/>
    <n v="29"/>
    <n v="28.42"/>
    <n v="28.135800000000003"/>
    <n v="0.02"/>
    <n v="0.57999999999999829"/>
    <n v="0.01"/>
    <n v="0.28419999999999845"/>
    <n v="0"/>
    <n v="0"/>
    <x v="1"/>
    <n v="10"/>
  </r>
  <r>
    <n v="628"/>
    <d v="2026-04-14T00:00:00"/>
    <d v="2026-04-15T00:00:00"/>
    <x v="5"/>
    <s v="STU-205"/>
    <s v="Returning Customer"/>
    <x v="1"/>
    <x v="4"/>
    <x v="6"/>
    <x v="2"/>
    <n v="29"/>
    <x v="0"/>
    <x v="2"/>
    <n v="0"/>
    <n v="29"/>
    <n v="27.984999999999999"/>
    <n v="27.70515"/>
    <n v="3.5000000000000003E-2"/>
    <n v="1.0150000000000006"/>
    <n v="0.01"/>
    <n v="0.27984999999999971"/>
    <n v="0"/>
    <n v="0"/>
    <x v="0"/>
    <s v=""/>
  </r>
  <r>
    <n v="629"/>
    <d v="2026-05-18T00:00:00"/>
    <d v="2026-05-20T00:00:00"/>
    <x v="3"/>
    <s v="STU-166"/>
    <s v="New Customer"/>
    <x v="2"/>
    <x v="4"/>
    <x v="0"/>
    <x v="0"/>
    <n v="59"/>
    <x v="1"/>
    <x v="3"/>
    <n v="0"/>
    <n v="59"/>
    <n v="57.82"/>
    <n v="0"/>
    <n v="0.02"/>
    <n v="1.1799999999999997"/>
    <n v="0.01"/>
    <n v="0.57820000000000249"/>
    <n v="0"/>
    <n v="57.241799999999998"/>
    <x v="0"/>
    <s v=""/>
  </r>
  <r>
    <n v="630"/>
    <d v="2026-01-22T00:00:00"/>
    <d v="2026-01-22T00:00:00"/>
    <x v="4"/>
    <s v="STU-240"/>
    <s v="New Customer"/>
    <x v="1"/>
    <x v="1"/>
    <x v="5"/>
    <x v="2"/>
    <n v="29"/>
    <x v="1"/>
    <x v="4"/>
    <n v="0"/>
    <n v="29"/>
    <n v="27.984999999999999"/>
    <n v="0"/>
    <n v="3.5000000000000003E-2"/>
    <n v="1.0150000000000006"/>
    <n v="0.01"/>
    <n v="0.27984999999999971"/>
    <n v="0"/>
    <n v="27.70515"/>
    <x v="1"/>
    <n v="10"/>
  </r>
  <r>
    <n v="631"/>
    <d v="2026-01-09T00:00:00"/>
    <d v="2026-01-14T00:00:00"/>
    <x v="4"/>
    <s v="STU-538"/>
    <s v="New Customer"/>
    <x v="2"/>
    <x v="2"/>
    <x v="0"/>
    <x v="0"/>
    <n v="59"/>
    <x v="0"/>
    <x v="0"/>
    <n v="0"/>
    <n v="59"/>
    <n v="57.82"/>
    <n v="57.241799999999998"/>
    <n v="0.02"/>
    <n v="1.1799999999999997"/>
    <n v="0.01"/>
    <n v="0.57820000000000249"/>
    <n v="0"/>
    <n v="0"/>
    <x v="1"/>
    <s v=""/>
  </r>
  <r>
    <n v="632"/>
    <d v="2026-07-05T00:00:00"/>
    <d v="2026-07-05T00:00:00"/>
    <x v="2"/>
    <s v="STU-861"/>
    <s v="Returning Customer"/>
    <x v="0"/>
    <x v="5"/>
    <x v="6"/>
    <x v="2"/>
    <n v="29"/>
    <x v="2"/>
    <x v="4"/>
    <n v="0"/>
    <n v="29"/>
    <n v="27.984999999999999"/>
    <n v="0"/>
    <n v="3.5000000000000003E-2"/>
    <n v="1.0150000000000006"/>
    <n v="0.01"/>
    <n v="0.27984999999999971"/>
    <n v="27.70515"/>
    <n v="0"/>
    <x v="0"/>
    <s v=""/>
  </r>
  <r>
    <n v="633"/>
    <d v="2026-04-05T00:00:00"/>
    <d v="2026-04-08T00:00:00"/>
    <x v="5"/>
    <s v="STU-425"/>
    <s v="New Customer"/>
    <x v="0"/>
    <x v="3"/>
    <x v="5"/>
    <x v="2"/>
    <n v="29"/>
    <x v="1"/>
    <x v="0"/>
    <n v="0"/>
    <n v="29"/>
    <n v="28.42"/>
    <n v="0"/>
    <n v="0.02"/>
    <n v="0.57999999999999829"/>
    <n v="0.01"/>
    <n v="0.28419999999999845"/>
    <n v="0"/>
    <n v="28.135800000000003"/>
    <x v="2"/>
    <s v=""/>
  </r>
  <r>
    <n v="634"/>
    <d v="2026-05-04T00:00:00"/>
    <d v="2026-05-05T00:00:00"/>
    <x v="3"/>
    <s v="STU-357"/>
    <s v="Returning Customer"/>
    <x v="1"/>
    <x v="0"/>
    <x v="7"/>
    <x v="3"/>
    <n v="99"/>
    <x v="0"/>
    <x v="4"/>
    <n v="0"/>
    <n v="99"/>
    <n v="95.534999999999997"/>
    <n v="94.579650000000001"/>
    <n v="3.5000000000000003E-2"/>
    <n v="3.4650000000000034"/>
    <n v="0.01"/>
    <n v="0.9553499999999957"/>
    <n v="0"/>
    <n v="0"/>
    <x v="2"/>
    <s v=""/>
  </r>
  <r>
    <n v="635"/>
    <d v="2026-06-26T00:00:00"/>
    <d v="2026-06-27T00:00:00"/>
    <x v="1"/>
    <s v="STU-630"/>
    <s v="New Customer"/>
    <x v="1"/>
    <x v="0"/>
    <x v="3"/>
    <x v="3"/>
    <n v="59"/>
    <x v="1"/>
    <x v="2"/>
    <n v="0"/>
    <n v="59"/>
    <n v="56.935000000000002"/>
    <n v="0"/>
    <n v="3.5000000000000003E-2"/>
    <n v="2.0649999999999977"/>
    <n v="0.01"/>
    <n v="0.56935000000000002"/>
    <n v="0"/>
    <n v="56.365650000000002"/>
    <x v="0"/>
    <s v=""/>
  </r>
  <r>
    <n v="636"/>
    <d v="2026-02-01T00:00:00"/>
    <d v="2026-02-05T00:00:00"/>
    <x v="6"/>
    <s v="STU-563"/>
    <s v="New Customer"/>
    <x v="0"/>
    <x v="5"/>
    <x v="6"/>
    <x v="2"/>
    <n v="29"/>
    <x v="0"/>
    <x v="3"/>
    <n v="0"/>
    <n v="29"/>
    <n v="28.42"/>
    <n v="28.135800000000003"/>
    <n v="0.02"/>
    <n v="0.57999999999999829"/>
    <n v="0.01"/>
    <n v="0.28419999999999845"/>
    <n v="0"/>
    <n v="0"/>
    <x v="0"/>
    <s v=""/>
  </r>
  <r>
    <n v="637"/>
    <d v="2026-01-17T00:00:00"/>
    <d v="2026-01-18T00:00:00"/>
    <x v="4"/>
    <s v="STU-693"/>
    <s v="Returning Customer"/>
    <x v="0"/>
    <x v="0"/>
    <x v="1"/>
    <x v="1"/>
    <n v="29"/>
    <x v="1"/>
    <x v="4"/>
    <n v="0"/>
    <n v="29"/>
    <n v="27.984999999999999"/>
    <n v="0"/>
    <n v="3.5000000000000003E-2"/>
    <n v="1.0150000000000006"/>
    <n v="0.01"/>
    <n v="0.27984999999999971"/>
    <n v="0"/>
    <n v="27.70515"/>
    <x v="0"/>
    <s v=""/>
  </r>
  <r>
    <n v="638"/>
    <d v="2026-07-04T00:00:00"/>
    <d v="2026-07-06T00:00:00"/>
    <x v="2"/>
    <s v="STU-842"/>
    <s v="Returning Customer"/>
    <x v="0"/>
    <x v="4"/>
    <x v="3"/>
    <x v="3"/>
    <n v="59"/>
    <x v="1"/>
    <x v="2"/>
    <n v="0"/>
    <n v="59"/>
    <n v="56.935000000000002"/>
    <n v="0"/>
    <n v="3.5000000000000003E-2"/>
    <n v="2.0649999999999977"/>
    <n v="0.01"/>
    <n v="0.56935000000000002"/>
    <n v="0"/>
    <n v="56.365650000000002"/>
    <x v="0"/>
    <s v=""/>
  </r>
  <r>
    <n v="639"/>
    <d v="2026-04-05T00:00:00"/>
    <d v="2026-04-07T00:00:00"/>
    <x v="5"/>
    <s v="STU-648"/>
    <s v="Returning Customer"/>
    <x v="1"/>
    <x v="1"/>
    <x v="2"/>
    <x v="2"/>
    <n v="29"/>
    <x v="1"/>
    <x v="3"/>
    <n v="0"/>
    <n v="29"/>
    <n v="28.42"/>
    <n v="0"/>
    <n v="0.02"/>
    <n v="0.57999999999999829"/>
    <n v="0.01"/>
    <n v="0.28419999999999845"/>
    <n v="0"/>
    <n v="28.135800000000003"/>
    <x v="0"/>
    <s v=""/>
  </r>
  <r>
    <n v="640"/>
    <d v="2026-01-31T00:00:00"/>
    <d v="2026-01-31T00:00:00"/>
    <x v="4"/>
    <s v="STU-532"/>
    <s v="Returning Customer"/>
    <x v="0"/>
    <x v="7"/>
    <x v="4"/>
    <x v="2"/>
    <n v="59"/>
    <x v="1"/>
    <x v="2"/>
    <n v="0"/>
    <n v="59"/>
    <n v="56.935000000000002"/>
    <n v="0"/>
    <n v="3.5000000000000003E-2"/>
    <n v="2.0649999999999977"/>
    <n v="0.01"/>
    <n v="0.56935000000000002"/>
    <n v="0"/>
    <n v="56.365650000000002"/>
    <x v="2"/>
    <s v=""/>
  </r>
  <r>
    <n v="641"/>
    <d v="2026-02-15T00:00:00"/>
    <d v="2026-02-16T00:00:00"/>
    <x v="6"/>
    <s v="STU-248"/>
    <s v="Returning Customer"/>
    <x v="0"/>
    <x v="3"/>
    <x v="3"/>
    <x v="3"/>
    <n v="59"/>
    <x v="1"/>
    <x v="2"/>
    <n v="0"/>
    <n v="59"/>
    <n v="56.935000000000002"/>
    <n v="0"/>
    <n v="3.5000000000000003E-2"/>
    <n v="2.0649999999999977"/>
    <n v="0.01"/>
    <n v="0.56935000000000002"/>
    <n v="0"/>
    <n v="56.365650000000002"/>
    <x v="2"/>
    <n v="10"/>
  </r>
  <r>
    <n v="642"/>
    <d v="2026-02-22T00:00:00"/>
    <d v="2026-02-25T00:00:00"/>
    <x v="6"/>
    <s v="STU-398"/>
    <s v="Returning Customer"/>
    <x v="2"/>
    <x v="5"/>
    <x v="1"/>
    <x v="1"/>
    <n v="29"/>
    <x v="1"/>
    <x v="1"/>
    <n v="0"/>
    <n v="29"/>
    <n v="29"/>
    <n v="0"/>
    <n v="0"/>
    <n v="0"/>
    <n v="0.01"/>
    <n v="0.28999999999999915"/>
    <n v="0"/>
    <n v="28.71"/>
    <x v="0"/>
    <s v=""/>
  </r>
  <r>
    <n v="643"/>
    <d v="2026-06-30T00:00:00"/>
    <d v="2026-07-04T00:00:00"/>
    <x v="2"/>
    <s v="STU-238"/>
    <s v="New Customer"/>
    <x v="1"/>
    <x v="7"/>
    <x v="2"/>
    <x v="2"/>
    <n v="29"/>
    <x v="0"/>
    <x v="2"/>
    <n v="0"/>
    <n v="29"/>
    <n v="27.984999999999999"/>
    <n v="27.70515"/>
    <n v="3.5000000000000003E-2"/>
    <n v="1.0150000000000006"/>
    <n v="0.01"/>
    <n v="0.27984999999999971"/>
    <n v="0"/>
    <n v="0"/>
    <x v="2"/>
    <s v=""/>
  </r>
  <r>
    <n v="644"/>
    <d v="2026-03-01T00:00:00"/>
    <d v="2026-03-02T00:00:00"/>
    <x v="0"/>
    <s v="STU-569"/>
    <s v="New Customer"/>
    <x v="2"/>
    <x v="4"/>
    <x v="1"/>
    <x v="1"/>
    <n v="29"/>
    <x v="1"/>
    <x v="2"/>
    <n v="0"/>
    <n v="29"/>
    <n v="27.984999999999999"/>
    <n v="0"/>
    <n v="3.5000000000000003E-2"/>
    <n v="1.0150000000000006"/>
    <n v="0.01"/>
    <n v="0.27984999999999971"/>
    <n v="0"/>
    <n v="27.70515"/>
    <x v="1"/>
    <s v=""/>
  </r>
  <r>
    <n v="645"/>
    <d v="2026-05-21T00:00:00"/>
    <d v="2026-05-21T00:00:00"/>
    <x v="3"/>
    <s v="STU-855"/>
    <s v="Returning Customer"/>
    <x v="0"/>
    <x v="4"/>
    <x v="5"/>
    <x v="2"/>
    <n v="29"/>
    <x v="1"/>
    <x v="4"/>
    <n v="0"/>
    <n v="29"/>
    <n v="27.984999999999999"/>
    <n v="0"/>
    <n v="3.5000000000000003E-2"/>
    <n v="1.0150000000000006"/>
    <n v="0.01"/>
    <n v="0.27984999999999971"/>
    <n v="0"/>
    <n v="27.70515"/>
    <x v="1"/>
    <s v=""/>
  </r>
  <r>
    <n v="646"/>
    <d v="2026-01-30T00:00:00"/>
    <d v="2026-01-31T00:00:00"/>
    <x v="4"/>
    <s v="STU-474"/>
    <s v="New Customer"/>
    <x v="2"/>
    <x v="2"/>
    <x v="6"/>
    <x v="2"/>
    <n v="29"/>
    <x v="2"/>
    <x v="2"/>
    <n v="0"/>
    <n v="29"/>
    <n v="27.984999999999999"/>
    <n v="0"/>
    <n v="3.5000000000000003E-2"/>
    <n v="1.0150000000000006"/>
    <n v="0.01"/>
    <n v="0.27984999999999971"/>
    <n v="27.70515"/>
    <n v="0"/>
    <x v="0"/>
    <s v=""/>
  </r>
  <r>
    <n v="647"/>
    <d v="2026-02-28T00:00:00"/>
    <d v="2026-03-02T00:00:00"/>
    <x v="0"/>
    <s v="STU-477"/>
    <s v="New Customer"/>
    <x v="0"/>
    <x v="0"/>
    <x v="4"/>
    <x v="2"/>
    <n v="59"/>
    <x v="2"/>
    <x v="2"/>
    <n v="0"/>
    <n v="59"/>
    <n v="56.935000000000002"/>
    <n v="0"/>
    <n v="3.5000000000000003E-2"/>
    <n v="2.0649999999999977"/>
    <n v="0.01"/>
    <n v="0.56935000000000002"/>
    <n v="56.365650000000002"/>
    <n v="0"/>
    <x v="2"/>
    <s v=""/>
  </r>
  <r>
    <n v="648"/>
    <d v="2026-02-19T00:00:00"/>
    <d v="2026-02-22T00:00:00"/>
    <x v="6"/>
    <s v="STU-888"/>
    <s v="New Customer"/>
    <x v="2"/>
    <x v="6"/>
    <x v="1"/>
    <x v="1"/>
    <n v="29"/>
    <x v="2"/>
    <x v="1"/>
    <n v="0"/>
    <n v="29"/>
    <n v="29"/>
    <n v="0"/>
    <n v="0"/>
    <n v="0"/>
    <n v="0.01"/>
    <n v="0.28999999999999915"/>
    <n v="28.71"/>
    <n v="0"/>
    <x v="2"/>
    <s v=""/>
  </r>
  <r>
    <n v="649"/>
    <d v="2026-03-12T00:00:00"/>
    <d v="2026-03-16T00:00:00"/>
    <x v="0"/>
    <s v="STU-922"/>
    <s v="Returning Customer"/>
    <x v="2"/>
    <x v="3"/>
    <x v="1"/>
    <x v="1"/>
    <n v="29"/>
    <x v="1"/>
    <x v="3"/>
    <n v="0"/>
    <n v="29"/>
    <n v="28.42"/>
    <n v="0"/>
    <n v="0.02"/>
    <n v="0.57999999999999829"/>
    <n v="0.01"/>
    <n v="0.28419999999999845"/>
    <n v="0"/>
    <n v="28.135800000000003"/>
    <x v="2"/>
    <s v=""/>
  </r>
  <r>
    <n v="650"/>
    <d v="2026-02-10T00:00:00"/>
    <d v="2026-02-12T00:00:00"/>
    <x v="6"/>
    <s v="STU-271"/>
    <s v="New Customer"/>
    <x v="2"/>
    <x v="6"/>
    <x v="7"/>
    <x v="3"/>
    <n v="99"/>
    <x v="1"/>
    <x v="4"/>
    <n v="0"/>
    <n v="99"/>
    <n v="95.534999999999997"/>
    <n v="0"/>
    <n v="3.5000000000000003E-2"/>
    <n v="3.4650000000000034"/>
    <n v="0.01"/>
    <n v="0.9553499999999957"/>
    <n v="0"/>
    <n v="94.579650000000001"/>
    <x v="1"/>
    <s v=""/>
  </r>
  <r>
    <n v="651"/>
    <d v="2026-03-15T00:00:00"/>
    <d v="2026-03-20T00:00:00"/>
    <x v="0"/>
    <s v="STU-970"/>
    <s v="New Customer"/>
    <x v="0"/>
    <x v="2"/>
    <x v="0"/>
    <x v="0"/>
    <n v="59"/>
    <x v="1"/>
    <x v="0"/>
    <n v="0"/>
    <n v="59"/>
    <n v="57.82"/>
    <n v="0"/>
    <n v="0.02"/>
    <n v="1.1799999999999997"/>
    <n v="0.01"/>
    <n v="0.57820000000000249"/>
    <n v="0"/>
    <n v="57.241799999999998"/>
    <x v="1"/>
    <s v=""/>
  </r>
  <r>
    <n v="652"/>
    <d v="2026-03-30T00:00:00"/>
    <d v="2026-03-30T00:00:00"/>
    <x v="0"/>
    <s v="STU-791"/>
    <s v="Returning Customer"/>
    <x v="2"/>
    <x v="6"/>
    <x v="0"/>
    <x v="0"/>
    <n v="59"/>
    <x v="0"/>
    <x v="0"/>
    <n v="0"/>
    <n v="59"/>
    <n v="57.82"/>
    <n v="57.241799999999998"/>
    <n v="0.02"/>
    <n v="1.1799999999999997"/>
    <n v="0.01"/>
    <n v="0.57820000000000249"/>
    <n v="0"/>
    <n v="0"/>
    <x v="2"/>
    <s v=""/>
  </r>
  <r>
    <n v="653"/>
    <d v="2026-05-13T00:00:00"/>
    <d v="2026-05-17T00:00:00"/>
    <x v="3"/>
    <s v="STU-243"/>
    <s v="Returning Customer"/>
    <x v="1"/>
    <x v="2"/>
    <x v="0"/>
    <x v="0"/>
    <n v="59"/>
    <x v="1"/>
    <x v="2"/>
    <n v="0"/>
    <n v="59"/>
    <n v="56.935000000000002"/>
    <n v="0"/>
    <n v="3.5000000000000003E-2"/>
    <n v="2.0649999999999977"/>
    <n v="0.01"/>
    <n v="0.56935000000000002"/>
    <n v="0"/>
    <n v="56.365650000000002"/>
    <x v="1"/>
    <s v=""/>
  </r>
  <r>
    <n v="654"/>
    <d v="2026-04-22T00:00:00"/>
    <d v="2026-04-22T00:00:00"/>
    <x v="5"/>
    <s v="STU-180"/>
    <s v="Returning Customer"/>
    <x v="2"/>
    <x v="0"/>
    <x v="1"/>
    <x v="1"/>
    <n v="29"/>
    <x v="1"/>
    <x v="2"/>
    <n v="0"/>
    <n v="29"/>
    <n v="27.984999999999999"/>
    <n v="0"/>
    <n v="3.5000000000000003E-2"/>
    <n v="1.0150000000000006"/>
    <n v="0.01"/>
    <n v="0.27984999999999971"/>
    <n v="0"/>
    <n v="27.70515"/>
    <x v="1"/>
    <s v=""/>
  </r>
  <r>
    <n v="655"/>
    <d v="2026-01-17T00:00:00"/>
    <d v="2026-01-18T00:00:00"/>
    <x v="4"/>
    <s v="STU-140"/>
    <s v="Returning Customer"/>
    <x v="2"/>
    <x v="0"/>
    <x v="7"/>
    <x v="3"/>
    <n v="99"/>
    <x v="0"/>
    <x v="0"/>
    <n v="0"/>
    <n v="99"/>
    <n v="97.02"/>
    <n v="96.049799999999991"/>
    <n v="0.02"/>
    <n v="1.980000000000004"/>
    <n v="0.01"/>
    <n v="0.9702000000000055"/>
    <n v="0"/>
    <n v="0"/>
    <x v="1"/>
    <s v=""/>
  </r>
  <r>
    <n v="656"/>
    <d v="2026-01-10T00:00:00"/>
    <d v="2026-01-15T00:00:00"/>
    <x v="4"/>
    <s v="STU-491"/>
    <s v="Returning Customer"/>
    <x v="2"/>
    <x v="1"/>
    <x v="1"/>
    <x v="1"/>
    <n v="29"/>
    <x v="0"/>
    <x v="0"/>
    <n v="0"/>
    <n v="29"/>
    <n v="28.42"/>
    <n v="28.135800000000003"/>
    <n v="0.02"/>
    <n v="0.57999999999999829"/>
    <n v="0.01"/>
    <n v="0.28419999999999845"/>
    <n v="0"/>
    <n v="0"/>
    <x v="2"/>
    <s v=""/>
  </r>
  <r>
    <n v="657"/>
    <d v="2026-07-07T00:00:00"/>
    <d v="2026-07-07T00:00:00"/>
    <x v="2"/>
    <s v="STU-38"/>
    <s v="New Customer"/>
    <x v="0"/>
    <x v="2"/>
    <x v="0"/>
    <x v="0"/>
    <n v="59"/>
    <x v="1"/>
    <x v="2"/>
    <n v="0"/>
    <n v="59"/>
    <n v="56.935000000000002"/>
    <n v="0"/>
    <n v="3.5000000000000003E-2"/>
    <n v="2.0649999999999977"/>
    <n v="0.01"/>
    <n v="0.56935000000000002"/>
    <n v="0"/>
    <n v="56.365650000000002"/>
    <x v="0"/>
    <s v=""/>
  </r>
  <r>
    <n v="658"/>
    <d v="2026-03-16T00:00:00"/>
    <d v="2026-03-17T00:00:00"/>
    <x v="0"/>
    <s v="STU-592"/>
    <s v="New Customer"/>
    <x v="2"/>
    <x v="1"/>
    <x v="4"/>
    <x v="2"/>
    <n v="59"/>
    <x v="0"/>
    <x v="1"/>
    <n v="0"/>
    <n v="59"/>
    <n v="59"/>
    <n v="58.41"/>
    <n v="0"/>
    <n v="0"/>
    <n v="0.01"/>
    <n v="0.59000000000000341"/>
    <n v="0"/>
    <n v="0"/>
    <x v="2"/>
    <s v=""/>
  </r>
  <r>
    <n v="659"/>
    <d v="2026-06-24T00:00:00"/>
    <d v="2026-06-29T00:00:00"/>
    <x v="1"/>
    <s v="STU-344"/>
    <s v="Returning Customer"/>
    <x v="1"/>
    <x v="3"/>
    <x v="5"/>
    <x v="2"/>
    <n v="29"/>
    <x v="1"/>
    <x v="0"/>
    <n v="0"/>
    <n v="29"/>
    <n v="28.42"/>
    <n v="0"/>
    <n v="0.02"/>
    <n v="0.57999999999999829"/>
    <n v="0.01"/>
    <n v="0.28419999999999845"/>
    <n v="0"/>
    <n v="28.135800000000003"/>
    <x v="2"/>
    <s v=""/>
  </r>
  <r>
    <n v="660"/>
    <d v="2026-03-18T00:00:00"/>
    <d v="2026-03-22T00:00:00"/>
    <x v="0"/>
    <s v="STU-544"/>
    <s v="New Customer"/>
    <x v="0"/>
    <x v="7"/>
    <x v="1"/>
    <x v="1"/>
    <n v="29"/>
    <x v="1"/>
    <x v="3"/>
    <n v="0"/>
    <n v="29"/>
    <n v="28.42"/>
    <n v="0"/>
    <n v="0.02"/>
    <n v="0.57999999999999829"/>
    <n v="0.01"/>
    <n v="0.28419999999999845"/>
    <n v="0"/>
    <n v="28.135800000000003"/>
    <x v="0"/>
    <s v=""/>
  </r>
  <r>
    <n v="661"/>
    <d v="2026-01-31T00:00:00"/>
    <d v="2026-02-04T00:00:00"/>
    <x v="6"/>
    <s v="STU-14"/>
    <s v="New Customer"/>
    <x v="1"/>
    <x v="7"/>
    <x v="7"/>
    <x v="3"/>
    <n v="99"/>
    <x v="1"/>
    <x v="1"/>
    <n v="0"/>
    <n v="99"/>
    <n v="99"/>
    <n v="0"/>
    <n v="0"/>
    <n v="0"/>
    <n v="0.01"/>
    <n v="0.98999999999999488"/>
    <n v="0"/>
    <n v="98.01"/>
    <x v="0"/>
    <s v=""/>
  </r>
  <r>
    <n v="662"/>
    <d v="2026-02-21T00:00:00"/>
    <d v="2026-02-26T00:00:00"/>
    <x v="6"/>
    <s v="STU-249"/>
    <s v="New Customer"/>
    <x v="0"/>
    <x v="1"/>
    <x v="7"/>
    <x v="3"/>
    <n v="99"/>
    <x v="0"/>
    <x v="3"/>
    <n v="0"/>
    <n v="99"/>
    <n v="97.02"/>
    <n v="96.049799999999991"/>
    <n v="0.02"/>
    <n v="1.980000000000004"/>
    <n v="0.01"/>
    <n v="0.9702000000000055"/>
    <n v="0"/>
    <n v="0"/>
    <x v="0"/>
    <s v=""/>
  </r>
  <r>
    <n v="663"/>
    <d v="2026-02-21T00:00:00"/>
    <d v="2026-02-26T00:00:00"/>
    <x v="6"/>
    <s v="STU-886"/>
    <s v="Returning Customer"/>
    <x v="0"/>
    <x v="3"/>
    <x v="4"/>
    <x v="2"/>
    <n v="59"/>
    <x v="1"/>
    <x v="2"/>
    <n v="0"/>
    <n v="59"/>
    <n v="56.935000000000002"/>
    <n v="0"/>
    <n v="3.5000000000000003E-2"/>
    <n v="2.0649999999999977"/>
    <n v="0.01"/>
    <n v="0.56935000000000002"/>
    <n v="0"/>
    <n v="56.365650000000002"/>
    <x v="2"/>
    <s v=""/>
  </r>
  <r>
    <n v="664"/>
    <d v="2026-05-08T00:00:00"/>
    <d v="2026-05-08T00:00:00"/>
    <x v="3"/>
    <s v="STU-629"/>
    <s v="Returning Customer"/>
    <x v="1"/>
    <x v="0"/>
    <x v="3"/>
    <x v="3"/>
    <n v="59"/>
    <x v="2"/>
    <x v="0"/>
    <n v="0"/>
    <n v="59"/>
    <n v="57.82"/>
    <n v="0"/>
    <n v="0.02"/>
    <n v="1.1799999999999997"/>
    <n v="0.01"/>
    <n v="0.57820000000000249"/>
    <n v="57.241799999999998"/>
    <n v="0"/>
    <x v="0"/>
    <s v=""/>
  </r>
  <r>
    <n v="665"/>
    <d v="2026-02-27T00:00:00"/>
    <d v="2026-03-02T00:00:00"/>
    <x v="0"/>
    <s v="STU-7"/>
    <s v="New Customer"/>
    <x v="2"/>
    <x v="6"/>
    <x v="7"/>
    <x v="3"/>
    <n v="99"/>
    <x v="1"/>
    <x v="0"/>
    <n v="0"/>
    <n v="99"/>
    <n v="97.02"/>
    <n v="0"/>
    <n v="0.02"/>
    <n v="1.980000000000004"/>
    <n v="0.01"/>
    <n v="0.9702000000000055"/>
    <n v="0"/>
    <n v="96.049799999999991"/>
    <x v="1"/>
    <s v=""/>
  </r>
  <r>
    <n v="666"/>
    <d v="2026-06-03T00:00:00"/>
    <d v="2026-06-07T00:00:00"/>
    <x v="1"/>
    <s v="STU-160"/>
    <s v="New Customer"/>
    <x v="0"/>
    <x v="1"/>
    <x v="1"/>
    <x v="1"/>
    <n v="29"/>
    <x v="0"/>
    <x v="4"/>
    <n v="0"/>
    <n v="29"/>
    <n v="27.984999999999999"/>
    <n v="27.70515"/>
    <n v="3.5000000000000003E-2"/>
    <n v="1.0150000000000006"/>
    <n v="0.01"/>
    <n v="0.27984999999999971"/>
    <n v="0"/>
    <n v="0"/>
    <x v="2"/>
    <n v="10"/>
  </r>
  <r>
    <n v="667"/>
    <d v="2026-07-18T00:00:00"/>
    <d v="2026-07-19T00:00:00"/>
    <x v="2"/>
    <s v="STU-724"/>
    <s v="Returning Customer"/>
    <x v="2"/>
    <x v="1"/>
    <x v="4"/>
    <x v="2"/>
    <n v="59"/>
    <x v="1"/>
    <x v="1"/>
    <n v="0"/>
    <n v="59"/>
    <n v="59"/>
    <n v="0"/>
    <n v="0"/>
    <n v="0"/>
    <n v="0.01"/>
    <n v="0.59000000000000341"/>
    <n v="0"/>
    <n v="58.41"/>
    <x v="1"/>
    <s v=""/>
  </r>
  <r>
    <n v="668"/>
    <d v="2026-01-06T00:00:00"/>
    <d v="2026-01-10T00:00:00"/>
    <x v="4"/>
    <s v="STU-466"/>
    <s v="Returning Customer"/>
    <x v="0"/>
    <x v="0"/>
    <x v="1"/>
    <x v="1"/>
    <n v="29"/>
    <x v="1"/>
    <x v="1"/>
    <n v="0"/>
    <n v="29"/>
    <n v="29"/>
    <n v="0"/>
    <n v="0"/>
    <n v="0"/>
    <n v="0.01"/>
    <n v="0.28999999999999915"/>
    <n v="0"/>
    <n v="28.71"/>
    <x v="2"/>
    <n v="10"/>
  </r>
  <r>
    <n v="669"/>
    <d v="2026-05-11T00:00:00"/>
    <d v="2026-05-16T00:00:00"/>
    <x v="3"/>
    <s v="STU-32"/>
    <s v="Returning Customer"/>
    <x v="0"/>
    <x v="1"/>
    <x v="0"/>
    <x v="0"/>
    <n v="59"/>
    <x v="0"/>
    <x v="2"/>
    <n v="0"/>
    <n v="59"/>
    <n v="56.935000000000002"/>
    <n v="56.365650000000002"/>
    <n v="3.5000000000000003E-2"/>
    <n v="2.0649999999999977"/>
    <n v="0.01"/>
    <n v="0.56935000000000002"/>
    <n v="0"/>
    <n v="0"/>
    <x v="1"/>
    <s v=""/>
  </r>
  <r>
    <n v="670"/>
    <d v="2026-05-18T00:00:00"/>
    <d v="2026-05-19T00:00:00"/>
    <x v="3"/>
    <s v="STU-884"/>
    <s v="Returning Customer"/>
    <x v="2"/>
    <x v="0"/>
    <x v="2"/>
    <x v="2"/>
    <n v="29"/>
    <x v="1"/>
    <x v="4"/>
    <n v="0"/>
    <n v="29"/>
    <n v="27.984999999999999"/>
    <n v="0"/>
    <n v="3.5000000000000003E-2"/>
    <n v="1.0150000000000006"/>
    <n v="0.01"/>
    <n v="0.27984999999999971"/>
    <n v="0"/>
    <n v="27.70515"/>
    <x v="0"/>
    <s v=""/>
  </r>
  <r>
    <n v="671"/>
    <d v="2026-06-13T00:00:00"/>
    <d v="2026-06-13T00:00:00"/>
    <x v="1"/>
    <s v="STU-991"/>
    <s v="New Customer"/>
    <x v="0"/>
    <x v="7"/>
    <x v="2"/>
    <x v="2"/>
    <n v="29"/>
    <x v="1"/>
    <x v="3"/>
    <n v="0"/>
    <n v="29"/>
    <n v="28.42"/>
    <n v="0"/>
    <n v="0.02"/>
    <n v="0.57999999999999829"/>
    <n v="0.01"/>
    <n v="0.28419999999999845"/>
    <n v="0"/>
    <n v="28.135800000000003"/>
    <x v="1"/>
    <n v="10"/>
  </r>
  <r>
    <n v="672"/>
    <d v="2026-02-28T00:00:00"/>
    <d v="2026-03-05T00:00:00"/>
    <x v="0"/>
    <s v="STU-794"/>
    <s v="Returning Customer"/>
    <x v="1"/>
    <x v="7"/>
    <x v="4"/>
    <x v="2"/>
    <n v="59"/>
    <x v="0"/>
    <x v="0"/>
    <n v="0"/>
    <n v="59"/>
    <n v="57.82"/>
    <n v="57.241799999999998"/>
    <n v="0.02"/>
    <n v="1.1799999999999997"/>
    <n v="0.01"/>
    <n v="0.57820000000000249"/>
    <n v="0"/>
    <n v="0"/>
    <x v="1"/>
    <s v=""/>
  </r>
  <r>
    <n v="673"/>
    <d v="2026-01-21T00:00:00"/>
    <d v="2026-01-21T00:00:00"/>
    <x v="4"/>
    <s v="STU-395"/>
    <s v="New Customer"/>
    <x v="2"/>
    <x v="0"/>
    <x v="6"/>
    <x v="2"/>
    <n v="29"/>
    <x v="1"/>
    <x v="2"/>
    <n v="0"/>
    <n v="29"/>
    <n v="27.984999999999999"/>
    <n v="0"/>
    <n v="3.5000000000000003E-2"/>
    <n v="1.0150000000000006"/>
    <n v="0.01"/>
    <n v="0.27984999999999971"/>
    <n v="0"/>
    <n v="27.70515"/>
    <x v="0"/>
    <s v=""/>
  </r>
  <r>
    <n v="674"/>
    <d v="2026-01-18T00:00:00"/>
    <d v="2026-01-18T00:00:00"/>
    <x v="4"/>
    <s v="STU-428"/>
    <s v="Returning Customer"/>
    <x v="0"/>
    <x v="7"/>
    <x v="3"/>
    <x v="3"/>
    <n v="59"/>
    <x v="0"/>
    <x v="4"/>
    <n v="0"/>
    <n v="59"/>
    <n v="56.935000000000002"/>
    <n v="56.365650000000002"/>
    <n v="3.5000000000000003E-2"/>
    <n v="2.0649999999999977"/>
    <n v="0.01"/>
    <n v="0.56935000000000002"/>
    <n v="0"/>
    <n v="0"/>
    <x v="0"/>
    <s v=""/>
  </r>
  <r>
    <n v="675"/>
    <d v="2026-02-11T00:00:00"/>
    <d v="2026-02-13T00:00:00"/>
    <x v="6"/>
    <s v="STU-719"/>
    <s v="Returning Customer"/>
    <x v="1"/>
    <x v="6"/>
    <x v="1"/>
    <x v="1"/>
    <n v="29"/>
    <x v="1"/>
    <x v="4"/>
    <n v="0"/>
    <n v="29"/>
    <n v="27.984999999999999"/>
    <n v="0"/>
    <n v="3.5000000000000003E-2"/>
    <n v="1.0150000000000006"/>
    <n v="0.01"/>
    <n v="0.27984999999999971"/>
    <n v="0"/>
    <n v="27.70515"/>
    <x v="0"/>
    <s v=""/>
  </r>
  <r>
    <n v="676"/>
    <d v="2026-05-14T00:00:00"/>
    <d v="2026-05-16T00:00:00"/>
    <x v="3"/>
    <s v="STU-698"/>
    <s v="Returning Customer"/>
    <x v="2"/>
    <x v="5"/>
    <x v="4"/>
    <x v="2"/>
    <n v="59"/>
    <x v="1"/>
    <x v="1"/>
    <n v="0"/>
    <n v="59"/>
    <n v="59"/>
    <n v="0"/>
    <n v="0"/>
    <n v="0"/>
    <n v="0.01"/>
    <n v="0.59000000000000341"/>
    <n v="0"/>
    <n v="58.41"/>
    <x v="1"/>
    <s v=""/>
  </r>
  <r>
    <n v="677"/>
    <d v="2026-02-26T00:00:00"/>
    <d v="2026-03-03T00:00:00"/>
    <x v="0"/>
    <s v="STU-548"/>
    <s v="Returning Customer"/>
    <x v="2"/>
    <x v="7"/>
    <x v="0"/>
    <x v="0"/>
    <n v="59"/>
    <x v="1"/>
    <x v="0"/>
    <n v="0"/>
    <n v="59"/>
    <n v="57.82"/>
    <n v="0"/>
    <n v="0.02"/>
    <n v="1.1799999999999997"/>
    <n v="0.01"/>
    <n v="0.57820000000000249"/>
    <n v="0"/>
    <n v="57.241799999999998"/>
    <x v="1"/>
    <s v=""/>
  </r>
  <r>
    <n v="678"/>
    <d v="2026-01-18T00:00:00"/>
    <d v="2026-01-21T00:00:00"/>
    <x v="4"/>
    <s v="STU-997"/>
    <s v="New Customer"/>
    <x v="2"/>
    <x v="2"/>
    <x v="2"/>
    <x v="2"/>
    <n v="29"/>
    <x v="0"/>
    <x v="3"/>
    <n v="0"/>
    <n v="29"/>
    <n v="28.42"/>
    <n v="28.135800000000003"/>
    <n v="0.02"/>
    <n v="0.57999999999999829"/>
    <n v="0.01"/>
    <n v="0.28419999999999845"/>
    <n v="0"/>
    <n v="0"/>
    <x v="2"/>
    <s v=""/>
  </r>
  <r>
    <n v="679"/>
    <d v="2026-04-01T00:00:00"/>
    <d v="2026-04-02T00:00:00"/>
    <x v="5"/>
    <s v="STU-60"/>
    <s v="New Customer"/>
    <x v="0"/>
    <x v="5"/>
    <x v="5"/>
    <x v="2"/>
    <n v="29"/>
    <x v="2"/>
    <x v="4"/>
    <n v="0"/>
    <n v="29"/>
    <n v="27.984999999999999"/>
    <n v="0"/>
    <n v="3.5000000000000003E-2"/>
    <n v="1.0150000000000006"/>
    <n v="0.01"/>
    <n v="0.27984999999999971"/>
    <n v="27.70515"/>
    <n v="0"/>
    <x v="2"/>
    <s v=""/>
  </r>
  <r>
    <n v="680"/>
    <d v="2026-07-03T00:00:00"/>
    <d v="2026-07-08T00:00:00"/>
    <x v="2"/>
    <s v="STU-800"/>
    <s v="Returning Customer"/>
    <x v="1"/>
    <x v="0"/>
    <x v="7"/>
    <x v="3"/>
    <n v="99"/>
    <x v="0"/>
    <x v="2"/>
    <n v="0"/>
    <n v="99"/>
    <n v="95.534999999999997"/>
    <n v="94.579650000000001"/>
    <n v="3.5000000000000003E-2"/>
    <n v="3.4650000000000034"/>
    <n v="0.01"/>
    <n v="0.9553499999999957"/>
    <n v="0"/>
    <n v="0"/>
    <x v="1"/>
    <s v=""/>
  </r>
  <r>
    <n v="681"/>
    <d v="2026-07-02T00:00:00"/>
    <d v="2026-07-03T00:00:00"/>
    <x v="2"/>
    <s v="STU-451"/>
    <s v="Returning Customer"/>
    <x v="2"/>
    <x v="5"/>
    <x v="2"/>
    <x v="2"/>
    <n v="29"/>
    <x v="2"/>
    <x v="1"/>
    <n v="0"/>
    <n v="29"/>
    <n v="29"/>
    <n v="0"/>
    <n v="0"/>
    <n v="0"/>
    <n v="0.01"/>
    <n v="0.28999999999999915"/>
    <n v="28.71"/>
    <n v="0"/>
    <x v="1"/>
    <s v=""/>
  </r>
  <r>
    <n v="682"/>
    <d v="2026-04-18T00:00:00"/>
    <d v="2026-04-21T00:00:00"/>
    <x v="5"/>
    <s v="STU-53"/>
    <s v="Returning Customer"/>
    <x v="0"/>
    <x v="1"/>
    <x v="3"/>
    <x v="3"/>
    <n v="59"/>
    <x v="0"/>
    <x v="4"/>
    <n v="0"/>
    <n v="59"/>
    <n v="56.935000000000002"/>
    <n v="56.365650000000002"/>
    <n v="3.5000000000000003E-2"/>
    <n v="2.0649999999999977"/>
    <n v="0.01"/>
    <n v="0.56935000000000002"/>
    <n v="0"/>
    <n v="0"/>
    <x v="0"/>
    <s v=""/>
  </r>
  <r>
    <n v="683"/>
    <d v="2026-07-16T00:00:00"/>
    <d v="2026-07-18T00:00:00"/>
    <x v="2"/>
    <s v="STU-499"/>
    <s v="New Customer"/>
    <x v="1"/>
    <x v="7"/>
    <x v="3"/>
    <x v="3"/>
    <n v="59"/>
    <x v="1"/>
    <x v="1"/>
    <n v="0"/>
    <n v="59"/>
    <n v="59"/>
    <n v="0"/>
    <n v="0"/>
    <n v="0"/>
    <n v="0.01"/>
    <n v="0.59000000000000341"/>
    <n v="0"/>
    <n v="58.41"/>
    <x v="0"/>
    <s v=""/>
  </r>
  <r>
    <n v="684"/>
    <d v="2026-07-03T00:00:00"/>
    <d v="2026-07-04T00:00:00"/>
    <x v="2"/>
    <s v="STU-543"/>
    <s v="New Customer"/>
    <x v="1"/>
    <x v="5"/>
    <x v="4"/>
    <x v="2"/>
    <n v="59"/>
    <x v="1"/>
    <x v="1"/>
    <n v="0"/>
    <n v="59"/>
    <n v="59"/>
    <n v="0"/>
    <n v="0"/>
    <n v="0"/>
    <n v="0.01"/>
    <n v="0.59000000000000341"/>
    <n v="0"/>
    <n v="58.41"/>
    <x v="0"/>
    <s v=""/>
  </r>
  <r>
    <n v="685"/>
    <d v="2026-05-03T00:00:00"/>
    <d v="2026-05-03T00:00:00"/>
    <x v="3"/>
    <s v="STU-108"/>
    <s v="New Customer"/>
    <x v="2"/>
    <x v="3"/>
    <x v="6"/>
    <x v="2"/>
    <n v="29"/>
    <x v="0"/>
    <x v="3"/>
    <n v="0"/>
    <n v="29"/>
    <n v="28.42"/>
    <n v="28.135800000000003"/>
    <n v="0.02"/>
    <n v="0.57999999999999829"/>
    <n v="0.01"/>
    <n v="0.28419999999999845"/>
    <n v="0"/>
    <n v="0"/>
    <x v="2"/>
    <s v=""/>
  </r>
  <r>
    <n v="686"/>
    <d v="2026-05-31T00:00:00"/>
    <d v="2026-06-03T00:00:00"/>
    <x v="1"/>
    <s v="STU-318"/>
    <s v="Returning Customer"/>
    <x v="2"/>
    <x v="1"/>
    <x v="5"/>
    <x v="2"/>
    <n v="29"/>
    <x v="1"/>
    <x v="2"/>
    <n v="0"/>
    <n v="29"/>
    <n v="27.984999999999999"/>
    <n v="0"/>
    <n v="3.5000000000000003E-2"/>
    <n v="1.0150000000000006"/>
    <n v="0.01"/>
    <n v="0.27984999999999971"/>
    <n v="0"/>
    <n v="27.70515"/>
    <x v="0"/>
    <s v=""/>
  </r>
  <r>
    <n v="687"/>
    <d v="2026-04-29T00:00:00"/>
    <d v="2026-05-01T00:00:00"/>
    <x v="3"/>
    <s v="STU-644"/>
    <s v="Returning Customer"/>
    <x v="1"/>
    <x v="2"/>
    <x v="2"/>
    <x v="2"/>
    <n v="29"/>
    <x v="0"/>
    <x v="4"/>
    <n v="0"/>
    <n v="29"/>
    <n v="27.984999999999999"/>
    <n v="27.70515"/>
    <n v="3.5000000000000003E-2"/>
    <n v="1.0150000000000006"/>
    <n v="0.01"/>
    <n v="0.27984999999999971"/>
    <n v="0"/>
    <n v="0"/>
    <x v="2"/>
    <n v="10"/>
  </r>
  <r>
    <n v="688"/>
    <d v="2026-07-04T00:00:00"/>
    <d v="2026-07-07T00:00:00"/>
    <x v="2"/>
    <s v="STU-440"/>
    <s v="New Customer"/>
    <x v="1"/>
    <x v="7"/>
    <x v="1"/>
    <x v="1"/>
    <n v="29"/>
    <x v="1"/>
    <x v="0"/>
    <n v="0"/>
    <n v="29"/>
    <n v="28.42"/>
    <n v="0"/>
    <n v="0.02"/>
    <n v="0.57999999999999829"/>
    <n v="0.01"/>
    <n v="0.28419999999999845"/>
    <n v="0"/>
    <n v="28.135800000000003"/>
    <x v="0"/>
    <s v=""/>
  </r>
  <r>
    <n v="689"/>
    <d v="2026-07-21T00:00:00"/>
    <d v="2026-07-25T00:00:00"/>
    <x v="2"/>
    <s v="STU-263"/>
    <s v="Returning Customer"/>
    <x v="1"/>
    <x v="3"/>
    <x v="7"/>
    <x v="3"/>
    <n v="99"/>
    <x v="1"/>
    <x v="1"/>
    <n v="0"/>
    <n v="99"/>
    <n v="99"/>
    <n v="0"/>
    <n v="0"/>
    <n v="0"/>
    <n v="0.01"/>
    <n v="0.98999999999999488"/>
    <n v="0"/>
    <n v="98.01"/>
    <x v="1"/>
    <s v=""/>
  </r>
  <r>
    <n v="690"/>
    <d v="2026-03-15T00:00:00"/>
    <d v="2026-03-20T00:00:00"/>
    <x v="0"/>
    <s v="STU-311"/>
    <s v="Returning Customer"/>
    <x v="1"/>
    <x v="5"/>
    <x v="5"/>
    <x v="2"/>
    <n v="29"/>
    <x v="1"/>
    <x v="4"/>
    <n v="0"/>
    <n v="29"/>
    <n v="27.984999999999999"/>
    <n v="0"/>
    <n v="3.5000000000000003E-2"/>
    <n v="1.0150000000000006"/>
    <n v="0.01"/>
    <n v="0.27984999999999971"/>
    <n v="0"/>
    <n v="27.70515"/>
    <x v="2"/>
    <s v=""/>
  </r>
  <r>
    <n v="691"/>
    <d v="2026-01-22T00:00:00"/>
    <d v="2026-01-25T00:00:00"/>
    <x v="4"/>
    <s v="STU-192"/>
    <s v="Returning Customer"/>
    <x v="2"/>
    <x v="3"/>
    <x v="3"/>
    <x v="3"/>
    <n v="59"/>
    <x v="2"/>
    <x v="1"/>
    <n v="0"/>
    <n v="59"/>
    <n v="59"/>
    <n v="0"/>
    <n v="0"/>
    <n v="0"/>
    <n v="0.01"/>
    <n v="0.59000000000000341"/>
    <n v="58.41"/>
    <n v="0"/>
    <x v="2"/>
    <s v=""/>
  </r>
  <r>
    <n v="692"/>
    <d v="2026-07-04T00:00:00"/>
    <d v="2026-07-06T00:00:00"/>
    <x v="2"/>
    <s v="STU-796"/>
    <s v="New Customer"/>
    <x v="1"/>
    <x v="4"/>
    <x v="2"/>
    <x v="2"/>
    <n v="29"/>
    <x v="0"/>
    <x v="4"/>
    <n v="0"/>
    <n v="29"/>
    <n v="27.984999999999999"/>
    <n v="27.70515"/>
    <n v="3.5000000000000003E-2"/>
    <n v="1.0150000000000006"/>
    <n v="0.01"/>
    <n v="0.27984999999999971"/>
    <n v="0"/>
    <n v="0"/>
    <x v="0"/>
    <s v=""/>
  </r>
  <r>
    <n v="693"/>
    <d v="2026-01-28T00:00:00"/>
    <d v="2026-01-29T00:00:00"/>
    <x v="4"/>
    <s v="STU-996"/>
    <s v="Returning Customer"/>
    <x v="2"/>
    <x v="7"/>
    <x v="7"/>
    <x v="3"/>
    <n v="99"/>
    <x v="0"/>
    <x v="0"/>
    <n v="0"/>
    <n v="99"/>
    <n v="97.02"/>
    <n v="96.049799999999991"/>
    <n v="0.02"/>
    <n v="1.980000000000004"/>
    <n v="0.01"/>
    <n v="0.9702000000000055"/>
    <n v="0"/>
    <n v="0"/>
    <x v="1"/>
    <s v=""/>
  </r>
  <r>
    <n v="694"/>
    <d v="2026-07-03T00:00:00"/>
    <d v="2026-07-06T00:00:00"/>
    <x v="2"/>
    <s v="STU-647"/>
    <s v="Returning Customer"/>
    <x v="2"/>
    <x v="3"/>
    <x v="1"/>
    <x v="1"/>
    <n v="29"/>
    <x v="0"/>
    <x v="2"/>
    <n v="0"/>
    <n v="29"/>
    <n v="27.984999999999999"/>
    <n v="27.70515"/>
    <n v="3.5000000000000003E-2"/>
    <n v="1.0150000000000006"/>
    <n v="0.01"/>
    <n v="0.27984999999999971"/>
    <n v="0"/>
    <n v="0"/>
    <x v="0"/>
    <s v=""/>
  </r>
  <r>
    <n v="695"/>
    <d v="2026-05-11T00:00:00"/>
    <d v="2026-05-12T00:00:00"/>
    <x v="3"/>
    <s v="STU-701"/>
    <s v="Returning Customer"/>
    <x v="0"/>
    <x v="2"/>
    <x v="1"/>
    <x v="1"/>
    <n v="29"/>
    <x v="1"/>
    <x v="0"/>
    <n v="0"/>
    <n v="29"/>
    <n v="28.42"/>
    <n v="0"/>
    <n v="0.02"/>
    <n v="0.57999999999999829"/>
    <n v="0.01"/>
    <n v="0.28419999999999845"/>
    <n v="0"/>
    <n v="28.135800000000003"/>
    <x v="2"/>
    <s v=""/>
  </r>
  <r>
    <n v="696"/>
    <d v="2026-03-19T00:00:00"/>
    <d v="2026-03-19T00:00:00"/>
    <x v="0"/>
    <s v="STU-760"/>
    <s v="New Customer"/>
    <x v="0"/>
    <x v="6"/>
    <x v="5"/>
    <x v="2"/>
    <n v="29"/>
    <x v="1"/>
    <x v="4"/>
    <n v="0"/>
    <n v="29"/>
    <n v="27.984999999999999"/>
    <n v="0"/>
    <n v="3.5000000000000003E-2"/>
    <n v="1.0150000000000006"/>
    <n v="0.01"/>
    <n v="0.27984999999999971"/>
    <n v="0"/>
    <n v="27.70515"/>
    <x v="0"/>
    <s v=""/>
  </r>
  <r>
    <n v="697"/>
    <d v="2026-07-18T00:00:00"/>
    <d v="2026-07-19T00:00:00"/>
    <x v="2"/>
    <s v="STU-483"/>
    <s v="New Customer"/>
    <x v="2"/>
    <x v="0"/>
    <x v="5"/>
    <x v="2"/>
    <n v="29"/>
    <x v="1"/>
    <x v="1"/>
    <n v="0"/>
    <n v="29"/>
    <n v="29"/>
    <n v="0"/>
    <n v="0"/>
    <n v="0"/>
    <n v="0.01"/>
    <n v="0.28999999999999915"/>
    <n v="0"/>
    <n v="28.71"/>
    <x v="2"/>
    <s v=""/>
  </r>
  <r>
    <n v="698"/>
    <d v="2026-02-28T00:00:00"/>
    <d v="2026-03-04T00:00:00"/>
    <x v="0"/>
    <s v="STU-754"/>
    <s v="New Customer"/>
    <x v="2"/>
    <x v="6"/>
    <x v="5"/>
    <x v="2"/>
    <n v="29"/>
    <x v="0"/>
    <x v="1"/>
    <n v="0"/>
    <n v="29"/>
    <n v="29"/>
    <n v="28.71"/>
    <n v="0"/>
    <n v="0"/>
    <n v="0.01"/>
    <n v="0.28999999999999915"/>
    <n v="0"/>
    <n v="0"/>
    <x v="1"/>
    <s v=""/>
  </r>
  <r>
    <n v="699"/>
    <d v="2026-02-10T00:00:00"/>
    <d v="2026-02-10T00:00:00"/>
    <x v="6"/>
    <s v="STU-398"/>
    <s v="Returning Customer"/>
    <x v="2"/>
    <x v="1"/>
    <x v="2"/>
    <x v="2"/>
    <n v="29"/>
    <x v="0"/>
    <x v="4"/>
    <n v="0"/>
    <n v="29"/>
    <n v="27.984999999999999"/>
    <n v="27.70515"/>
    <n v="3.5000000000000003E-2"/>
    <n v="1.0150000000000006"/>
    <n v="0.01"/>
    <n v="0.27984999999999971"/>
    <n v="0"/>
    <n v="0"/>
    <x v="1"/>
    <s v=""/>
  </r>
  <r>
    <n v="700"/>
    <d v="2026-02-16T00:00:00"/>
    <d v="2026-02-18T00:00:00"/>
    <x v="6"/>
    <s v="STU-672"/>
    <s v="Returning Customer"/>
    <x v="2"/>
    <x v="3"/>
    <x v="6"/>
    <x v="2"/>
    <n v="29"/>
    <x v="1"/>
    <x v="1"/>
    <n v="0"/>
    <n v="29"/>
    <n v="29"/>
    <n v="0"/>
    <n v="0"/>
    <n v="0"/>
    <n v="0.01"/>
    <n v="0.28999999999999915"/>
    <n v="0"/>
    <n v="28.71"/>
    <x v="0"/>
    <s v=""/>
  </r>
  <r>
    <n v="701"/>
    <d v="2026-05-23T00:00:00"/>
    <d v="2026-05-25T00:00:00"/>
    <x v="3"/>
    <s v="STU-15"/>
    <s v="Returning Customer"/>
    <x v="1"/>
    <x v="4"/>
    <x v="7"/>
    <x v="3"/>
    <n v="99"/>
    <x v="1"/>
    <x v="3"/>
    <n v="0"/>
    <n v="99"/>
    <n v="97.02"/>
    <n v="0"/>
    <n v="0.02"/>
    <n v="1.980000000000004"/>
    <n v="0.01"/>
    <n v="0.9702000000000055"/>
    <n v="0"/>
    <n v="96.049799999999991"/>
    <x v="0"/>
    <n v="10"/>
  </r>
  <r>
    <n v="702"/>
    <d v="2026-03-09T00:00:00"/>
    <d v="2026-03-11T00:00:00"/>
    <x v="0"/>
    <s v="STU-929"/>
    <s v="New Customer"/>
    <x v="0"/>
    <x v="2"/>
    <x v="2"/>
    <x v="2"/>
    <n v="29"/>
    <x v="1"/>
    <x v="4"/>
    <n v="0"/>
    <n v="29"/>
    <n v="27.984999999999999"/>
    <n v="0"/>
    <n v="3.5000000000000003E-2"/>
    <n v="1.0150000000000006"/>
    <n v="0.01"/>
    <n v="0.27984999999999971"/>
    <n v="0"/>
    <n v="27.70515"/>
    <x v="1"/>
    <s v=""/>
  </r>
  <r>
    <n v="703"/>
    <d v="2026-04-06T00:00:00"/>
    <d v="2026-04-07T00:00:00"/>
    <x v="5"/>
    <s v="STU-35"/>
    <s v="Returning Customer"/>
    <x v="0"/>
    <x v="5"/>
    <x v="1"/>
    <x v="1"/>
    <n v="29"/>
    <x v="1"/>
    <x v="2"/>
    <n v="0"/>
    <n v="29"/>
    <n v="27.984999999999999"/>
    <n v="0"/>
    <n v="3.5000000000000003E-2"/>
    <n v="1.0150000000000006"/>
    <n v="0.01"/>
    <n v="0.27984999999999971"/>
    <n v="0"/>
    <n v="27.70515"/>
    <x v="0"/>
    <s v=""/>
  </r>
  <r>
    <n v="704"/>
    <d v="2026-02-02T00:00:00"/>
    <d v="2026-02-03T00:00:00"/>
    <x v="6"/>
    <s v="STU-901"/>
    <s v="New Customer"/>
    <x v="1"/>
    <x v="7"/>
    <x v="1"/>
    <x v="1"/>
    <n v="29"/>
    <x v="1"/>
    <x v="0"/>
    <n v="0"/>
    <n v="29"/>
    <n v="28.42"/>
    <n v="0"/>
    <n v="0.02"/>
    <n v="0.57999999999999829"/>
    <n v="0.01"/>
    <n v="0.28419999999999845"/>
    <n v="0"/>
    <n v="28.135800000000003"/>
    <x v="1"/>
    <s v=""/>
  </r>
  <r>
    <n v="705"/>
    <d v="2026-03-18T00:00:00"/>
    <d v="2026-03-23T00:00:00"/>
    <x v="0"/>
    <s v="STU-787"/>
    <s v="Returning Customer"/>
    <x v="2"/>
    <x v="0"/>
    <x v="1"/>
    <x v="1"/>
    <n v="29"/>
    <x v="1"/>
    <x v="0"/>
    <n v="0"/>
    <n v="29"/>
    <n v="28.42"/>
    <n v="0"/>
    <n v="0.02"/>
    <n v="0.57999999999999829"/>
    <n v="0.01"/>
    <n v="0.28419999999999845"/>
    <n v="0"/>
    <n v="28.135800000000003"/>
    <x v="2"/>
    <s v=""/>
  </r>
  <r>
    <n v="706"/>
    <d v="2026-05-10T00:00:00"/>
    <d v="2026-05-10T00:00:00"/>
    <x v="3"/>
    <s v="STU-642"/>
    <s v="New Customer"/>
    <x v="1"/>
    <x v="3"/>
    <x v="3"/>
    <x v="3"/>
    <n v="59"/>
    <x v="1"/>
    <x v="0"/>
    <n v="0"/>
    <n v="59"/>
    <n v="57.82"/>
    <n v="0"/>
    <n v="0.02"/>
    <n v="1.1799999999999997"/>
    <n v="0.01"/>
    <n v="0.57820000000000249"/>
    <n v="0"/>
    <n v="57.241799999999998"/>
    <x v="1"/>
    <s v=""/>
  </r>
  <r>
    <n v="707"/>
    <d v="2026-06-02T00:00:00"/>
    <d v="2026-06-03T00:00:00"/>
    <x v="1"/>
    <s v="STU-498"/>
    <s v="Returning Customer"/>
    <x v="2"/>
    <x v="1"/>
    <x v="2"/>
    <x v="2"/>
    <n v="29"/>
    <x v="1"/>
    <x v="2"/>
    <n v="0"/>
    <n v="29"/>
    <n v="27.984999999999999"/>
    <n v="0"/>
    <n v="3.5000000000000003E-2"/>
    <n v="1.0150000000000006"/>
    <n v="0.01"/>
    <n v="0.27984999999999971"/>
    <n v="0"/>
    <n v="27.70515"/>
    <x v="2"/>
    <s v=""/>
  </r>
  <r>
    <n v="708"/>
    <d v="2026-02-21T00:00:00"/>
    <d v="2026-02-22T00:00:00"/>
    <x v="6"/>
    <s v="STU-563"/>
    <s v="Returning Customer"/>
    <x v="1"/>
    <x v="7"/>
    <x v="0"/>
    <x v="0"/>
    <n v="59"/>
    <x v="1"/>
    <x v="1"/>
    <n v="0"/>
    <n v="59"/>
    <n v="59"/>
    <n v="0"/>
    <n v="0"/>
    <n v="0"/>
    <n v="0.01"/>
    <n v="0.59000000000000341"/>
    <n v="0"/>
    <n v="58.41"/>
    <x v="0"/>
    <s v=""/>
  </r>
  <r>
    <n v="709"/>
    <d v="2026-03-29T00:00:00"/>
    <d v="2026-04-03T00:00:00"/>
    <x v="5"/>
    <s v="STU-423"/>
    <s v="New Customer"/>
    <x v="1"/>
    <x v="2"/>
    <x v="6"/>
    <x v="2"/>
    <n v="29"/>
    <x v="1"/>
    <x v="1"/>
    <n v="0"/>
    <n v="29"/>
    <n v="29"/>
    <n v="0"/>
    <n v="0"/>
    <n v="0"/>
    <n v="0.01"/>
    <n v="0.28999999999999915"/>
    <n v="0"/>
    <n v="28.71"/>
    <x v="1"/>
    <s v=""/>
  </r>
  <r>
    <n v="710"/>
    <d v="2026-03-23T00:00:00"/>
    <d v="2026-03-27T00:00:00"/>
    <x v="0"/>
    <s v="STU-123"/>
    <s v="New Customer"/>
    <x v="0"/>
    <x v="2"/>
    <x v="7"/>
    <x v="3"/>
    <n v="99"/>
    <x v="1"/>
    <x v="1"/>
    <n v="0"/>
    <n v="99"/>
    <n v="99"/>
    <n v="0"/>
    <n v="0"/>
    <n v="0"/>
    <n v="0.01"/>
    <n v="0.98999999999999488"/>
    <n v="0"/>
    <n v="98.01"/>
    <x v="1"/>
    <s v=""/>
  </r>
  <r>
    <n v="711"/>
    <d v="2026-02-19T00:00:00"/>
    <d v="2026-02-24T00:00:00"/>
    <x v="6"/>
    <s v="STU-229"/>
    <s v="New Customer"/>
    <x v="1"/>
    <x v="2"/>
    <x v="7"/>
    <x v="3"/>
    <n v="99"/>
    <x v="1"/>
    <x v="0"/>
    <n v="0"/>
    <n v="99"/>
    <n v="97.02"/>
    <n v="0"/>
    <n v="0.02"/>
    <n v="1.980000000000004"/>
    <n v="0.01"/>
    <n v="0.9702000000000055"/>
    <n v="0"/>
    <n v="96.049799999999991"/>
    <x v="0"/>
    <s v=""/>
  </r>
  <r>
    <n v="712"/>
    <d v="2026-05-15T00:00:00"/>
    <d v="2026-05-20T00:00:00"/>
    <x v="3"/>
    <s v="STU-591"/>
    <s v="New Customer"/>
    <x v="2"/>
    <x v="2"/>
    <x v="5"/>
    <x v="2"/>
    <n v="29"/>
    <x v="0"/>
    <x v="4"/>
    <n v="0"/>
    <n v="29"/>
    <n v="27.984999999999999"/>
    <n v="27.70515"/>
    <n v="3.5000000000000003E-2"/>
    <n v="1.0150000000000006"/>
    <n v="0.01"/>
    <n v="0.27984999999999971"/>
    <n v="0"/>
    <n v="0"/>
    <x v="0"/>
    <s v=""/>
  </r>
  <r>
    <n v="713"/>
    <d v="2026-04-03T00:00:00"/>
    <d v="2026-04-08T00:00:00"/>
    <x v="5"/>
    <s v="STU-168"/>
    <s v="Returning Customer"/>
    <x v="2"/>
    <x v="7"/>
    <x v="7"/>
    <x v="3"/>
    <n v="99"/>
    <x v="1"/>
    <x v="4"/>
    <n v="0"/>
    <n v="99"/>
    <n v="95.534999999999997"/>
    <n v="0"/>
    <n v="3.5000000000000003E-2"/>
    <n v="3.4650000000000034"/>
    <n v="0.01"/>
    <n v="0.9553499999999957"/>
    <n v="0"/>
    <n v="94.579650000000001"/>
    <x v="0"/>
    <s v=""/>
  </r>
  <r>
    <n v="714"/>
    <d v="2026-02-27T00:00:00"/>
    <d v="2026-03-04T00:00:00"/>
    <x v="0"/>
    <s v="STU-680"/>
    <s v="New Customer"/>
    <x v="2"/>
    <x v="4"/>
    <x v="5"/>
    <x v="2"/>
    <n v="29"/>
    <x v="0"/>
    <x v="1"/>
    <n v="0"/>
    <n v="29"/>
    <n v="29"/>
    <n v="28.71"/>
    <n v="0"/>
    <n v="0"/>
    <n v="0.01"/>
    <n v="0.28999999999999915"/>
    <n v="0"/>
    <n v="0"/>
    <x v="1"/>
    <s v=""/>
  </r>
  <r>
    <n v="715"/>
    <d v="2026-01-16T00:00:00"/>
    <d v="2026-01-18T00:00:00"/>
    <x v="4"/>
    <s v="STU-961"/>
    <s v="Returning Customer"/>
    <x v="2"/>
    <x v="1"/>
    <x v="0"/>
    <x v="0"/>
    <n v="59"/>
    <x v="1"/>
    <x v="0"/>
    <n v="0"/>
    <n v="59"/>
    <n v="57.82"/>
    <n v="0"/>
    <n v="0.02"/>
    <n v="1.1799999999999997"/>
    <n v="0.01"/>
    <n v="0.57820000000000249"/>
    <n v="0"/>
    <n v="57.241799999999998"/>
    <x v="0"/>
    <n v="10"/>
  </r>
  <r>
    <n v="716"/>
    <d v="2026-02-09T00:00:00"/>
    <d v="2026-02-14T00:00:00"/>
    <x v="6"/>
    <s v="STU-747"/>
    <s v="Returning Customer"/>
    <x v="0"/>
    <x v="2"/>
    <x v="2"/>
    <x v="2"/>
    <n v="29"/>
    <x v="1"/>
    <x v="0"/>
    <n v="0"/>
    <n v="29"/>
    <n v="28.42"/>
    <n v="0"/>
    <n v="0.02"/>
    <n v="0.57999999999999829"/>
    <n v="0.01"/>
    <n v="0.28419999999999845"/>
    <n v="0"/>
    <n v="28.135800000000003"/>
    <x v="0"/>
    <s v=""/>
  </r>
  <r>
    <n v="717"/>
    <d v="2026-06-25T00:00:00"/>
    <d v="2026-06-29T00:00:00"/>
    <x v="1"/>
    <s v="STU-977"/>
    <s v="New Customer"/>
    <x v="1"/>
    <x v="2"/>
    <x v="3"/>
    <x v="3"/>
    <n v="59"/>
    <x v="1"/>
    <x v="1"/>
    <n v="0"/>
    <n v="59"/>
    <n v="59"/>
    <n v="0"/>
    <n v="0"/>
    <n v="0"/>
    <n v="0.01"/>
    <n v="0.59000000000000341"/>
    <n v="0"/>
    <n v="58.41"/>
    <x v="0"/>
    <s v=""/>
  </r>
  <r>
    <n v="718"/>
    <d v="2026-01-09T00:00:00"/>
    <d v="2026-01-09T00:00:00"/>
    <x v="4"/>
    <s v="STU-291"/>
    <s v="Returning Customer"/>
    <x v="0"/>
    <x v="1"/>
    <x v="1"/>
    <x v="1"/>
    <n v="29"/>
    <x v="2"/>
    <x v="4"/>
    <n v="0"/>
    <n v="29"/>
    <n v="27.984999999999999"/>
    <n v="0"/>
    <n v="3.5000000000000003E-2"/>
    <n v="1.0150000000000006"/>
    <n v="0.01"/>
    <n v="0.27984999999999971"/>
    <n v="27.70515"/>
    <n v="0"/>
    <x v="2"/>
    <s v=""/>
  </r>
  <r>
    <n v="719"/>
    <d v="2026-02-19T00:00:00"/>
    <d v="2026-02-20T00:00:00"/>
    <x v="6"/>
    <s v="STU-316"/>
    <s v="Returning Customer"/>
    <x v="2"/>
    <x v="4"/>
    <x v="7"/>
    <x v="3"/>
    <n v="99"/>
    <x v="1"/>
    <x v="0"/>
    <n v="0"/>
    <n v="99"/>
    <n v="97.02"/>
    <n v="0"/>
    <n v="0.02"/>
    <n v="1.980000000000004"/>
    <n v="0.01"/>
    <n v="0.9702000000000055"/>
    <n v="0"/>
    <n v="96.049799999999991"/>
    <x v="0"/>
    <s v=""/>
  </r>
  <r>
    <n v="720"/>
    <d v="2026-04-29T00:00:00"/>
    <d v="2026-05-02T00:00:00"/>
    <x v="3"/>
    <s v="STU-440"/>
    <s v="Returning Customer"/>
    <x v="0"/>
    <x v="2"/>
    <x v="4"/>
    <x v="2"/>
    <n v="59"/>
    <x v="1"/>
    <x v="4"/>
    <n v="0"/>
    <n v="59"/>
    <n v="56.935000000000002"/>
    <n v="0"/>
    <n v="3.5000000000000003E-2"/>
    <n v="2.0649999999999977"/>
    <n v="0.01"/>
    <n v="0.56935000000000002"/>
    <n v="0"/>
    <n v="56.365650000000002"/>
    <x v="2"/>
    <s v=""/>
  </r>
  <r>
    <n v="721"/>
    <d v="2026-05-14T00:00:00"/>
    <d v="2026-05-14T00:00:00"/>
    <x v="3"/>
    <s v="STU-598"/>
    <s v="Returning Customer"/>
    <x v="0"/>
    <x v="5"/>
    <x v="7"/>
    <x v="3"/>
    <n v="99"/>
    <x v="1"/>
    <x v="2"/>
    <n v="0"/>
    <n v="99"/>
    <n v="95.534999999999997"/>
    <n v="0"/>
    <n v="3.5000000000000003E-2"/>
    <n v="3.4650000000000034"/>
    <n v="0.01"/>
    <n v="0.9553499999999957"/>
    <n v="0"/>
    <n v="94.579650000000001"/>
    <x v="2"/>
    <s v=""/>
  </r>
  <r>
    <n v="722"/>
    <d v="2026-07-09T00:00:00"/>
    <d v="2026-07-12T00:00:00"/>
    <x v="2"/>
    <s v="STU-216"/>
    <s v="Returning Customer"/>
    <x v="2"/>
    <x v="1"/>
    <x v="1"/>
    <x v="1"/>
    <n v="29"/>
    <x v="1"/>
    <x v="0"/>
    <n v="0"/>
    <n v="29"/>
    <n v="28.42"/>
    <n v="0"/>
    <n v="0.02"/>
    <n v="0.57999999999999829"/>
    <n v="0.01"/>
    <n v="0.28419999999999845"/>
    <n v="0"/>
    <n v="28.135800000000003"/>
    <x v="1"/>
    <s v=""/>
  </r>
  <r>
    <n v="723"/>
    <d v="2026-02-01T00:00:00"/>
    <d v="2026-02-04T00:00:00"/>
    <x v="6"/>
    <s v="STU-233"/>
    <s v="Returning Customer"/>
    <x v="0"/>
    <x v="2"/>
    <x v="5"/>
    <x v="2"/>
    <n v="29"/>
    <x v="0"/>
    <x v="4"/>
    <n v="0"/>
    <n v="29"/>
    <n v="27.984999999999999"/>
    <n v="27.70515"/>
    <n v="3.5000000000000003E-2"/>
    <n v="1.0150000000000006"/>
    <n v="0.01"/>
    <n v="0.27984999999999971"/>
    <n v="0"/>
    <n v="0"/>
    <x v="1"/>
    <s v=""/>
  </r>
  <r>
    <n v="724"/>
    <d v="2026-04-14T00:00:00"/>
    <d v="2026-04-16T00:00:00"/>
    <x v="5"/>
    <s v="STU-473"/>
    <s v="Returning Customer"/>
    <x v="2"/>
    <x v="5"/>
    <x v="2"/>
    <x v="2"/>
    <n v="29"/>
    <x v="1"/>
    <x v="2"/>
    <n v="0"/>
    <n v="29"/>
    <n v="27.984999999999999"/>
    <n v="0"/>
    <n v="3.5000000000000003E-2"/>
    <n v="1.0150000000000006"/>
    <n v="0.01"/>
    <n v="0.27984999999999971"/>
    <n v="0"/>
    <n v="27.70515"/>
    <x v="2"/>
    <s v=""/>
  </r>
  <r>
    <n v="725"/>
    <d v="2026-06-16T00:00:00"/>
    <d v="2026-06-21T00:00:00"/>
    <x v="1"/>
    <s v="STU-78"/>
    <s v="Returning Customer"/>
    <x v="1"/>
    <x v="2"/>
    <x v="5"/>
    <x v="2"/>
    <n v="29"/>
    <x v="1"/>
    <x v="1"/>
    <n v="0"/>
    <n v="29"/>
    <n v="29"/>
    <n v="0"/>
    <n v="0"/>
    <n v="0"/>
    <n v="0.01"/>
    <n v="0.28999999999999915"/>
    <n v="0"/>
    <n v="28.71"/>
    <x v="2"/>
    <s v=""/>
  </r>
  <r>
    <n v="726"/>
    <d v="2026-03-24T00:00:00"/>
    <d v="2026-03-27T00:00:00"/>
    <x v="0"/>
    <s v="STU-943"/>
    <s v="Returning Customer"/>
    <x v="1"/>
    <x v="1"/>
    <x v="5"/>
    <x v="2"/>
    <n v="29"/>
    <x v="0"/>
    <x v="4"/>
    <n v="0"/>
    <n v="29"/>
    <n v="27.984999999999999"/>
    <n v="27.70515"/>
    <n v="3.5000000000000003E-2"/>
    <n v="1.0150000000000006"/>
    <n v="0.01"/>
    <n v="0.27984999999999971"/>
    <n v="0"/>
    <n v="0"/>
    <x v="1"/>
    <s v=""/>
  </r>
  <r>
    <n v="727"/>
    <d v="2026-05-02T00:00:00"/>
    <d v="2026-05-07T00:00:00"/>
    <x v="3"/>
    <s v="STU-436"/>
    <s v="Returning Customer"/>
    <x v="1"/>
    <x v="5"/>
    <x v="1"/>
    <x v="1"/>
    <n v="29"/>
    <x v="1"/>
    <x v="1"/>
    <n v="0"/>
    <n v="29"/>
    <n v="29"/>
    <n v="0"/>
    <n v="0"/>
    <n v="0"/>
    <n v="0.01"/>
    <n v="0.28999999999999915"/>
    <n v="0"/>
    <n v="28.71"/>
    <x v="2"/>
    <s v=""/>
  </r>
  <r>
    <n v="728"/>
    <d v="2026-07-05T00:00:00"/>
    <d v="2026-07-08T00:00:00"/>
    <x v="2"/>
    <s v="STU-286"/>
    <s v="New Customer"/>
    <x v="1"/>
    <x v="3"/>
    <x v="5"/>
    <x v="2"/>
    <n v="29"/>
    <x v="1"/>
    <x v="2"/>
    <n v="0"/>
    <n v="29"/>
    <n v="27.984999999999999"/>
    <n v="0"/>
    <n v="3.5000000000000003E-2"/>
    <n v="1.0150000000000006"/>
    <n v="0.01"/>
    <n v="0.27984999999999971"/>
    <n v="0"/>
    <n v="27.70515"/>
    <x v="1"/>
    <s v=""/>
  </r>
  <r>
    <n v="729"/>
    <d v="2026-06-25T00:00:00"/>
    <d v="2026-06-28T00:00:00"/>
    <x v="1"/>
    <s v="STU-148"/>
    <s v="New Customer"/>
    <x v="2"/>
    <x v="1"/>
    <x v="7"/>
    <x v="3"/>
    <n v="99"/>
    <x v="0"/>
    <x v="2"/>
    <n v="0"/>
    <n v="99"/>
    <n v="95.534999999999997"/>
    <n v="94.579650000000001"/>
    <n v="3.5000000000000003E-2"/>
    <n v="3.4650000000000034"/>
    <n v="0.01"/>
    <n v="0.9553499999999957"/>
    <n v="0"/>
    <n v="0"/>
    <x v="2"/>
    <s v=""/>
  </r>
  <r>
    <n v="730"/>
    <d v="2026-01-29T00:00:00"/>
    <d v="2026-01-31T00:00:00"/>
    <x v="4"/>
    <s v="STU-542"/>
    <s v="Returning Customer"/>
    <x v="0"/>
    <x v="3"/>
    <x v="0"/>
    <x v="0"/>
    <n v="59"/>
    <x v="1"/>
    <x v="0"/>
    <n v="0"/>
    <n v="59"/>
    <n v="57.82"/>
    <n v="0"/>
    <n v="0.02"/>
    <n v="1.1799999999999997"/>
    <n v="0.01"/>
    <n v="0.57820000000000249"/>
    <n v="0"/>
    <n v="57.241799999999998"/>
    <x v="0"/>
    <s v=""/>
  </r>
  <r>
    <n v="731"/>
    <d v="2026-05-05T00:00:00"/>
    <d v="2026-05-10T00:00:00"/>
    <x v="3"/>
    <s v="STU-236"/>
    <s v="New Customer"/>
    <x v="1"/>
    <x v="4"/>
    <x v="6"/>
    <x v="2"/>
    <n v="29"/>
    <x v="0"/>
    <x v="1"/>
    <n v="0"/>
    <n v="29"/>
    <n v="29"/>
    <n v="28.71"/>
    <n v="0"/>
    <n v="0"/>
    <n v="0.01"/>
    <n v="0.28999999999999915"/>
    <n v="0"/>
    <n v="0"/>
    <x v="1"/>
    <s v=""/>
  </r>
  <r>
    <n v="732"/>
    <d v="2026-07-05T00:00:00"/>
    <d v="2026-07-06T00:00:00"/>
    <x v="2"/>
    <s v="STU-249"/>
    <s v="Returning Customer"/>
    <x v="2"/>
    <x v="3"/>
    <x v="4"/>
    <x v="2"/>
    <n v="59"/>
    <x v="1"/>
    <x v="0"/>
    <n v="0"/>
    <n v="59"/>
    <n v="57.82"/>
    <n v="0"/>
    <n v="0.02"/>
    <n v="1.1799999999999997"/>
    <n v="0.01"/>
    <n v="0.57820000000000249"/>
    <n v="0"/>
    <n v="57.241799999999998"/>
    <x v="1"/>
    <s v=""/>
  </r>
  <r>
    <n v="733"/>
    <d v="2026-05-22T00:00:00"/>
    <d v="2026-05-26T00:00:00"/>
    <x v="3"/>
    <s v="STU-869"/>
    <s v="Returning Customer"/>
    <x v="2"/>
    <x v="1"/>
    <x v="0"/>
    <x v="0"/>
    <n v="59"/>
    <x v="0"/>
    <x v="3"/>
    <n v="0"/>
    <n v="59"/>
    <n v="57.82"/>
    <n v="57.241799999999998"/>
    <n v="0.02"/>
    <n v="1.1799999999999997"/>
    <n v="0.01"/>
    <n v="0.57820000000000249"/>
    <n v="0"/>
    <n v="0"/>
    <x v="2"/>
    <s v=""/>
  </r>
  <r>
    <n v="734"/>
    <d v="2026-04-30T00:00:00"/>
    <d v="2026-05-04T00:00:00"/>
    <x v="3"/>
    <s v="STU-835"/>
    <s v="New Customer"/>
    <x v="2"/>
    <x v="3"/>
    <x v="7"/>
    <x v="3"/>
    <n v="99"/>
    <x v="0"/>
    <x v="2"/>
    <n v="0"/>
    <n v="99"/>
    <n v="95.534999999999997"/>
    <n v="94.579650000000001"/>
    <n v="3.5000000000000003E-2"/>
    <n v="3.4650000000000034"/>
    <n v="0.01"/>
    <n v="0.9553499999999957"/>
    <n v="0"/>
    <n v="0"/>
    <x v="0"/>
    <s v=""/>
  </r>
  <r>
    <n v="735"/>
    <d v="2026-02-11T00:00:00"/>
    <d v="2026-02-12T00:00:00"/>
    <x v="6"/>
    <s v="STU-722"/>
    <s v="New Customer"/>
    <x v="2"/>
    <x v="7"/>
    <x v="1"/>
    <x v="1"/>
    <n v="29"/>
    <x v="0"/>
    <x v="0"/>
    <n v="0"/>
    <n v="29"/>
    <n v="28.42"/>
    <n v="28.135800000000003"/>
    <n v="0.02"/>
    <n v="0.57999999999999829"/>
    <n v="0.01"/>
    <n v="0.28419999999999845"/>
    <n v="0"/>
    <n v="0"/>
    <x v="2"/>
    <s v=""/>
  </r>
  <r>
    <n v="736"/>
    <d v="2026-03-19T00:00:00"/>
    <d v="2026-03-21T00:00:00"/>
    <x v="0"/>
    <s v="STU-790"/>
    <s v="New Customer"/>
    <x v="0"/>
    <x v="5"/>
    <x v="0"/>
    <x v="0"/>
    <n v="59"/>
    <x v="1"/>
    <x v="1"/>
    <n v="0"/>
    <n v="59"/>
    <n v="59"/>
    <n v="0"/>
    <n v="0"/>
    <n v="0"/>
    <n v="0.01"/>
    <n v="0.59000000000000341"/>
    <n v="0"/>
    <n v="58.41"/>
    <x v="1"/>
    <s v=""/>
  </r>
  <r>
    <n v="737"/>
    <d v="2026-05-04T00:00:00"/>
    <d v="2026-05-08T00:00:00"/>
    <x v="3"/>
    <s v="STU-809"/>
    <s v="Returning Customer"/>
    <x v="0"/>
    <x v="2"/>
    <x v="0"/>
    <x v="0"/>
    <n v="59"/>
    <x v="2"/>
    <x v="0"/>
    <n v="0"/>
    <n v="59"/>
    <n v="57.82"/>
    <n v="0"/>
    <n v="0.02"/>
    <n v="1.1799999999999997"/>
    <n v="0.01"/>
    <n v="0.57820000000000249"/>
    <n v="57.241799999999998"/>
    <n v="0"/>
    <x v="2"/>
    <s v=""/>
  </r>
  <r>
    <n v="738"/>
    <d v="2026-05-04T00:00:00"/>
    <d v="2026-05-07T00:00:00"/>
    <x v="3"/>
    <s v="STU-952"/>
    <s v="Returning Customer"/>
    <x v="1"/>
    <x v="2"/>
    <x v="1"/>
    <x v="1"/>
    <n v="29"/>
    <x v="1"/>
    <x v="4"/>
    <n v="0"/>
    <n v="29"/>
    <n v="27.984999999999999"/>
    <n v="0"/>
    <n v="3.5000000000000003E-2"/>
    <n v="1.0150000000000006"/>
    <n v="0.01"/>
    <n v="0.27984999999999971"/>
    <n v="0"/>
    <n v="27.70515"/>
    <x v="0"/>
    <s v=""/>
  </r>
  <r>
    <n v="739"/>
    <d v="2026-05-28T00:00:00"/>
    <d v="2026-06-02T00:00:00"/>
    <x v="1"/>
    <s v="STU-365"/>
    <s v="New Customer"/>
    <x v="1"/>
    <x v="0"/>
    <x v="0"/>
    <x v="0"/>
    <n v="59"/>
    <x v="1"/>
    <x v="2"/>
    <n v="0"/>
    <n v="59"/>
    <n v="56.935000000000002"/>
    <n v="0"/>
    <n v="3.5000000000000003E-2"/>
    <n v="2.0649999999999977"/>
    <n v="0.01"/>
    <n v="0.56935000000000002"/>
    <n v="0"/>
    <n v="56.365650000000002"/>
    <x v="1"/>
    <s v=""/>
  </r>
  <r>
    <n v="740"/>
    <d v="2026-07-25T00:00:00"/>
    <d v="2026-07-29T00:00:00"/>
    <x v="2"/>
    <s v="STU-658"/>
    <s v="New Customer"/>
    <x v="2"/>
    <x v="2"/>
    <x v="6"/>
    <x v="2"/>
    <n v="29"/>
    <x v="1"/>
    <x v="2"/>
    <n v="0"/>
    <n v="29"/>
    <n v="27.984999999999999"/>
    <n v="0"/>
    <n v="3.5000000000000003E-2"/>
    <n v="1.0150000000000006"/>
    <n v="0.01"/>
    <n v="0.27984999999999971"/>
    <n v="0"/>
    <n v="27.70515"/>
    <x v="0"/>
    <s v=""/>
  </r>
  <r>
    <n v="741"/>
    <d v="2026-06-28T00:00:00"/>
    <d v="2026-06-28T00:00:00"/>
    <x v="1"/>
    <s v="STU-936"/>
    <s v="New Customer"/>
    <x v="1"/>
    <x v="1"/>
    <x v="2"/>
    <x v="2"/>
    <n v="29"/>
    <x v="1"/>
    <x v="4"/>
    <n v="0"/>
    <n v="29"/>
    <n v="27.984999999999999"/>
    <n v="0"/>
    <n v="3.5000000000000003E-2"/>
    <n v="1.0150000000000006"/>
    <n v="0.01"/>
    <n v="0.27984999999999971"/>
    <n v="0"/>
    <n v="27.70515"/>
    <x v="1"/>
    <s v=""/>
  </r>
  <r>
    <n v="742"/>
    <d v="2026-04-17T00:00:00"/>
    <d v="2026-04-22T00:00:00"/>
    <x v="5"/>
    <s v="STU-308"/>
    <s v="Returning Customer"/>
    <x v="1"/>
    <x v="6"/>
    <x v="7"/>
    <x v="3"/>
    <n v="99"/>
    <x v="0"/>
    <x v="2"/>
    <n v="0"/>
    <n v="99"/>
    <n v="95.534999999999997"/>
    <n v="94.579650000000001"/>
    <n v="3.5000000000000003E-2"/>
    <n v="3.4650000000000034"/>
    <n v="0.01"/>
    <n v="0.9553499999999957"/>
    <n v="0"/>
    <n v="0"/>
    <x v="1"/>
    <s v=""/>
  </r>
  <r>
    <n v="743"/>
    <d v="2026-03-03T00:00:00"/>
    <d v="2026-03-06T00:00:00"/>
    <x v="0"/>
    <s v="STU-564"/>
    <s v="Returning Customer"/>
    <x v="1"/>
    <x v="5"/>
    <x v="3"/>
    <x v="3"/>
    <n v="59"/>
    <x v="0"/>
    <x v="2"/>
    <n v="20"/>
    <n v="-1121"/>
    <n v="-1081.7650000000001"/>
    <n v="-1070.9473500000001"/>
    <n v="3.5000000000000003E-2"/>
    <n v="-39.2349999999999"/>
    <n v="0.01"/>
    <n v="-10.817649999999958"/>
    <n v="0"/>
    <n v="0"/>
    <x v="0"/>
    <s v=""/>
  </r>
  <r>
    <n v="744"/>
    <d v="2026-01-12T00:00:00"/>
    <d v="2026-01-17T00:00:00"/>
    <x v="4"/>
    <s v="STU-620"/>
    <s v="Returning Customer"/>
    <x v="1"/>
    <x v="7"/>
    <x v="3"/>
    <x v="3"/>
    <n v="59"/>
    <x v="1"/>
    <x v="2"/>
    <n v="0"/>
    <n v="59"/>
    <n v="56.935000000000002"/>
    <n v="0"/>
    <n v="3.5000000000000003E-2"/>
    <n v="2.0649999999999977"/>
    <n v="0.01"/>
    <n v="0.56935000000000002"/>
    <n v="0"/>
    <n v="56.365650000000002"/>
    <x v="2"/>
    <s v=""/>
  </r>
  <r>
    <n v="745"/>
    <d v="2026-07-23T00:00:00"/>
    <d v="2026-07-23T00:00:00"/>
    <x v="2"/>
    <s v="STU-555"/>
    <s v="New Customer"/>
    <x v="1"/>
    <x v="5"/>
    <x v="7"/>
    <x v="3"/>
    <n v="99"/>
    <x v="1"/>
    <x v="1"/>
    <n v="0"/>
    <n v="99"/>
    <n v="99"/>
    <n v="0"/>
    <n v="0"/>
    <n v="0"/>
    <n v="0.01"/>
    <n v="0.98999999999999488"/>
    <n v="0"/>
    <n v="98.01"/>
    <x v="2"/>
    <s v=""/>
  </r>
  <r>
    <n v="746"/>
    <d v="2026-05-28T00:00:00"/>
    <d v="2026-05-28T00:00:00"/>
    <x v="3"/>
    <s v="STU-660"/>
    <s v="New Customer"/>
    <x v="1"/>
    <x v="6"/>
    <x v="1"/>
    <x v="1"/>
    <n v="29"/>
    <x v="1"/>
    <x v="4"/>
    <n v="0"/>
    <n v="29"/>
    <n v="27.984999999999999"/>
    <n v="0"/>
    <n v="3.5000000000000003E-2"/>
    <n v="1.0150000000000006"/>
    <n v="0.01"/>
    <n v="0.27984999999999971"/>
    <n v="0"/>
    <n v="27.70515"/>
    <x v="1"/>
    <n v="10"/>
  </r>
  <r>
    <n v="747"/>
    <d v="2026-01-26T00:00:00"/>
    <d v="2026-01-28T00:00:00"/>
    <x v="4"/>
    <s v="STU-594"/>
    <s v="Returning Customer"/>
    <x v="1"/>
    <x v="5"/>
    <x v="6"/>
    <x v="2"/>
    <n v="29"/>
    <x v="1"/>
    <x v="0"/>
    <n v="0"/>
    <n v="29"/>
    <n v="28.42"/>
    <n v="0"/>
    <n v="0.02"/>
    <n v="0.57999999999999829"/>
    <n v="0.01"/>
    <n v="0.28419999999999845"/>
    <n v="0"/>
    <n v="28.135800000000003"/>
    <x v="1"/>
    <s v=""/>
  </r>
  <r>
    <n v="748"/>
    <d v="2026-01-07T00:00:00"/>
    <d v="2026-01-09T00:00:00"/>
    <x v="4"/>
    <s v="STU-204"/>
    <s v="Returning Customer"/>
    <x v="0"/>
    <x v="0"/>
    <x v="0"/>
    <x v="0"/>
    <n v="59"/>
    <x v="0"/>
    <x v="4"/>
    <n v="0"/>
    <n v="59"/>
    <n v="56.935000000000002"/>
    <n v="56.365650000000002"/>
    <n v="3.5000000000000003E-2"/>
    <n v="2.0649999999999977"/>
    <n v="0.01"/>
    <n v="0.56935000000000002"/>
    <n v="0"/>
    <n v="0"/>
    <x v="2"/>
    <s v=""/>
  </r>
  <r>
    <n v="749"/>
    <d v="2026-02-14T00:00:00"/>
    <d v="2026-02-15T00:00:00"/>
    <x v="6"/>
    <s v="STU-527"/>
    <s v="New Customer"/>
    <x v="0"/>
    <x v="5"/>
    <x v="3"/>
    <x v="3"/>
    <n v="59"/>
    <x v="0"/>
    <x v="4"/>
    <n v="0"/>
    <n v="59"/>
    <n v="56.935000000000002"/>
    <n v="56.365650000000002"/>
    <n v="3.5000000000000003E-2"/>
    <n v="2.0649999999999977"/>
    <n v="0.01"/>
    <n v="0.56935000000000002"/>
    <n v="0"/>
    <n v="0"/>
    <x v="0"/>
    <s v=""/>
  </r>
  <r>
    <n v="750"/>
    <d v="2026-03-28T00:00:00"/>
    <d v="2026-04-02T00:00:00"/>
    <x v="5"/>
    <s v="STU-948"/>
    <s v="Returning Customer"/>
    <x v="1"/>
    <x v="0"/>
    <x v="6"/>
    <x v="2"/>
    <n v="29"/>
    <x v="0"/>
    <x v="2"/>
    <n v="0"/>
    <n v="29"/>
    <n v="27.984999999999999"/>
    <n v="27.70515"/>
    <n v="3.5000000000000003E-2"/>
    <n v="1.0150000000000006"/>
    <n v="0.01"/>
    <n v="0.27984999999999971"/>
    <n v="0"/>
    <n v="0"/>
    <x v="2"/>
    <s v=""/>
  </r>
  <r>
    <n v="751"/>
    <d v="2026-01-23T00:00:00"/>
    <d v="2026-01-26T00:00:00"/>
    <x v="4"/>
    <s v="STU-642"/>
    <s v="Returning Customer"/>
    <x v="0"/>
    <x v="0"/>
    <x v="1"/>
    <x v="1"/>
    <n v="29"/>
    <x v="1"/>
    <x v="4"/>
    <n v="0"/>
    <n v="29"/>
    <n v="27.984999999999999"/>
    <n v="0"/>
    <n v="3.5000000000000003E-2"/>
    <n v="1.0150000000000006"/>
    <n v="0.01"/>
    <n v="0.27984999999999971"/>
    <n v="0"/>
    <n v="27.70515"/>
    <x v="1"/>
    <s v=""/>
  </r>
  <r>
    <n v="752"/>
    <d v="2026-05-21T00:00:00"/>
    <d v="2026-05-26T00:00:00"/>
    <x v="3"/>
    <s v="STU-569"/>
    <s v="Returning Customer"/>
    <x v="0"/>
    <x v="5"/>
    <x v="0"/>
    <x v="0"/>
    <n v="59"/>
    <x v="1"/>
    <x v="3"/>
    <n v="0"/>
    <n v="59"/>
    <n v="57.82"/>
    <n v="0"/>
    <n v="0.02"/>
    <n v="1.1799999999999997"/>
    <n v="0.01"/>
    <n v="0.57820000000000249"/>
    <n v="0"/>
    <n v="57.241799999999998"/>
    <x v="0"/>
    <s v=""/>
  </r>
  <r>
    <n v="753"/>
    <d v="2026-06-01T00:00:00"/>
    <d v="2026-06-02T00:00:00"/>
    <x v="1"/>
    <s v="STU-875"/>
    <s v="New Customer"/>
    <x v="0"/>
    <x v="4"/>
    <x v="2"/>
    <x v="2"/>
    <n v="29"/>
    <x v="0"/>
    <x v="0"/>
    <n v="0"/>
    <n v="29"/>
    <n v="28.42"/>
    <n v="28.135800000000003"/>
    <n v="0.02"/>
    <n v="0.57999999999999829"/>
    <n v="0.01"/>
    <n v="0.28419999999999845"/>
    <n v="0"/>
    <n v="0"/>
    <x v="0"/>
    <s v=""/>
  </r>
  <r>
    <n v="754"/>
    <d v="2026-07-21T00:00:00"/>
    <d v="2026-07-26T00:00:00"/>
    <x v="2"/>
    <s v="STU-577"/>
    <s v="New Customer"/>
    <x v="1"/>
    <x v="4"/>
    <x v="6"/>
    <x v="2"/>
    <n v="29"/>
    <x v="1"/>
    <x v="3"/>
    <n v="0"/>
    <n v="29"/>
    <n v="28.42"/>
    <n v="0"/>
    <n v="0.02"/>
    <n v="0.57999999999999829"/>
    <n v="0.01"/>
    <n v="0.28419999999999845"/>
    <n v="0"/>
    <n v="28.135800000000003"/>
    <x v="2"/>
    <s v=""/>
  </r>
  <r>
    <n v="755"/>
    <d v="2026-05-03T00:00:00"/>
    <d v="2026-05-04T00:00:00"/>
    <x v="3"/>
    <s v="STU-325"/>
    <s v="Returning Customer"/>
    <x v="1"/>
    <x v="6"/>
    <x v="5"/>
    <x v="2"/>
    <n v="29"/>
    <x v="0"/>
    <x v="0"/>
    <n v="0"/>
    <n v="29"/>
    <n v="28.42"/>
    <n v="28.135800000000003"/>
    <n v="0.02"/>
    <n v="0.57999999999999829"/>
    <n v="0.01"/>
    <n v="0.28419999999999845"/>
    <n v="0"/>
    <n v="0"/>
    <x v="2"/>
    <s v=""/>
  </r>
  <r>
    <n v="756"/>
    <d v="2026-05-17T00:00:00"/>
    <d v="2026-05-18T00:00:00"/>
    <x v="3"/>
    <s v="STU-117"/>
    <s v="New Customer"/>
    <x v="2"/>
    <x v="4"/>
    <x v="5"/>
    <x v="2"/>
    <n v="29"/>
    <x v="0"/>
    <x v="4"/>
    <n v="0"/>
    <n v="29"/>
    <n v="27.984999999999999"/>
    <n v="27.70515"/>
    <n v="3.5000000000000003E-2"/>
    <n v="1.0150000000000006"/>
    <n v="0.01"/>
    <n v="0.27984999999999971"/>
    <n v="0"/>
    <n v="0"/>
    <x v="1"/>
    <s v=""/>
  </r>
  <r>
    <n v="757"/>
    <d v="2026-04-01T00:00:00"/>
    <d v="2026-04-03T00:00:00"/>
    <x v="5"/>
    <s v="STU-651"/>
    <s v="New Customer"/>
    <x v="1"/>
    <x v="7"/>
    <x v="6"/>
    <x v="2"/>
    <n v="29"/>
    <x v="2"/>
    <x v="1"/>
    <n v="0"/>
    <n v="29"/>
    <n v="29"/>
    <n v="0"/>
    <n v="0"/>
    <n v="0"/>
    <n v="0.01"/>
    <n v="0.28999999999999915"/>
    <n v="28.71"/>
    <n v="0"/>
    <x v="0"/>
    <s v=""/>
  </r>
  <r>
    <n v="758"/>
    <d v="2026-02-02T00:00:00"/>
    <d v="2026-02-06T00:00:00"/>
    <x v="6"/>
    <s v="STU-640"/>
    <s v="Returning Customer"/>
    <x v="1"/>
    <x v="3"/>
    <x v="1"/>
    <x v="1"/>
    <n v="29"/>
    <x v="1"/>
    <x v="2"/>
    <n v="0"/>
    <n v="29"/>
    <n v="27.984999999999999"/>
    <n v="0"/>
    <n v="3.5000000000000003E-2"/>
    <n v="1.0150000000000006"/>
    <n v="0.01"/>
    <n v="0.27984999999999971"/>
    <n v="0"/>
    <n v="27.70515"/>
    <x v="1"/>
    <s v=""/>
  </r>
  <r>
    <n v="759"/>
    <d v="2026-01-15T00:00:00"/>
    <d v="2026-01-20T00:00:00"/>
    <x v="4"/>
    <s v="STU-270"/>
    <s v="New Customer"/>
    <x v="0"/>
    <x v="3"/>
    <x v="2"/>
    <x v="2"/>
    <n v="29"/>
    <x v="1"/>
    <x v="3"/>
    <n v="0"/>
    <n v="29"/>
    <n v="28.42"/>
    <n v="0"/>
    <n v="0.02"/>
    <n v="0.57999999999999829"/>
    <n v="0.01"/>
    <n v="0.28419999999999845"/>
    <n v="0"/>
    <n v="28.135800000000003"/>
    <x v="2"/>
    <s v=""/>
  </r>
  <r>
    <n v="760"/>
    <d v="2026-02-11T00:00:00"/>
    <d v="2026-02-12T00:00:00"/>
    <x v="6"/>
    <s v="STU-531"/>
    <s v="Returning Customer"/>
    <x v="2"/>
    <x v="7"/>
    <x v="4"/>
    <x v="2"/>
    <n v="59"/>
    <x v="1"/>
    <x v="3"/>
    <n v="0"/>
    <n v="59"/>
    <n v="57.82"/>
    <n v="0"/>
    <n v="0.02"/>
    <n v="1.1799999999999997"/>
    <n v="0.01"/>
    <n v="0.57820000000000249"/>
    <n v="0"/>
    <n v="57.241799999999998"/>
    <x v="0"/>
    <s v=""/>
  </r>
  <r>
    <n v="761"/>
    <d v="2026-07-30T00:00:00"/>
    <d v="2026-07-30T00:00:00"/>
    <x v="2"/>
    <s v="STU-634"/>
    <s v="Returning Customer"/>
    <x v="0"/>
    <x v="4"/>
    <x v="3"/>
    <x v="3"/>
    <n v="59"/>
    <x v="0"/>
    <x v="2"/>
    <n v="0"/>
    <n v="59"/>
    <n v="56.935000000000002"/>
    <n v="56.365650000000002"/>
    <n v="3.5000000000000003E-2"/>
    <n v="2.0649999999999977"/>
    <n v="0.01"/>
    <n v="0.56935000000000002"/>
    <n v="0"/>
    <n v="0"/>
    <x v="1"/>
    <s v=""/>
  </r>
  <r>
    <n v="762"/>
    <d v="2026-01-04T00:00:00"/>
    <d v="2026-01-08T00:00:00"/>
    <x v="4"/>
    <s v="STU-808"/>
    <s v="Returning Customer"/>
    <x v="1"/>
    <x v="0"/>
    <x v="3"/>
    <x v="3"/>
    <n v="59"/>
    <x v="1"/>
    <x v="1"/>
    <n v="0"/>
    <n v="59"/>
    <n v="59"/>
    <n v="0"/>
    <n v="0"/>
    <n v="0"/>
    <n v="0.01"/>
    <n v="0.59000000000000341"/>
    <n v="0"/>
    <n v="58.41"/>
    <x v="0"/>
    <s v=""/>
  </r>
  <r>
    <n v="763"/>
    <d v="2026-06-28T00:00:00"/>
    <d v="2026-07-02T00:00:00"/>
    <x v="2"/>
    <s v="STU-86"/>
    <s v="Returning Customer"/>
    <x v="0"/>
    <x v="3"/>
    <x v="3"/>
    <x v="3"/>
    <n v="59"/>
    <x v="1"/>
    <x v="0"/>
    <n v="0"/>
    <n v="59"/>
    <n v="57.82"/>
    <n v="0"/>
    <n v="0.02"/>
    <n v="1.1799999999999997"/>
    <n v="0.01"/>
    <n v="0.57820000000000249"/>
    <n v="0"/>
    <n v="57.241799999999998"/>
    <x v="2"/>
    <s v=""/>
  </r>
  <r>
    <n v="764"/>
    <d v="2026-01-04T00:00:00"/>
    <d v="2026-01-08T00:00:00"/>
    <x v="4"/>
    <s v="STU-535"/>
    <s v="New Customer"/>
    <x v="1"/>
    <x v="6"/>
    <x v="0"/>
    <x v="0"/>
    <n v="59"/>
    <x v="0"/>
    <x v="1"/>
    <n v="0"/>
    <n v="59"/>
    <n v="59"/>
    <n v="58.41"/>
    <n v="0"/>
    <n v="0"/>
    <n v="0.01"/>
    <n v="0.59000000000000341"/>
    <n v="0"/>
    <n v="0"/>
    <x v="2"/>
    <s v=""/>
  </r>
  <r>
    <n v="765"/>
    <d v="2026-06-24T00:00:00"/>
    <d v="2026-06-29T00:00:00"/>
    <x v="1"/>
    <s v="STU-891"/>
    <s v="New Customer"/>
    <x v="1"/>
    <x v="7"/>
    <x v="7"/>
    <x v="3"/>
    <n v="99"/>
    <x v="1"/>
    <x v="3"/>
    <n v="0"/>
    <n v="99"/>
    <n v="97.02"/>
    <n v="0"/>
    <n v="0.02"/>
    <n v="1.980000000000004"/>
    <n v="0.01"/>
    <n v="0.9702000000000055"/>
    <n v="0"/>
    <n v="96.049799999999991"/>
    <x v="1"/>
    <s v=""/>
  </r>
  <r>
    <n v="766"/>
    <d v="2026-04-22T00:00:00"/>
    <d v="2026-04-25T00:00:00"/>
    <x v="5"/>
    <s v="STU-401"/>
    <s v="New Customer"/>
    <x v="1"/>
    <x v="2"/>
    <x v="5"/>
    <x v="2"/>
    <n v="29"/>
    <x v="1"/>
    <x v="3"/>
    <n v="0"/>
    <n v="29"/>
    <n v="28.42"/>
    <n v="0"/>
    <n v="0.02"/>
    <n v="0.57999999999999829"/>
    <n v="0.01"/>
    <n v="0.28419999999999845"/>
    <n v="0"/>
    <n v="28.135800000000003"/>
    <x v="2"/>
    <s v=""/>
  </r>
  <r>
    <n v="767"/>
    <d v="2026-05-02T00:00:00"/>
    <d v="2026-05-05T00:00:00"/>
    <x v="3"/>
    <s v="STU-153"/>
    <s v="Returning Customer"/>
    <x v="1"/>
    <x v="3"/>
    <x v="5"/>
    <x v="2"/>
    <n v="29"/>
    <x v="1"/>
    <x v="3"/>
    <n v="0"/>
    <n v="29"/>
    <n v="28.42"/>
    <n v="0"/>
    <n v="0.02"/>
    <n v="0.57999999999999829"/>
    <n v="0.01"/>
    <n v="0.28419999999999845"/>
    <n v="0"/>
    <n v="28.135800000000003"/>
    <x v="0"/>
    <s v=""/>
  </r>
  <r>
    <n v="768"/>
    <d v="2026-06-18T00:00:00"/>
    <d v="2026-06-18T00:00:00"/>
    <x v="1"/>
    <s v="STU-291"/>
    <s v="Returning Customer"/>
    <x v="2"/>
    <x v="6"/>
    <x v="7"/>
    <x v="3"/>
    <n v="99"/>
    <x v="0"/>
    <x v="2"/>
    <n v="0"/>
    <n v="99"/>
    <n v="95.534999999999997"/>
    <n v="94.579650000000001"/>
    <n v="3.5000000000000003E-2"/>
    <n v="3.4650000000000034"/>
    <n v="0.01"/>
    <n v="0.9553499999999957"/>
    <n v="0"/>
    <n v="0"/>
    <x v="2"/>
    <s v=""/>
  </r>
  <r>
    <n v="769"/>
    <d v="2026-01-07T00:00:00"/>
    <d v="2026-01-12T00:00:00"/>
    <x v="4"/>
    <s v="STU-880"/>
    <s v="Returning Customer"/>
    <x v="1"/>
    <x v="0"/>
    <x v="1"/>
    <x v="1"/>
    <n v="29"/>
    <x v="0"/>
    <x v="2"/>
    <n v="0"/>
    <n v="29"/>
    <n v="27.984999999999999"/>
    <n v="27.70515"/>
    <n v="3.5000000000000003E-2"/>
    <n v="1.0150000000000006"/>
    <n v="0.01"/>
    <n v="0.27984999999999971"/>
    <n v="0"/>
    <n v="0"/>
    <x v="2"/>
    <s v=""/>
  </r>
  <r>
    <n v="770"/>
    <d v="2026-03-26T00:00:00"/>
    <d v="2026-03-28T00:00:00"/>
    <x v="0"/>
    <s v="STU-936"/>
    <s v="Returning Customer"/>
    <x v="0"/>
    <x v="4"/>
    <x v="7"/>
    <x v="3"/>
    <n v="99"/>
    <x v="2"/>
    <x v="1"/>
    <n v="0"/>
    <n v="99"/>
    <n v="99"/>
    <n v="0"/>
    <n v="0"/>
    <n v="0"/>
    <n v="0.01"/>
    <n v="0.98999999999999488"/>
    <n v="98.01"/>
    <n v="0"/>
    <x v="1"/>
    <s v=""/>
  </r>
  <r>
    <n v="771"/>
    <d v="2026-02-28T00:00:00"/>
    <d v="2026-03-02T00:00:00"/>
    <x v="0"/>
    <s v="STU-669"/>
    <s v="New Customer"/>
    <x v="1"/>
    <x v="3"/>
    <x v="4"/>
    <x v="2"/>
    <n v="59"/>
    <x v="0"/>
    <x v="2"/>
    <n v="0"/>
    <n v="59"/>
    <n v="56.935000000000002"/>
    <n v="56.365650000000002"/>
    <n v="3.5000000000000003E-2"/>
    <n v="2.0649999999999977"/>
    <n v="0.01"/>
    <n v="0.56935000000000002"/>
    <n v="0"/>
    <n v="0"/>
    <x v="1"/>
    <s v=""/>
  </r>
  <r>
    <n v="772"/>
    <d v="2026-05-16T00:00:00"/>
    <d v="2026-05-19T00:00:00"/>
    <x v="3"/>
    <s v="STU-897"/>
    <s v="New Customer"/>
    <x v="2"/>
    <x v="0"/>
    <x v="3"/>
    <x v="3"/>
    <n v="59"/>
    <x v="1"/>
    <x v="2"/>
    <n v="0"/>
    <n v="59"/>
    <n v="56.935000000000002"/>
    <n v="0"/>
    <n v="3.5000000000000003E-2"/>
    <n v="2.0649999999999977"/>
    <n v="0.01"/>
    <n v="0.56935000000000002"/>
    <n v="0"/>
    <n v="56.365650000000002"/>
    <x v="1"/>
    <s v=""/>
  </r>
  <r>
    <n v="773"/>
    <d v="2026-04-04T00:00:00"/>
    <d v="2026-04-09T00:00:00"/>
    <x v="5"/>
    <s v="STU-550"/>
    <s v="Returning Customer"/>
    <x v="0"/>
    <x v="2"/>
    <x v="1"/>
    <x v="1"/>
    <n v="29"/>
    <x v="1"/>
    <x v="0"/>
    <n v="0"/>
    <n v="29"/>
    <n v="28.42"/>
    <n v="0"/>
    <n v="0.02"/>
    <n v="0.57999999999999829"/>
    <n v="0.01"/>
    <n v="0.28419999999999845"/>
    <n v="0"/>
    <n v="28.135800000000003"/>
    <x v="2"/>
    <s v=""/>
  </r>
  <r>
    <n v="774"/>
    <d v="2026-06-03T00:00:00"/>
    <d v="2026-06-05T00:00:00"/>
    <x v="1"/>
    <s v="STU-831"/>
    <s v="Returning Customer"/>
    <x v="0"/>
    <x v="3"/>
    <x v="3"/>
    <x v="3"/>
    <n v="59"/>
    <x v="1"/>
    <x v="2"/>
    <n v="0"/>
    <n v="59"/>
    <n v="56.935000000000002"/>
    <n v="0"/>
    <n v="3.5000000000000003E-2"/>
    <n v="2.0649999999999977"/>
    <n v="0.01"/>
    <n v="0.56935000000000002"/>
    <n v="0"/>
    <n v="56.365650000000002"/>
    <x v="0"/>
    <s v=""/>
  </r>
  <r>
    <n v="775"/>
    <d v="2026-07-01T00:00:00"/>
    <d v="2026-07-06T00:00:00"/>
    <x v="2"/>
    <s v="STU-871"/>
    <s v="Returning Customer"/>
    <x v="1"/>
    <x v="2"/>
    <x v="4"/>
    <x v="2"/>
    <n v="59"/>
    <x v="0"/>
    <x v="4"/>
    <n v="0"/>
    <n v="59"/>
    <n v="56.935000000000002"/>
    <n v="56.365650000000002"/>
    <n v="3.5000000000000003E-2"/>
    <n v="2.0649999999999977"/>
    <n v="0.01"/>
    <n v="0.56935000000000002"/>
    <n v="0"/>
    <n v="0"/>
    <x v="0"/>
    <s v=""/>
  </r>
  <r>
    <n v="776"/>
    <d v="2026-04-09T00:00:00"/>
    <d v="2026-04-11T00:00:00"/>
    <x v="5"/>
    <s v="STU-108"/>
    <s v="Returning Customer"/>
    <x v="2"/>
    <x v="5"/>
    <x v="3"/>
    <x v="3"/>
    <n v="59"/>
    <x v="0"/>
    <x v="4"/>
    <n v="0"/>
    <n v="59"/>
    <n v="56.935000000000002"/>
    <n v="56.365650000000002"/>
    <n v="3.5000000000000003E-2"/>
    <n v="2.0649999999999977"/>
    <n v="0.01"/>
    <n v="0.56935000000000002"/>
    <n v="0"/>
    <n v="0"/>
    <x v="0"/>
    <s v=""/>
  </r>
  <r>
    <n v="777"/>
    <d v="2026-03-15T00:00:00"/>
    <d v="2026-03-20T00:00:00"/>
    <x v="0"/>
    <s v="STU-370"/>
    <s v="New Customer"/>
    <x v="0"/>
    <x v="7"/>
    <x v="6"/>
    <x v="2"/>
    <n v="29"/>
    <x v="1"/>
    <x v="2"/>
    <n v="0"/>
    <n v="29"/>
    <n v="27.984999999999999"/>
    <n v="0"/>
    <n v="3.5000000000000003E-2"/>
    <n v="1.0150000000000006"/>
    <n v="0.01"/>
    <n v="0.27984999999999971"/>
    <n v="0"/>
    <n v="27.70515"/>
    <x v="2"/>
    <s v=""/>
  </r>
  <r>
    <n v="778"/>
    <d v="2026-02-20T00:00:00"/>
    <d v="2026-02-20T00:00:00"/>
    <x v="6"/>
    <s v="STU-108"/>
    <s v="Returning Customer"/>
    <x v="0"/>
    <x v="5"/>
    <x v="1"/>
    <x v="1"/>
    <n v="29"/>
    <x v="1"/>
    <x v="4"/>
    <n v="0"/>
    <n v="29"/>
    <n v="27.984999999999999"/>
    <n v="0"/>
    <n v="3.5000000000000003E-2"/>
    <n v="1.0150000000000006"/>
    <n v="0.01"/>
    <n v="0.27984999999999971"/>
    <n v="0"/>
    <n v="27.70515"/>
    <x v="2"/>
    <s v=""/>
  </r>
  <r>
    <n v="779"/>
    <d v="2026-01-24T00:00:00"/>
    <d v="2026-01-28T00:00:00"/>
    <x v="4"/>
    <s v="STU-136"/>
    <s v="Returning Customer"/>
    <x v="2"/>
    <x v="3"/>
    <x v="6"/>
    <x v="2"/>
    <n v="29"/>
    <x v="0"/>
    <x v="0"/>
    <n v="0"/>
    <n v="29"/>
    <n v="28.42"/>
    <n v="28.135800000000003"/>
    <n v="0.02"/>
    <n v="0.57999999999999829"/>
    <n v="0.01"/>
    <n v="0.28419999999999845"/>
    <n v="0"/>
    <n v="0"/>
    <x v="1"/>
    <s v=""/>
  </r>
  <r>
    <n v="780"/>
    <d v="2026-01-31T00:00:00"/>
    <d v="2026-02-02T00:00:00"/>
    <x v="6"/>
    <s v="STU-687"/>
    <s v="Returning Customer"/>
    <x v="2"/>
    <x v="0"/>
    <x v="5"/>
    <x v="2"/>
    <n v="29"/>
    <x v="1"/>
    <x v="4"/>
    <n v="0"/>
    <n v="29"/>
    <n v="27.984999999999999"/>
    <n v="0"/>
    <n v="3.5000000000000003E-2"/>
    <n v="1.0150000000000006"/>
    <n v="0.01"/>
    <n v="0.27984999999999971"/>
    <n v="0"/>
    <n v="27.70515"/>
    <x v="2"/>
    <s v=""/>
  </r>
  <r>
    <n v="781"/>
    <d v="2026-06-25T00:00:00"/>
    <d v="2026-06-27T00:00:00"/>
    <x v="1"/>
    <s v="STU-52"/>
    <s v="Returning Customer"/>
    <x v="2"/>
    <x v="2"/>
    <x v="7"/>
    <x v="3"/>
    <n v="99"/>
    <x v="1"/>
    <x v="0"/>
    <n v="0"/>
    <n v="99"/>
    <n v="97.02"/>
    <n v="0"/>
    <n v="0.02"/>
    <n v="1.980000000000004"/>
    <n v="0.01"/>
    <n v="0.9702000000000055"/>
    <n v="0"/>
    <n v="96.049799999999991"/>
    <x v="1"/>
    <s v=""/>
  </r>
  <r>
    <n v="782"/>
    <d v="2026-07-17T00:00:00"/>
    <d v="2026-07-18T00:00:00"/>
    <x v="2"/>
    <s v="STU-503"/>
    <s v="Returning Customer"/>
    <x v="2"/>
    <x v="7"/>
    <x v="6"/>
    <x v="2"/>
    <n v="29"/>
    <x v="1"/>
    <x v="3"/>
    <n v="0"/>
    <n v="29"/>
    <n v="28.42"/>
    <n v="0"/>
    <n v="0.02"/>
    <n v="0.57999999999999829"/>
    <n v="0.01"/>
    <n v="0.28419999999999845"/>
    <n v="0"/>
    <n v="28.135800000000003"/>
    <x v="0"/>
    <s v=""/>
  </r>
  <r>
    <n v="783"/>
    <d v="2026-05-31T00:00:00"/>
    <d v="2026-06-01T00:00:00"/>
    <x v="1"/>
    <s v="STU-926"/>
    <s v="Returning Customer"/>
    <x v="0"/>
    <x v="0"/>
    <x v="7"/>
    <x v="3"/>
    <n v="99"/>
    <x v="1"/>
    <x v="2"/>
    <n v="0"/>
    <n v="99"/>
    <n v="95.534999999999997"/>
    <n v="0"/>
    <n v="3.5000000000000003E-2"/>
    <n v="3.4650000000000034"/>
    <n v="0.01"/>
    <n v="0.9553499999999957"/>
    <n v="0"/>
    <n v="94.579650000000001"/>
    <x v="2"/>
    <s v=""/>
  </r>
  <r>
    <n v="784"/>
    <d v="2026-02-14T00:00:00"/>
    <d v="2026-02-19T00:00:00"/>
    <x v="6"/>
    <s v="STU-692"/>
    <s v="New Customer"/>
    <x v="1"/>
    <x v="1"/>
    <x v="5"/>
    <x v="2"/>
    <n v="29"/>
    <x v="0"/>
    <x v="3"/>
    <n v="0"/>
    <n v="29"/>
    <n v="28.42"/>
    <n v="28.135800000000003"/>
    <n v="0.02"/>
    <n v="0.57999999999999829"/>
    <n v="0.01"/>
    <n v="0.28419999999999845"/>
    <n v="0"/>
    <n v="0"/>
    <x v="0"/>
    <n v="10"/>
  </r>
  <r>
    <n v="785"/>
    <d v="2026-02-21T00:00:00"/>
    <d v="2026-02-26T00:00:00"/>
    <x v="6"/>
    <s v="STU-939"/>
    <s v="New Customer"/>
    <x v="2"/>
    <x v="7"/>
    <x v="2"/>
    <x v="2"/>
    <n v="29"/>
    <x v="1"/>
    <x v="2"/>
    <n v="0"/>
    <n v="29"/>
    <n v="27.984999999999999"/>
    <n v="0"/>
    <n v="3.5000000000000003E-2"/>
    <n v="1.0150000000000006"/>
    <n v="0.01"/>
    <n v="0.27984999999999971"/>
    <n v="0"/>
    <n v="27.70515"/>
    <x v="2"/>
    <s v=""/>
  </r>
  <r>
    <n v="786"/>
    <d v="2026-04-03T00:00:00"/>
    <d v="2026-04-03T00:00:00"/>
    <x v="5"/>
    <s v="STU-649"/>
    <s v="Returning Customer"/>
    <x v="2"/>
    <x v="5"/>
    <x v="7"/>
    <x v="3"/>
    <n v="99"/>
    <x v="0"/>
    <x v="3"/>
    <n v="0"/>
    <n v="99"/>
    <n v="97.02"/>
    <n v="96.049799999999991"/>
    <n v="0.02"/>
    <n v="1.980000000000004"/>
    <n v="0.01"/>
    <n v="0.9702000000000055"/>
    <n v="0"/>
    <n v="0"/>
    <x v="1"/>
    <s v=""/>
  </r>
  <r>
    <n v="787"/>
    <d v="2026-04-27T00:00:00"/>
    <d v="2026-05-02T00:00:00"/>
    <x v="3"/>
    <s v="STU-811"/>
    <s v="Returning Customer"/>
    <x v="0"/>
    <x v="7"/>
    <x v="3"/>
    <x v="3"/>
    <n v="59"/>
    <x v="1"/>
    <x v="2"/>
    <n v="0"/>
    <n v="59"/>
    <n v="56.935000000000002"/>
    <n v="0"/>
    <n v="3.5000000000000003E-2"/>
    <n v="2.0649999999999977"/>
    <n v="0.01"/>
    <n v="0.56935000000000002"/>
    <n v="0"/>
    <n v="56.365650000000002"/>
    <x v="0"/>
    <s v=""/>
  </r>
  <r>
    <n v="788"/>
    <d v="2026-01-19T00:00:00"/>
    <d v="2026-01-24T00:00:00"/>
    <x v="4"/>
    <s v="STU-772"/>
    <s v="Returning Customer"/>
    <x v="2"/>
    <x v="2"/>
    <x v="3"/>
    <x v="3"/>
    <n v="59"/>
    <x v="1"/>
    <x v="2"/>
    <n v="0"/>
    <n v="59"/>
    <n v="56.935000000000002"/>
    <n v="0"/>
    <n v="3.5000000000000003E-2"/>
    <n v="2.0649999999999977"/>
    <n v="0.01"/>
    <n v="0.56935000000000002"/>
    <n v="0"/>
    <n v="56.365650000000002"/>
    <x v="1"/>
    <s v=""/>
  </r>
  <r>
    <n v="789"/>
    <d v="2026-03-06T00:00:00"/>
    <d v="2026-03-11T00:00:00"/>
    <x v="0"/>
    <s v="STU-481"/>
    <s v="New Customer"/>
    <x v="2"/>
    <x v="3"/>
    <x v="6"/>
    <x v="2"/>
    <n v="29"/>
    <x v="1"/>
    <x v="1"/>
    <n v="0"/>
    <n v="29"/>
    <n v="29"/>
    <n v="0"/>
    <n v="0"/>
    <n v="0"/>
    <n v="0.01"/>
    <n v="0.28999999999999915"/>
    <n v="0"/>
    <n v="28.71"/>
    <x v="1"/>
    <s v=""/>
  </r>
  <r>
    <n v="790"/>
    <d v="2026-07-03T00:00:00"/>
    <d v="2026-07-06T00:00:00"/>
    <x v="2"/>
    <s v="STU-373"/>
    <s v="New Customer"/>
    <x v="1"/>
    <x v="0"/>
    <x v="4"/>
    <x v="2"/>
    <n v="59"/>
    <x v="2"/>
    <x v="4"/>
    <n v="0"/>
    <n v="59"/>
    <n v="56.935000000000002"/>
    <n v="0"/>
    <n v="3.5000000000000003E-2"/>
    <n v="2.0649999999999977"/>
    <n v="0.01"/>
    <n v="0.56935000000000002"/>
    <n v="56.365650000000002"/>
    <n v="0"/>
    <x v="0"/>
    <s v=""/>
  </r>
  <r>
    <n v="791"/>
    <d v="2026-06-20T00:00:00"/>
    <d v="2026-06-21T00:00:00"/>
    <x v="1"/>
    <s v="STU-11"/>
    <s v="New Customer"/>
    <x v="2"/>
    <x v="2"/>
    <x v="1"/>
    <x v="1"/>
    <n v="29"/>
    <x v="1"/>
    <x v="0"/>
    <n v="0"/>
    <n v="29"/>
    <n v="28.42"/>
    <n v="0"/>
    <n v="0.02"/>
    <n v="0.57999999999999829"/>
    <n v="0.01"/>
    <n v="0.28419999999999845"/>
    <n v="0"/>
    <n v="28.135800000000003"/>
    <x v="2"/>
    <s v=""/>
  </r>
  <r>
    <n v="792"/>
    <d v="2026-04-02T00:00:00"/>
    <d v="2026-04-02T00:00:00"/>
    <x v="5"/>
    <s v="STU-8"/>
    <s v="Returning Customer"/>
    <x v="1"/>
    <x v="1"/>
    <x v="6"/>
    <x v="2"/>
    <n v="29"/>
    <x v="2"/>
    <x v="0"/>
    <n v="0"/>
    <n v="29"/>
    <n v="28.42"/>
    <n v="0"/>
    <n v="0.02"/>
    <n v="0.57999999999999829"/>
    <n v="0.01"/>
    <n v="0.28419999999999845"/>
    <n v="28.135800000000003"/>
    <n v="0"/>
    <x v="2"/>
    <s v=""/>
  </r>
  <r>
    <n v="793"/>
    <d v="2026-01-22T00:00:00"/>
    <d v="2026-01-22T00:00:00"/>
    <x v="4"/>
    <s v="STU-664"/>
    <s v="New Customer"/>
    <x v="1"/>
    <x v="3"/>
    <x v="5"/>
    <x v="2"/>
    <n v="29"/>
    <x v="0"/>
    <x v="3"/>
    <n v="0"/>
    <n v="29"/>
    <n v="28.42"/>
    <n v="28.135800000000003"/>
    <n v="0.02"/>
    <n v="0.57999999999999829"/>
    <n v="0.01"/>
    <n v="0.28419999999999845"/>
    <n v="0"/>
    <n v="0"/>
    <x v="0"/>
    <s v=""/>
  </r>
  <r>
    <n v="794"/>
    <d v="2026-04-01T00:00:00"/>
    <d v="2026-04-01T00:00:00"/>
    <x v="5"/>
    <s v="STU-346"/>
    <s v="New Customer"/>
    <x v="0"/>
    <x v="7"/>
    <x v="6"/>
    <x v="2"/>
    <n v="29"/>
    <x v="2"/>
    <x v="2"/>
    <n v="0"/>
    <n v="29"/>
    <n v="27.984999999999999"/>
    <n v="0"/>
    <n v="3.5000000000000003E-2"/>
    <n v="1.0150000000000006"/>
    <n v="0.01"/>
    <n v="0.27984999999999971"/>
    <n v="27.70515"/>
    <n v="0"/>
    <x v="1"/>
    <s v=""/>
  </r>
  <r>
    <n v="795"/>
    <d v="2026-01-20T00:00:00"/>
    <d v="2026-01-21T00:00:00"/>
    <x v="4"/>
    <s v="STU-917"/>
    <s v="Returning Customer"/>
    <x v="2"/>
    <x v="0"/>
    <x v="6"/>
    <x v="2"/>
    <n v="29"/>
    <x v="0"/>
    <x v="0"/>
    <n v="0"/>
    <n v="29"/>
    <n v="28.42"/>
    <n v="28.135800000000003"/>
    <n v="0.02"/>
    <n v="0.57999999999999829"/>
    <n v="0.01"/>
    <n v="0.28419999999999845"/>
    <n v="0"/>
    <n v="0"/>
    <x v="1"/>
    <s v=""/>
  </r>
  <r>
    <n v="796"/>
    <d v="2026-05-13T00:00:00"/>
    <d v="2026-05-14T00:00:00"/>
    <x v="3"/>
    <s v="STU-808"/>
    <s v="Returning Customer"/>
    <x v="0"/>
    <x v="5"/>
    <x v="2"/>
    <x v="2"/>
    <n v="29"/>
    <x v="1"/>
    <x v="0"/>
    <n v="0"/>
    <n v="29"/>
    <n v="28.42"/>
    <n v="0"/>
    <n v="0.02"/>
    <n v="0.57999999999999829"/>
    <n v="0.01"/>
    <n v="0.28419999999999845"/>
    <n v="0"/>
    <n v="28.135800000000003"/>
    <x v="0"/>
    <s v=""/>
  </r>
  <r>
    <n v="797"/>
    <d v="2026-04-02T00:00:00"/>
    <d v="2026-04-03T00:00:00"/>
    <x v="5"/>
    <s v="STU-883"/>
    <s v="Returning Customer"/>
    <x v="1"/>
    <x v="2"/>
    <x v="5"/>
    <x v="2"/>
    <n v="29"/>
    <x v="0"/>
    <x v="3"/>
    <n v="0"/>
    <n v="29"/>
    <n v="28.42"/>
    <n v="28.135800000000003"/>
    <n v="0.02"/>
    <n v="0.57999999999999829"/>
    <n v="0.01"/>
    <n v="0.28419999999999845"/>
    <n v="0"/>
    <n v="0"/>
    <x v="0"/>
    <s v=""/>
  </r>
  <r>
    <n v="798"/>
    <d v="2026-06-28T00:00:00"/>
    <d v="2026-07-03T00:00:00"/>
    <x v="2"/>
    <s v="STU-533"/>
    <s v="Returning Customer"/>
    <x v="2"/>
    <x v="0"/>
    <x v="0"/>
    <x v="0"/>
    <n v="59"/>
    <x v="1"/>
    <x v="3"/>
    <n v="0"/>
    <n v="59"/>
    <n v="57.82"/>
    <n v="0"/>
    <n v="0.02"/>
    <n v="1.1799999999999997"/>
    <n v="0.01"/>
    <n v="0.57820000000000249"/>
    <n v="0"/>
    <n v="57.241799999999998"/>
    <x v="0"/>
    <s v=""/>
  </r>
  <r>
    <n v="799"/>
    <d v="2026-01-20T00:00:00"/>
    <d v="2026-01-22T00:00:00"/>
    <x v="4"/>
    <s v="STU-379"/>
    <s v="Returning Customer"/>
    <x v="2"/>
    <x v="6"/>
    <x v="4"/>
    <x v="2"/>
    <n v="59"/>
    <x v="0"/>
    <x v="3"/>
    <n v="0"/>
    <n v="59"/>
    <n v="57.82"/>
    <n v="57.241799999999998"/>
    <n v="0.02"/>
    <n v="1.1799999999999997"/>
    <n v="0.01"/>
    <n v="0.57820000000000249"/>
    <n v="0"/>
    <n v="0"/>
    <x v="0"/>
    <s v=""/>
  </r>
  <r>
    <n v="800"/>
    <d v="2026-02-18T00:00:00"/>
    <d v="2026-02-20T00:00:00"/>
    <x v="6"/>
    <s v="STU-258"/>
    <s v="New Customer"/>
    <x v="1"/>
    <x v="4"/>
    <x v="2"/>
    <x v="2"/>
    <n v="29"/>
    <x v="0"/>
    <x v="4"/>
    <n v="0"/>
    <n v="29"/>
    <n v="27.984999999999999"/>
    <n v="27.70515"/>
    <n v="3.5000000000000003E-2"/>
    <n v="1.0150000000000006"/>
    <n v="0.01"/>
    <n v="0.27984999999999971"/>
    <n v="0"/>
    <n v="0"/>
    <x v="2"/>
    <s v=""/>
  </r>
  <r>
    <n v="801"/>
    <d v="2026-04-14T00:00:00"/>
    <d v="2026-04-14T00:00:00"/>
    <x v="5"/>
    <s v="STU-931"/>
    <s v="Returning Customer"/>
    <x v="1"/>
    <x v="4"/>
    <x v="0"/>
    <x v="0"/>
    <n v="59"/>
    <x v="1"/>
    <x v="0"/>
    <n v="0"/>
    <n v="59"/>
    <n v="57.82"/>
    <n v="0"/>
    <n v="0.02"/>
    <n v="1.1799999999999997"/>
    <n v="0.01"/>
    <n v="0.57820000000000249"/>
    <n v="0"/>
    <n v="57.241799999999998"/>
    <x v="1"/>
    <s v=""/>
  </r>
  <r>
    <n v="802"/>
    <d v="2026-07-01T00:00:00"/>
    <d v="2026-07-03T00:00:00"/>
    <x v="2"/>
    <s v="STU-369"/>
    <s v="Returning Customer"/>
    <x v="1"/>
    <x v="0"/>
    <x v="4"/>
    <x v="2"/>
    <n v="59"/>
    <x v="2"/>
    <x v="2"/>
    <n v="0"/>
    <n v="59"/>
    <n v="56.935000000000002"/>
    <n v="0"/>
    <n v="3.5000000000000003E-2"/>
    <n v="2.0649999999999977"/>
    <n v="0.01"/>
    <n v="0.56935000000000002"/>
    <n v="56.365650000000002"/>
    <n v="0"/>
    <x v="2"/>
    <s v=""/>
  </r>
  <r>
    <n v="803"/>
    <d v="2026-06-08T00:00:00"/>
    <d v="2026-06-08T00:00:00"/>
    <x v="1"/>
    <s v="STU-19"/>
    <s v="Returning Customer"/>
    <x v="0"/>
    <x v="7"/>
    <x v="2"/>
    <x v="2"/>
    <n v="29"/>
    <x v="1"/>
    <x v="3"/>
    <n v="0"/>
    <n v="29"/>
    <n v="28.42"/>
    <n v="0"/>
    <n v="0.02"/>
    <n v="0.57999999999999829"/>
    <n v="0.01"/>
    <n v="0.28419999999999845"/>
    <n v="0"/>
    <n v="28.135800000000003"/>
    <x v="0"/>
    <s v=""/>
  </r>
  <r>
    <n v="804"/>
    <d v="2026-07-24T00:00:00"/>
    <d v="2026-07-28T00:00:00"/>
    <x v="2"/>
    <s v="STU-323"/>
    <s v="Returning Customer"/>
    <x v="2"/>
    <x v="4"/>
    <x v="4"/>
    <x v="2"/>
    <n v="59"/>
    <x v="1"/>
    <x v="1"/>
    <n v="0"/>
    <n v="59"/>
    <n v="59"/>
    <n v="0"/>
    <n v="0"/>
    <n v="0"/>
    <n v="0.01"/>
    <n v="0.59000000000000341"/>
    <n v="0"/>
    <n v="58.41"/>
    <x v="2"/>
    <s v=""/>
  </r>
  <r>
    <n v="805"/>
    <d v="2026-05-14T00:00:00"/>
    <d v="2026-05-18T00:00:00"/>
    <x v="3"/>
    <s v="STU-421"/>
    <s v="New Customer"/>
    <x v="1"/>
    <x v="5"/>
    <x v="3"/>
    <x v="3"/>
    <n v="59"/>
    <x v="0"/>
    <x v="3"/>
    <n v="0"/>
    <n v="59"/>
    <n v="57.82"/>
    <n v="57.241799999999998"/>
    <n v="0.02"/>
    <n v="1.1799999999999997"/>
    <n v="0.01"/>
    <n v="0.57820000000000249"/>
    <n v="0"/>
    <n v="0"/>
    <x v="1"/>
    <s v=""/>
  </r>
  <r>
    <n v="806"/>
    <d v="2026-01-11T00:00:00"/>
    <d v="2026-01-12T00:00:00"/>
    <x v="4"/>
    <s v="STU-692"/>
    <s v="Returning Customer"/>
    <x v="2"/>
    <x v="7"/>
    <x v="5"/>
    <x v="2"/>
    <n v="29"/>
    <x v="1"/>
    <x v="4"/>
    <n v="0"/>
    <n v="29"/>
    <n v="27.984999999999999"/>
    <n v="0"/>
    <n v="3.5000000000000003E-2"/>
    <n v="1.0150000000000006"/>
    <n v="0.01"/>
    <n v="0.27984999999999971"/>
    <n v="0"/>
    <n v="27.70515"/>
    <x v="2"/>
    <s v=""/>
  </r>
  <r>
    <n v="807"/>
    <d v="2026-01-06T00:00:00"/>
    <d v="2026-01-08T00:00:00"/>
    <x v="4"/>
    <s v="STU-250"/>
    <s v="Returning Customer"/>
    <x v="2"/>
    <x v="4"/>
    <x v="3"/>
    <x v="3"/>
    <n v="59"/>
    <x v="2"/>
    <x v="3"/>
    <n v="0"/>
    <n v="59"/>
    <n v="57.82"/>
    <n v="0"/>
    <n v="0.02"/>
    <n v="1.1799999999999997"/>
    <n v="0.01"/>
    <n v="0.57820000000000249"/>
    <n v="57.241799999999998"/>
    <n v="0"/>
    <x v="1"/>
    <s v=""/>
  </r>
  <r>
    <n v="808"/>
    <d v="2026-03-17T00:00:00"/>
    <d v="2026-03-17T00:00:00"/>
    <x v="0"/>
    <s v="STU-439"/>
    <s v="Returning Customer"/>
    <x v="1"/>
    <x v="2"/>
    <x v="1"/>
    <x v="1"/>
    <n v="29"/>
    <x v="2"/>
    <x v="1"/>
    <n v="0"/>
    <n v="29"/>
    <n v="29"/>
    <n v="0"/>
    <n v="0"/>
    <n v="0"/>
    <n v="0.01"/>
    <n v="0.28999999999999915"/>
    <n v="28.71"/>
    <n v="0"/>
    <x v="0"/>
    <s v=""/>
  </r>
  <r>
    <n v="809"/>
    <d v="2026-06-06T00:00:00"/>
    <d v="2026-06-11T00:00:00"/>
    <x v="1"/>
    <s v="STU-832"/>
    <s v="Returning Customer"/>
    <x v="2"/>
    <x v="7"/>
    <x v="6"/>
    <x v="2"/>
    <n v="29"/>
    <x v="1"/>
    <x v="2"/>
    <n v="0"/>
    <n v="29"/>
    <n v="27.984999999999999"/>
    <n v="0"/>
    <n v="3.5000000000000003E-2"/>
    <n v="1.0150000000000006"/>
    <n v="0.01"/>
    <n v="0.27984999999999971"/>
    <n v="0"/>
    <n v="27.70515"/>
    <x v="2"/>
    <s v=""/>
  </r>
  <r>
    <n v="810"/>
    <d v="2026-01-17T00:00:00"/>
    <d v="2026-01-21T00:00:00"/>
    <x v="4"/>
    <s v="STU-649"/>
    <s v="Returning Customer"/>
    <x v="2"/>
    <x v="6"/>
    <x v="0"/>
    <x v="0"/>
    <n v="59"/>
    <x v="0"/>
    <x v="0"/>
    <n v="0"/>
    <n v="59"/>
    <n v="57.82"/>
    <n v="57.241799999999998"/>
    <n v="0.02"/>
    <n v="1.1799999999999997"/>
    <n v="0.01"/>
    <n v="0.57820000000000249"/>
    <n v="0"/>
    <n v="0"/>
    <x v="2"/>
    <s v=""/>
  </r>
  <r>
    <n v="811"/>
    <d v="2026-05-15T00:00:00"/>
    <d v="2026-05-16T00:00:00"/>
    <x v="3"/>
    <s v="STU-200"/>
    <s v="New Customer"/>
    <x v="2"/>
    <x v="4"/>
    <x v="1"/>
    <x v="1"/>
    <n v="29"/>
    <x v="2"/>
    <x v="3"/>
    <n v="0"/>
    <n v="29"/>
    <n v="28.42"/>
    <n v="0"/>
    <n v="0.02"/>
    <n v="0.57999999999999829"/>
    <n v="0.01"/>
    <n v="0.28419999999999845"/>
    <n v="28.135800000000003"/>
    <n v="0"/>
    <x v="0"/>
    <s v=""/>
  </r>
  <r>
    <n v="812"/>
    <d v="2026-06-20T00:00:00"/>
    <d v="2026-06-25T00:00:00"/>
    <x v="1"/>
    <s v="STU-152"/>
    <s v="New Customer"/>
    <x v="0"/>
    <x v="1"/>
    <x v="2"/>
    <x v="2"/>
    <n v="29"/>
    <x v="1"/>
    <x v="1"/>
    <n v="0"/>
    <n v="29"/>
    <n v="29"/>
    <n v="0"/>
    <n v="0"/>
    <n v="0"/>
    <n v="0.01"/>
    <n v="0.28999999999999915"/>
    <n v="0"/>
    <n v="28.71"/>
    <x v="2"/>
    <s v=""/>
  </r>
  <r>
    <n v="813"/>
    <d v="2026-03-26T00:00:00"/>
    <d v="2026-03-30T00:00:00"/>
    <x v="0"/>
    <s v="STU-702"/>
    <s v="New Customer"/>
    <x v="2"/>
    <x v="3"/>
    <x v="1"/>
    <x v="1"/>
    <n v="29"/>
    <x v="1"/>
    <x v="0"/>
    <n v="0"/>
    <n v="29"/>
    <n v="28.42"/>
    <n v="0"/>
    <n v="0.02"/>
    <n v="0.57999999999999829"/>
    <n v="0.01"/>
    <n v="0.28419999999999845"/>
    <n v="0"/>
    <n v="28.135800000000003"/>
    <x v="0"/>
    <s v=""/>
  </r>
  <r>
    <n v="814"/>
    <d v="2026-01-30T00:00:00"/>
    <d v="2026-02-04T00:00:00"/>
    <x v="6"/>
    <s v="STU-235"/>
    <s v="New Customer"/>
    <x v="1"/>
    <x v="1"/>
    <x v="7"/>
    <x v="3"/>
    <n v="99"/>
    <x v="0"/>
    <x v="3"/>
    <n v="0"/>
    <n v="99"/>
    <n v="97.02"/>
    <n v="96.049799999999991"/>
    <n v="0.02"/>
    <n v="1.980000000000004"/>
    <n v="0.01"/>
    <n v="0.9702000000000055"/>
    <n v="0"/>
    <n v="0"/>
    <x v="1"/>
    <s v=""/>
  </r>
  <r>
    <n v="815"/>
    <d v="2026-01-25T00:00:00"/>
    <d v="2026-01-28T00:00:00"/>
    <x v="4"/>
    <s v="STU-86"/>
    <s v="Returning Customer"/>
    <x v="0"/>
    <x v="4"/>
    <x v="5"/>
    <x v="2"/>
    <n v="29"/>
    <x v="1"/>
    <x v="3"/>
    <n v="0"/>
    <n v="29"/>
    <n v="28.42"/>
    <n v="0"/>
    <n v="0.02"/>
    <n v="0.57999999999999829"/>
    <n v="0.01"/>
    <n v="0.28419999999999845"/>
    <n v="0"/>
    <n v="28.135800000000003"/>
    <x v="0"/>
    <s v=""/>
  </r>
  <r>
    <n v="816"/>
    <d v="2026-03-28T00:00:00"/>
    <d v="2026-03-29T00:00:00"/>
    <x v="0"/>
    <s v="STU-646"/>
    <s v="Returning Customer"/>
    <x v="2"/>
    <x v="2"/>
    <x v="3"/>
    <x v="3"/>
    <n v="59"/>
    <x v="1"/>
    <x v="1"/>
    <n v="0"/>
    <n v="59"/>
    <n v="59"/>
    <n v="0"/>
    <n v="0"/>
    <n v="0"/>
    <n v="0.01"/>
    <n v="0.59000000000000341"/>
    <n v="0"/>
    <n v="58.41"/>
    <x v="1"/>
    <s v=""/>
  </r>
  <r>
    <n v="817"/>
    <d v="2026-05-29T00:00:00"/>
    <d v="2026-05-30T00:00:00"/>
    <x v="3"/>
    <s v="STU-753"/>
    <s v="New Customer"/>
    <x v="1"/>
    <x v="5"/>
    <x v="1"/>
    <x v="1"/>
    <n v="29"/>
    <x v="1"/>
    <x v="0"/>
    <n v="0"/>
    <n v="29"/>
    <n v="28.42"/>
    <n v="0"/>
    <n v="0.02"/>
    <n v="0.57999999999999829"/>
    <n v="0.01"/>
    <n v="0.28419999999999845"/>
    <n v="0"/>
    <n v="28.135800000000003"/>
    <x v="2"/>
    <s v=""/>
  </r>
  <r>
    <n v="818"/>
    <d v="2026-01-07T00:00:00"/>
    <d v="2026-01-12T00:00:00"/>
    <x v="4"/>
    <s v="STU-598"/>
    <s v="Returning Customer"/>
    <x v="0"/>
    <x v="6"/>
    <x v="2"/>
    <x v="2"/>
    <n v="29"/>
    <x v="1"/>
    <x v="3"/>
    <n v="0"/>
    <n v="29"/>
    <n v="28.42"/>
    <n v="0"/>
    <n v="0.02"/>
    <n v="0.57999999999999829"/>
    <n v="0.01"/>
    <n v="0.28419999999999845"/>
    <n v="0"/>
    <n v="28.135800000000003"/>
    <x v="0"/>
    <s v=""/>
  </r>
  <r>
    <n v="819"/>
    <d v="2026-05-17T00:00:00"/>
    <d v="2026-05-17T00:00:00"/>
    <x v="3"/>
    <s v="STU-601"/>
    <s v="Returning Customer"/>
    <x v="2"/>
    <x v="4"/>
    <x v="2"/>
    <x v="2"/>
    <n v="29"/>
    <x v="1"/>
    <x v="3"/>
    <n v="0"/>
    <n v="29"/>
    <n v="28.42"/>
    <n v="0"/>
    <n v="0.02"/>
    <n v="0.57999999999999829"/>
    <n v="0.01"/>
    <n v="0.28419999999999845"/>
    <n v="0"/>
    <n v="28.135800000000003"/>
    <x v="1"/>
    <s v=""/>
  </r>
  <r>
    <n v="820"/>
    <d v="2026-07-27T00:00:00"/>
    <d v="2026-07-28T00:00:00"/>
    <x v="2"/>
    <s v="STU-46"/>
    <s v="New Customer"/>
    <x v="1"/>
    <x v="2"/>
    <x v="4"/>
    <x v="2"/>
    <n v="59"/>
    <x v="0"/>
    <x v="1"/>
    <n v="0"/>
    <n v="59"/>
    <n v="59"/>
    <n v="58.41"/>
    <n v="0"/>
    <n v="0"/>
    <n v="0.01"/>
    <n v="0.59000000000000341"/>
    <n v="0"/>
    <n v="0"/>
    <x v="2"/>
    <s v=""/>
  </r>
  <r>
    <n v="821"/>
    <d v="2026-07-27T00:00:00"/>
    <d v="2026-07-28T00:00:00"/>
    <x v="2"/>
    <s v="STU-809"/>
    <s v="Returning Customer"/>
    <x v="2"/>
    <x v="6"/>
    <x v="6"/>
    <x v="2"/>
    <n v="29"/>
    <x v="1"/>
    <x v="4"/>
    <n v="0"/>
    <n v="29"/>
    <n v="27.984999999999999"/>
    <n v="0"/>
    <n v="3.5000000000000003E-2"/>
    <n v="1.0150000000000006"/>
    <n v="0.01"/>
    <n v="0.27984999999999971"/>
    <n v="0"/>
    <n v="27.70515"/>
    <x v="2"/>
    <s v=""/>
  </r>
  <r>
    <n v="822"/>
    <d v="2026-01-06T00:00:00"/>
    <d v="2026-01-06T00:00:00"/>
    <x v="4"/>
    <s v="STU-305"/>
    <s v="New Customer"/>
    <x v="0"/>
    <x v="0"/>
    <x v="5"/>
    <x v="2"/>
    <n v="29"/>
    <x v="1"/>
    <x v="0"/>
    <n v="0"/>
    <n v="29"/>
    <n v="28.42"/>
    <n v="0"/>
    <n v="0.02"/>
    <n v="0.57999999999999829"/>
    <n v="0.01"/>
    <n v="0.28419999999999845"/>
    <n v="0"/>
    <n v="28.135800000000003"/>
    <x v="1"/>
    <s v=""/>
  </r>
  <r>
    <n v="823"/>
    <d v="2026-04-08T00:00:00"/>
    <d v="2026-04-09T00:00:00"/>
    <x v="5"/>
    <s v="STU-224"/>
    <s v="New Customer"/>
    <x v="1"/>
    <x v="7"/>
    <x v="4"/>
    <x v="2"/>
    <n v="59"/>
    <x v="1"/>
    <x v="0"/>
    <n v="0"/>
    <n v="59"/>
    <n v="57.82"/>
    <n v="0"/>
    <n v="0.02"/>
    <n v="1.1799999999999997"/>
    <n v="0.01"/>
    <n v="0.57820000000000249"/>
    <n v="0"/>
    <n v="57.241799999999998"/>
    <x v="2"/>
    <s v=""/>
  </r>
  <r>
    <n v="824"/>
    <d v="2026-06-23T00:00:00"/>
    <d v="2026-06-23T00:00:00"/>
    <x v="1"/>
    <s v="STU-550"/>
    <s v="Returning Customer"/>
    <x v="0"/>
    <x v="2"/>
    <x v="6"/>
    <x v="2"/>
    <n v="29"/>
    <x v="2"/>
    <x v="0"/>
    <n v="0"/>
    <n v="29"/>
    <n v="28.42"/>
    <n v="0"/>
    <n v="0.02"/>
    <n v="0.57999999999999829"/>
    <n v="0.01"/>
    <n v="0.28419999999999845"/>
    <n v="28.135800000000003"/>
    <n v="0"/>
    <x v="0"/>
    <s v=""/>
  </r>
  <r>
    <n v="825"/>
    <d v="2026-06-30T00:00:00"/>
    <d v="2026-07-03T00:00:00"/>
    <x v="2"/>
    <s v="STU-611"/>
    <s v="New Customer"/>
    <x v="0"/>
    <x v="5"/>
    <x v="4"/>
    <x v="2"/>
    <n v="59"/>
    <x v="0"/>
    <x v="4"/>
    <n v="0"/>
    <n v="59"/>
    <n v="56.935000000000002"/>
    <n v="56.365650000000002"/>
    <n v="3.5000000000000003E-2"/>
    <n v="2.0649999999999977"/>
    <n v="0.01"/>
    <n v="0.56935000000000002"/>
    <n v="0"/>
    <n v="0"/>
    <x v="0"/>
    <s v=""/>
  </r>
  <r>
    <n v="826"/>
    <d v="2026-02-24T00:00:00"/>
    <d v="2026-03-01T00:00:00"/>
    <x v="0"/>
    <s v="STU-202"/>
    <s v="Returning Customer"/>
    <x v="2"/>
    <x v="4"/>
    <x v="6"/>
    <x v="2"/>
    <n v="29"/>
    <x v="1"/>
    <x v="1"/>
    <n v="0"/>
    <n v="29"/>
    <n v="29"/>
    <n v="0"/>
    <n v="0"/>
    <n v="0"/>
    <n v="0.01"/>
    <n v="0.28999999999999915"/>
    <n v="0"/>
    <n v="28.71"/>
    <x v="2"/>
    <s v=""/>
  </r>
  <r>
    <n v="827"/>
    <d v="2026-07-23T00:00:00"/>
    <d v="2026-07-25T00:00:00"/>
    <x v="2"/>
    <s v="STU-545"/>
    <s v="Returning Customer"/>
    <x v="0"/>
    <x v="6"/>
    <x v="5"/>
    <x v="2"/>
    <n v="29"/>
    <x v="0"/>
    <x v="1"/>
    <n v="0"/>
    <n v="29"/>
    <n v="29"/>
    <n v="28.71"/>
    <n v="0"/>
    <n v="0"/>
    <n v="0.01"/>
    <n v="0.28999999999999915"/>
    <n v="0"/>
    <n v="0"/>
    <x v="0"/>
    <n v="10"/>
  </r>
  <r>
    <n v="828"/>
    <d v="2026-06-03T00:00:00"/>
    <d v="2026-06-05T00:00:00"/>
    <x v="1"/>
    <s v="STU-411"/>
    <s v="New Customer"/>
    <x v="2"/>
    <x v="6"/>
    <x v="3"/>
    <x v="3"/>
    <n v="59"/>
    <x v="1"/>
    <x v="3"/>
    <n v="0"/>
    <n v="59"/>
    <n v="57.82"/>
    <n v="0"/>
    <n v="0.02"/>
    <n v="1.1799999999999997"/>
    <n v="0.01"/>
    <n v="0.57820000000000249"/>
    <n v="0"/>
    <n v="57.241799999999998"/>
    <x v="2"/>
    <n v="10"/>
  </r>
  <r>
    <n v="829"/>
    <d v="2026-05-04T00:00:00"/>
    <d v="2026-05-07T00:00:00"/>
    <x v="3"/>
    <s v="STU-884"/>
    <s v="Returning Customer"/>
    <x v="0"/>
    <x v="5"/>
    <x v="1"/>
    <x v="1"/>
    <n v="29"/>
    <x v="1"/>
    <x v="1"/>
    <n v="0"/>
    <n v="29"/>
    <n v="29"/>
    <n v="0"/>
    <n v="0"/>
    <n v="0"/>
    <n v="0.01"/>
    <n v="0.28999999999999915"/>
    <n v="0"/>
    <n v="28.71"/>
    <x v="1"/>
    <s v=""/>
  </r>
  <r>
    <n v="830"/>
    <d v="2026-05-17T00:00:00"/>
    <d v="2026-05-17T00:00:00"/>
    <x v="3"/>
    <s v="STU-192"/>
    <s v="Returning Customer"/>
    <x v="1"/>
    <x v="6"/>
    <x v="3"/>
    <x v="3"/>
    <n v="59"/>
    <x v="1"/>
    <x v="0"/>
    <n v="0"/>
    <n v="59"/>
    <n v="57.82"/>
    <n v="0"/>
    <n v="0.02"/>
    <n v="1.1799999999999997"/>
    <n v="0.01"/>
    <n v="0.57820000000000249"/>
    <n v="0"/>
    <n v="57.241799999999998"/>
    <x v="1"/>
    <s v=""/>
  </r>
  <r>
    <n v="831"/>
    <d v="2026-02-22T00:00:00"/>
    <d v="2026-02-27T00:00:00"/>
    <x v="6"/>
    <s v="STU-176"/>
    <s v="Returning Customer"/>
    <x v="0"/>
    <x v="2"/>
    <x v="7"/>
    <x v="3"/>
    <n v="99"/>
    <x v="0"/>
    <x v="4"/>
    <n v="0"/>
    <n v="99"/>
    <n v="95.534999999999997"/>
    <n v="94.579650000000001"/>
    <n v="3.5000000000000003E-2"/>
    <n v="3.4650000000000034"/>
    <n v="0.01"/>
    <n v="0.9553499999999957"/>
    <n v="0"/>
    <n v="0"/>
    <x v="1"/>
    <s v=""/>
  </r>
  <r>
    <n v="832"/>
    <d v="2026-05-28T00:00:00"/>
    <d v="2026-05-30T00:00:00"/>
    <x v="3"/>
    <s v="STU-759"/>
    <s v="Returning Customer"/>
    <x v="1"/>
    <x v="7"/>
    <x v="6"/>
    <x v="2"/>
    <n v="29"/>
    <x v="1"/>
    <x v="2"/>
    <n v="0"/>
    <n v="29"/>
    <n v="27.984999999999999"/>
    <n v="0"/>
    <n v="3.5000000000000003E-2"/>
    <n v="1.0150000000000006"/>
    <n v="0.01"/>
    <n v="0.27984999999999971"/>
    <n v="0"/>
    <n v="27.70515"/>
    <x v="1"/>
    <s v=""/>
  </r>
  <r>
    <n v="833"/>
    <d v="2026-01-27T00:00:00"/>
    <d v="2026-02-01T00:00:00"/>
    <x v="6"/>
    <s v="STU-62"/>
    <s v="Returning Customer"/>
    <x v="2"/>
    <x v="7"/>
    <x v="6"/>
    <x v="2"/>
    <n v="29"/>
    <x v="0"/>
    <x v="4"/>
    <n v="0"/>
    <n v="29"/>
    <n v="27.984999999999999"/>
    <n v="27.70515"/>
    <n v="3.5000000000000003E-2"/>
    <n v="1.0150000000000006"/>
    <n v="0.01"/>
    <n v="0.27984999999999971"/>
    <n v="0"/>
    <n v="0"/>
    <x v="1"/>
    <s v=""/>
  </r>
  <r>
    <n v="834"/>
    <d v="2026-06-13T00:00:00"/>
    <d v="2026-06-15T00:00:00"/>
    <x v="1"/>
    <s v="STU-11"/>
    <s v="Returning Customer"/>
    <x v="2"/>
    <x v="5"/>
    <x v="2"/>
    <x v="2"/>
    <n v="29"/>
    <x v="0"/>
    <x v="2"/>
    <n v="0"/>
    <n v="29"/>
    <n v="27.984999999999999"/>
    <n v="27.70515"/>
    <n v="3.5000000000000003E-2"/>
    <n v="1.0150000000000006"/>
    <n v="0.01"/>
    <n v="0.27984999999999971"/>
    <n v="0"/>
    <n v="0"/>
    <x v="1"/>
    <s v=""/>
  </r>
  <r>
    <n v="835"/>
    <d v="2026-07-23T00:00:00"/>
    <d v="2026-07-27T00:00:00"/>
    <x v="2"/>
    <s v="STU-485"/>
    <s v="New Customer"/>
    <x v="0"/>
    <x v="5"/>
    <x v="1"/>
    <x v="1"/>
    <n v="29"/>
    <x v="1"/>
    <x v="1"/>
    <n v="0"/>
    <n v="29"/>
    <n v="29"/>
    <n v="0"/>
    <n v="0"/>
    <n v="0"/>
    <n v="0.01"/>
    <n v="0.28999999999999915"/>
    <n v="0"/>
    <n v="28.71"/>
    <x v="2"/>
    <s v=""/>
  </r>
  <r>
    <n v="836"/>
    <d v="2026-01-22T00:00:00"/>
    <d v="2026-01-24T00:00:00"/>
    <x v="4"/>
    <s v="STU-708"/>
    <s v="New Customer"/>
    <x v="0"/>
    <x v="2"/>
    <x v="1"/>
    <x v="1"/>
    <n v="29"/>
    <x v="0"/>
    <x v="1"/>
    <n v="0"/>
    <n v="29"/>
    <n v="29"/>
    <n v="28.71"/>
    <n v="0"/>
    <n v="0"/>
    <n v="0.01"/>
    <n v="0.28999999999999915"/>
    <n v="0"/>
    <n v="0"/>
    <x v="2"/>
    <n v="10"/>
  </r>
  <r>
    <n v="837"/>
    <d v="2026-06-17T00:00:00"/>
    <d v="2026-06-22T00:00:00"/>
    <x v="1"/>
    <s v="STU-910"/>
    <s v="Returning Customer"/>
    <x v="0"/>
    <x v="2"/>
    <x v="6"/>
    <x v="2"/>
    <n v="29"/>
    <x v="1"/>
    <x v="3"/>
    <n v="0"/>
    <n v="29"/>
    <n v="28.42"/>
    <n v="0"/>
    <n v="0.02"/>
    <n v="0.57999999999999829"/>
    <n v="0.01"/>
    <n v="0.28419999999999845"/>
    <n v="0"/>
    <n v="28.135800000000003"/>
    <x v="2"/>
    <s v=""/>
  </r>
  <r>
    <n v="838"/>
    <d v="2026-04-05T00:00:00"/>
    <d v="2026-04-08T00:00:00"/>
    <x v="5"/>
    <s v="STU-641"/>
    <s v="New Customer"/>
    <x v="0"/>
    <x v="3"/>
    <x v="5"/>
    <x v="2"/>
    <n v="29"/>
    <x v="0"/>
    <x v="3"/>
    <n v="0"/>
    <n v="29"/>
    <n v="28.42"/>
    <n v="28.135800000000003"/>
    <n v="0.02"/>
    <n v="0.57999999999999829"/>
    <n v="0.01"/>
    <n v="0.28419999999999845"/>
    <n v="0"/>
    <n v="0"/>
    <x v="1"/>
    <s v=""/>
  </r>
  <r>
    <n v="839"/>
    <d v="2026-05-05T00:00:00"/>
    <d v="2026-05-08T00:00:00"/>
    <x v="3"/>
    <s v="STU-940"/>
    <s v="Returning Customer"/>
    <x v="0"/>
    <x v="3"/>
    <x v="5"/>
    <x v="2"/>
    <n v="29"/>
    <x v="0"/>
    <x v="2"/>
    <n v="0"/>
    <n v="29"/>
    <n v="27.984999999999999"/>
    <n v="27.70515"/>
    <n v="3.5000000000000003E-2"/>
    <n v="1.0150000000000006"/>
    <n v="0.01"/>
    <n v="0.27984999999999971"/>
    <n v="0"/>
    <n v="0"/>
    <x v="2"/>
    <s v=""/>
  </r>
  <r>
    <n v="840"/>
    <d v="2026-02-10T00:00:00"/>
    <d v="2026-02-12T00:00:00"/>
    <x v="6"/>
    <s v="STU-797"/>
    <s v="Returning Customer"/>
    <x v="0"/>
    <x v="2"/>
    <x v="4"/>
    <x v="2"/>
    <n v="59"/>
    <x v="1"/>
    <x v="1"/>
    <n v="0"/>
    <n v="59"/>
    <n v="59"/>
    <n v="0"/>
    <n v="0"/>
    <n v="0"/>
    <n v="0.01"/>
    <n v="0.59000000000000341"/>
    <n v="0"/>
    <n v="58.41"/>
    <x v="1"/>
    <s v=""/>
  </r>
  <r>
    <n v="841"/>
    <d v="2026-03-29T00:00:00"/>
    <d v="2026-03-29T00:00:00"/>
    <x v="0"/>
    <s v="STU-285"/>
    <s v="Returning Customer"/>
    <x v="1"/>
    <x v="3"/>
    <x v="3"/>
    <x v="3"/>
    <n v="59"/>
    <x v="1"/>
    <x v="2"/>
    <n v="0"/>
    <n v="59"/>
    <n v="56.935000000000002"/>
    <n v="0"/>
    <n v="3.5000000000000003E-2"/>
    <n v="2.0649999999999977"/>
    <n v="0.01"/>
    <n v="0.56935000000000002"/>
    <n v="0"/>
    <n v="56.365650000000002"/>
    <x v="1"/>
    <s v=""/>
  </r>
  <r>
    <n v="842"/>
    <d v="2026-01-29T00:00:00"/>
    <d v="2026-02-03T00:00:00"/>
    <x v="6"/>
    <s v="STU-421"/>
    <s v="Returning Customer"/>
    <x v="0"/>
    <x v="0"/>
    <x v="0"/>
    <x v="0"/>
    <n v="59"/>
    <x v="2"/>
    <x v="3"/>
    <n v="0"/>
    <n v="59"/>
    <n v="57.82"/>
    <n v="0"/>
    <n v="0.02"/>
    <n v="1.1799999999999997"/>
    <n v="0.01"/>
    <n v="0.57820000000000249"/>
    <n v="57.241799999999998"/>
    <n v="0"/>
    <x v="2"/>
    <s v=""/>
  </r>
  <r>
    <n v="843"/>
    <d v="2026-01-08T00:00:00"/>
    <d v="2026-01-08T00:00:00"/>
    <x v="4"/>
    <s v="STU-459"/>
    <s v="New Customer"/>
    <x v="1"/>
    <x v="5"/>
    <x v="1"/>
    <x v="1"/>
    <n v="29"/>
    <x v="0"/>
    <x v="1"/>
    <n v="0"/>
    <n v="29"/>
    <n v="29"/>
    <n v="28.71"/>
    <n v="0"/>
    <n v="0"/>
    <n v="0.01"/>
    <n v="0.28999999999999915"/>
    <n v="0"/>
    <n v="0"/>
    <x v="0"/>
    <s v=""/>
  </r>
  <r>
    <n v="844"/>
    <d v="2026-04-17T00:00:00"/>
    <d v="2026-04-18T00:00:00"/>
    <x v="5"/>
    <s v="STU-752"/>
    <s v="Returning Customer"/>
    <x v="0"/>
    <x v="3"/>
    <x v="1"/>
    <x v="1"/>
    <n v="29"/>
    <x v="1"/>
    <x v="4"/>
    <n v="0"/>
    <n v="29"/>
    <n v="27.984999999999999"/>
    <n v="0"/>
    <n v="3.5000000000000003E-2"/>
    <n v="1.0150000000000006"/>
    <n v="0.01"/>
    <n v="0.27984999999999971"/>
    <n v="0"/>
    <n v="27.70515"/>
    <x v="2"/>
    <s v=""/>
  </r>
  <r>
    <n v="845"/>
    <d v="2026-02-13T00:00:00"/>
    <d v="2026-02-14T00:00:00"/>
    <x v="6"/>
    <s v="STU-926"/>
    <s v="Returning Customer"/>
    <x v="1"/>
    <x v="0"/>
    <x v="5"/>
    <x v="2"/>
    <n v="29"/>
    <x v="2"/>
    <x v="0"/>
    <n v="0"/>
    <n v="29"/>
    <n v="28.42"/>
    <n v="0"/>
    <n v="0.02"/>
    <n v="0.57999999999999829"/>
    <n v="0.01"/>
    <n v="0.28419999999999845"/>
    <n v="28.135800000000003"/>
    <n v="0"/>
    <x v="1"/>
    <s v=""/>
  </r>
  <r>
    <n v="846"/>
    <d v="2026-02-20T00:00:00"/>
    <d v="2026-02-24T00:00:00"/>
    <x v="6"/>
    <s v="STU-882"/>
    <s v="Returning Customer"/>
    <x v="0"/>
    <x v="3"/>
    <x v="5"/>
    <x v="2"/>
    <n v="29"/>
    <x v="0"/>
    <x v="0"/>
    <n v="0"/>
    <n v="29"/>
    <n v="28.42"/>
    <n v="28.135800000000003"/>
    <n v="0.02"/>
    <n v="0.57999999999999829"/>
    <n v="0.01"/>
    <n v="0.28419999999999845"/>
    <n v="0"/>
    <n v="0"/>
    <x v="0"/>
    <s v=""/>
  </r>
  <r>
    <n v="847"/>
    <d v="2026-04-19T00:00:00"/>
    <d v="2026-04-22T00:00:00"/>
    <x v="5"/>
    <s v="STU-84"/>
    <s v="New Customer"/>
    <x v="2"/>
    <x v="0"/>
    <x v="7"/>
    <x v="3"/>
    <n v="99"/>
    <x v="0"/>
    <x v="0"/>
    <n v="0"/>
    <n v="99"/>
    <n v="97.02"/>
    <n v="96.049799999999991"/>
    <n v="0.02"/>
    <n v="1.980000000000004"/>
    <n v="0.01"/>
    <n v="0.9702000000000055"/>
    <n v="0"/>
    <n v="0"/>
    <x v="0"/>
    <s v=""/>
  </r>
  <r>
    <n v="848"/>
    <d v="2026-07-19T00:00:00"/>
    <d v="2026-07-24T00:00:00"/>
    <x v="2"/>
    <s v="STU-988"/>
    <s v="New Customer"/>
    <x v="2"/>
    <x v="6"/>
    <x v="3"/>
    <x v="3"/>
    <n v="59"/>
    <x v="1"/>
    <x v="3"/>
    <n v="0"/>
    <n v="59"/>
    <n v="57.82"/>
    <n v="0"/>
    <n v="0.02"/>
    <n v="1.1799999999999997"/>
    <n v="0.01"/>
    <n v="0.57820000000000249"/>
    <n v="0"/>
    <n v="57.241799999999998"/>
    <x v="2"/>
    <n v="10"/>
  </r>
  <r>
    <n v="849"/>
    <d v="2026-05-23T00:00:00"/>
    <d v="2026-05-23T00:00:00"/>
    <x v="3"/>
    <s v="STU-62"/>
    <s v="Returning Customer"/>
    <x v="2"/>
    <x v="1"/>
    <x v="1"/>
    <x v="1"/>
    <n v="29"/>
    <x v="1"/>
    <x v="4"/>
    <n v="0"/>
    <n v="29"/>
    <n v="27.984999999999999"/>
    <n v="0"/>
    <n v="3.5000000000000003E-2"/>
    <n v="1.0150000000000006"/>
    <n v="0.01"/>
    <n v="0.27984999999999971"/>
    <n v="0"/>
    <n v="27.70515"/>
    <x v="2"/>
    <s v=""/>
  </r>
  <r>
    <n v="850"/>
    <d v="2026-01-07T00:00:00"/>
    <d v="2026-01-08T00:00:00"/>
    <x v="4"/>
    <s v="STU-878"/>
    <s v="New Customer"/>
    <x v="2"/>
    <x v="1"/>
    <x v="4"/>
    <x v="2"/>
    <n v="59"/>
    <x v="1"/>
    <x v="2"/>
    <n v="0"/>
    <n v="59"/>
    <n v="56.935000000000002"/>
    <n v="0"/>
    <n v="3.5000000000000003E-2"/>
    <n v="2.0649999999999977"/>
    <n v="0.01"/>
    <n v="0.56935000000000002"/>
    <n v="0"/>
    <n v="56.365650000000002"/>
    <x v="2"/>
    <s v=""/>
  </r>
  <r>
    <n v="851"/>
    <d v="2026-06-07T00:00:00"/>
    <d v="2026-06-11T00:00:00"/>
    <x v="1"/>
    <s v="STU-598"/>
    <s v="Returning Customer"/>
    <x v="1"/>
    <x v="6"/>
    <x v="1"/>
    <x v="1"/>
    <n v="29"/>
    <x v="0"/>
    <x v="3"/>
    <n v="0"/>
    <n v="29"/>
    <n v="28.42"/>
    <n v="28.135800000000003"/>
    <n v="0.02"/>
    <n v="0.57999999999999829"/>
    <n v="0.01"/>
    <n v="0.28419999999999845"/>
    <n v="0"/>
    <n v="0"/>
    <x v="0"/>
    <s v=""/>
  </r>
  <r>
    <n v="852"/>
    <d v="2026-04-21T00:00:00"/>
    <d v="2026-04-25T00:00:00"/>
    <x v="5"/>
    <s v="STU-732"/>
    <s v="New Customer"/>
    <x v="1"/>
    <x v="0"/>
    <x v="3"/>
    <x v="3"/>
    <n v="59"/>
    <x v="1"/>
    <x v="3"/>
    <n v="0"/>
    <n v="59"/>
    <n v="57.82"/>
    <n v="0"/>
    <n v="0.02"/>
    <n v="1.1799999999999997"/>
    <n v="0.01"/>
    <n v="0.57820000000000249"/>
    <n v="0"/>
    <n v="57.241799999999998"/>
    <x v="0"/>
    <s v=""/>
  </r>
  <r>
    <n v="853"/>
    <d v="2026-03-08T00:00:00"/>
    <d v="2026-03-12T00:00:00"/>
    <x v="0"/>
    <s v="STU-426"/>
    <s v="Returning Customer"/>
    <x v="1"/>
    <x v="2"/>
    <x v="7"/>
    <x v="3"/>
    <n v="99"/>
    <x v="0"/>
    <x v="1"/>
    <n v="0"/>
    <n v="99"/>
    <n v="99"/>
    <n v="98.01"/>
    <n v="0"/>
    <n v="0"/>
    <n v="0.01"/>
    <n v="0.98999999999999488"/>
    <n v="0"/>
    <n v="0"/>
    <x v="0"/>
    <s v=""/>
  </r>
  <r>
    <n v="854"/>
    <d v="2026-03-29T00:00:00"/>
    <d v="2026-04-03T00:00:00"/>
    <x v="5"/>
    <s v="STU-768"/>
    <s v="New Customer"/>
    <x v="2"/>
    <x v="1"/>
    <x v="3"/>
    <x v="3"/>
    <n v="59"/>
    <x v="0"/>
    <x v="3"/>
    <n v="0"/>
    <n v="59"/>
    <n v="57.82"/>
    <n v="57.241799999999998"/>
    <n v="0.02"/>
    <n v="1.1799999999999997"/>
    <n v="0.01"/>
    <n v="0.57820000000000249"/>
    <n v="0"/>
    <n v="0"/>
    <x v="1"/>
    <s v=""/>
  </r>
  <r>
    <n v="855"/>
    <d v="2026-05-24T00:00:00"/>
    <d v="2026-05-27T00:00:00"/>
    <x v="3"/>
    <s v="STU-362"/>
    <s v="Returning Customer"/>
    <x v="2"/>
    <x v="2"/>
    <x v="5"/>
    <x v="2"/>
    <n v="29"/>
    <x v="0"/>
    <x v="4"/>
    <n v="0"/>
    <n v="29"/>
    <n v="27.984999999999999"/>
    <n v="27.70515"/>
    <n v="3.5000000000000003E-2"/>
    <n v="1.0150000000000006"/>
    <n v="0.01"/>
    <n v="0.27984999999999971"/>
    <n v="0"/>
    <n v="0"/>
    <x v="2"/>
    <s v=""/>
  </r>
  <r>
    <n v="856"/>
    <d v="2026-02-11T00:00:00"/>
    <d v="2026-02-15T00:00:00"/>
    <x v="6"/>
    <s v="STU-269"/>
    <s v="New Customer"/>
    <x v="2"/>
    <x v="2"/>
    <x v="7"/>
    <x v="3"/>
    <n v="99"/>
    <x v="1"/>
    <x v="4"/>
    <n v="0"/>
    <n v="99"/>
    <n v="95.534999999999997"/>
    <n v="0"/>
    <n v="3.5000000000000003E-2"/>
    <n v="3.4650000000000034"/>
    <n v="0.01"/>
    <n v="0.9553499999999957"/>
    <n v="0"/>
    <n v="94.579650000000001"/>
    <x v="2"/>
    <s v=""/>
  </r>
  <r>
    <n v="857"/>
    <d v="2026-04-23T00:00:00"/>
    <d v="2026-04-28T00:00:00"/>
    <x v="5"/>
    <s v="STU-791"/>
    <s v="Returning Customer"/>
    <x v="1"/>
    <x v="6"/>
    <x v="3"/>
    <x v="3"/>
    <n v="59"/>
    <x v="1"/>
    <x v="0"/>
    <n v="0"/>
    <n v="59"/>
    <n v="57.82"/>
    <n v="0"/>
    <n v="0.02"/>
    <n v="1.1799999999999997"/>
    <n v="0.01"/>
    <n v="0.57820000000000249"/>
    <n v="0"/>
    <n v="57.241799999999998"/>
    <x v="2"/>
    <s v=""/>
  </r>
  <r>
    <n v="858"/>
    <d v="2026-03-20T00:00:00"/>
    <d v="2026-03-25T00:00:00"/>
    <x v="0"/>
    <s v="STU-841"/>
    <s v="New Customer"/>
    <x v="0"/>
    <x v="7"/>
    <x v="2"/>
    <x v="2"/>
    <n v="29"/>
    <x v="1"/>
    <x v="1"/>
    <n v="0"/>
    <n v="29"/>
    <n v="29"/>
    <n v="0"/>
    <n v="0"/>
    <n v="0"/>
    <n v="0.01"/>
    <n v="0.28999999999999915"/>
    <n v="0"/>
    <n v="28.71"/>
    <x v="1"/>
    <s v=""/>
  </r>
  <r>
    <n v="859"/>
    <d v="2026-05-28T00:00:00"/>
    <d v="2026-05-28T00:00:00"/>
    <x v="3"/>
    <s v="STU-254"/>
    <s v="New Customer"/>
    <x v="1"/>
    <x v="4"/>
    <x v="4"/>
    <x v="2"/>
    <n v="59"/>
    <x v="1"/>
    <x v="2"/>
    <n v="0"/>
    <n v="59"/>
    <n v="56.935000000000002"/>
    <n v="0"/>
    <n v="3.5000000000000003E-2"/>
    <n v="2.0649999999999977"/>
    <n v="0.01"/>
    <n v="0.56935000000000002"/>
    <n v="0"/>
    <n v="56.365650000000002"/>
    <x v="0"/>
    <s v=""/>
  </r>
  <r>
    <n v="860"/>
    <d v="2026-01-05T00:00:00"/>
    <d v="2026-01-06T00:00:00"/>
    <x v="4"/>
    <s v="STU-188"/>
    <s v="Returning Customer"/>
    <x v="0"/>
    <x v="2"/>
    <x v="2"/>
    <x v="2"/>
    <n v="29"/>
    <x v="1"/>
    <x v="0"/>
    <n v="0"/>
    <n v="29"/>
    <n v="28.42"/>
    <n v="0"/>
    <n v="0.02"/>
    <n v="0.57999999999999829"/>
    <n v="0.01"/>
    <n v="0.28419999999999845"/>
    <n v="0"/>
    <n v="28.135800000000003"/>
    <x v="0"/>
    <s v=""/>
  </r>
  <r>
    <n v="861"/>
    <d v="2026-07-06T00:00:00"/>
    <d v="2026-07-10T00:00:00"/>
    <x v="2"/>
    <s v="STU-146"/>
    <s v="Returning Customer"/>
    <x v="2"/>
    <x v="1"/>
    <x v="7"/>
    <x v="3"/>
    <n v="99"/>
    <x v="0"/>
    <x v="4"/>
    <n v="0"/>
    <n v="99"/>
    <n v="95.534999999999997"/>
    <n v="94.579650000000001"/>
    <n v="3.5000000000000003E-2"/>
    <n v="3.4650000000000034"/>
    <n v="0.01"/>
    <n v="0.9553499999999957"/>
    <n v="0"/>
    <n v="0"/>
    <x v="2"/>
    <s v=""/>
  </r>
  <r>
    <n v="862"/>
    <d v="2026-06-01T00:00:00"/>
    <d v="2026-06-02T00:00:00"/>
    <x v="1"/>
    <s v="STU-98"/>
    <s v="Returning Customer"/>
    <x v="2"/>
    <x v="3"/>
    <x v="6"/>
    <x v="2"/>
    <n v="29"/>
    <x v="0"/>
    <x v="4"/>
    <n v="0"/>
    <n v="29"/>
    <n v="27.984999999999999"/>
    <n v="27.70515"/>
    <n v="3.5000000000000003E-2"/>
    <n v="1.0150000000000006"/>
    <n v="0.01"/>
    <n v="0.27984999999999971"/>
    <n v="0"/>
    <n v="0"/>
    <x v="1"/>
    <s v=""/>
  </r>
  <r>
    <n v="863"/>
    <d v="2026-05-21T00:00:00"/>
    <d v="2026-05-26T00:00:00"/>
    <x v="3"/>
    <s v="STU-964"/>
    <s v="Returning Customer"/>
    <x v="0"/>
    <x v="6"/>
    <x v="3"/>
    <x v="3"/>
    <n v="59"/>
    <x v="1"/>
    <x v="2"/>
    <n v="0"/>
    <n v="59"/>
    <n v="56.935000000000002"/>
    <n v="0"/>
    <n v="3.5000000000000003E-2"/>
    <n v="2.0649999999999977"/>
    <n v="0.01"/>
    <n v="0.56935000000000002"/>
    <n v="0"/>
    <n v="56.365650000000002"/>
    <x v="1"/>
    <s v=""/>
  </r>
  <r>
    <n v="864"/>
    <d v="2026-07-10T00:00:00"/>
    <d v="2026-07-13T00:00:00"/>
    <x v="2"/>
    <s v="STU-552"/>
    <s v="Returning Customer"/>
    <x v="0"/>
    <x v="3"/>
    <x v="5"/>
    <x v="2"/>
    <n v="29"/>
    <x v="2"/>
    <x v="4"/>
    <n v="0"/>
    <n v="29"/>
    <n v="27.984999999999999"/>
    <n v="0"/>
    <n v="3.5000000000000003E-2"/>
    <n v="1.0150000000000006"/>
    <n v="0.01"/>
    <n v="0.27984999999999971"/>
    <n v="27.70515"/>
    <n v="0"/>
    <x v="2"/>
    <s v=""/>
  </r>
  <r>
    <n v="865"/>
    <d v="2026-01-14T00:00:00"/>
    <d v="2026-01-16T00:00:00"/>
    <x v="4"/>
    <s v="STU-809"/>
    <s v="Returning Customer"/>
    <x v="1"/>
    <x v="7"/>
    <x v="0"/>
    <x v="0"/>
    <n v="59"/>
    <x v="1"/>
    <x v="3"/>
    <n v="0"/>
    <n v="59"/>
    <n v="57.82"/>
    <n v="0"/>
    <n v="0.02"/>
    <n v="1.1799999999999997"/>
    <n v="0.01"/>
    <n v="0.57820000000000249"/>
    <n v="0"/>
    <n v="57.241799999999998"/>
    <x v="2"/>
    <s v=""/>
  </r>
  <r>
    <n v="866"/>
    <d v="2026-01-07T00:00:00"/>
    <d v="2026-01-09T00:00:00"/>
    <x v="4"/>
    <s v="STU-950"/>
    <s v="Returning Customer"/>
    <x v="1"/>
    <x v="4"/>
    <x v="2"/>
    <x v="2"/>
    <n v="29"/>
    <x v="1"/>
    <x v="0"/>
    <n v="0"/>
    <n v="29"/>
    <n v="28.42"/>
    <n v="0"/>
    <n v="0.02"/>
    <n v="0.57999999999999829"/>
    <n v="0.01"/>
    <n v="0.28419999999999845"/>
    <n v="0"/>
    <n v="28.135800000000003"/>
    <x v="1"/>
    <s v=""/>
  </r>
  <r>
    <n v="867"/>
    <d v="2026-02-12T00:00:00"/>
    <d v="2026-02-17T00:00:00"/>
    <x v="6"/>
    <s v="STU-326"/>
    <s v="New Customer"/>
    <x v="0"/>
    <x v="0"/>
    <x v="7"/>
    <x v="3"/>
    <n v="99"/>
    <x v="1"/>
    <x v="0"/>
    <n v="0"/>
    <n v="99"/>
    <n v="97.02"/>
    <n v="0"/>
    <n v="0.02"/>
    <n v="1.980000000000004"/>
    <n v="0.01"/>
    <n v="0.9702000000000055"/>
    <n v="0"/>
    <n v="96.049799999999991"/>
    <x v="1"/>
    <s v=""/>
  </r>
  <r>
    <n v="868"/>
    <d v="2026-07-01T00:00:00"/>
    <d v="2026-07-06T00:00:00"/>
    <x v="2"/>
    <s v="STU-636"/>
    <s v="Returning Customer"/>
    <x v="2"/>
    <x v="7"/>
    <x v="1"/>
    <x v="1"/>
    <n v="29"/>
    <x v="1"/>
    <x v="1"/>
    <n v="0"/>
    <n v="29"/>
    <n v="29"/>
    <n v="0"/>
    <n v="0"/>
    <n v="0"/>
    <n v="0.01"/>
    <n v="0.28999999999999915"/>
    <n v="0"/>
    <n v="28.71"/>
    <x v="1"/>
    <s v=""/>
  </r>
  <r>
    <n v="869"/>
    <d v="2026-03-03T00:00:00"/>
    <d v="2026-03-07T00:00:00"/>
    <x v="0"/>
    <s v="STU-196"/>
    <s v="New Customer"/>
    <x v="1"/>
    <x v="0"/>
    <x v="5"/>
    <x v="2"/>
    <n v="29"/>
    <x v="1"/>
    <x v="0"/>
    <n v="20"/>
    <n v="-551"/>
    <n v="-539.98"/>
    <n v="0"/>
    <n v="0.02"/>
    <n v="-11.019999999999982"/>
    <n v="0.01"/>
    <n v="-5.3998000000000275"/>
    <n v="0"/>
    <n v="-534.58019999999999"/>
    <x v="2"/>
    <s v=""/>
  </r>
  <r>
    <n v="870"/>
    <d v="2026-06-03T00:00:00"/>
    <d v="2026-06-08T00:00:00"/>
    <x v="1"/>
    <s v="STU-834"/>
    <s v="New Customer"/>
    <x v="1"/>
    <x v="0"/>
    <x v="7"/>
    <x v="3"/>
    <n v="99"/>
    <x v="0"/>
    <x v="2"/>
    <n v="0"/>
    <n v="99"/>
    <n v="95.534999999999997"/>
    <n v="94.579650000000001"/>
    <n v="3.5000000000000003E-2"/>
    <n v="3.4650000000000034"/>
    <n v="0.01"/>
    <n v="0.9553499999999957"/>
    <n v="0"/>
    <n v="0"/>
    <x v="2"/>
    <s v=""/>
  </r>
  <r>
    <n v="871"/>
    <d v="2026-05-16T00:00:00"/>
    <d v="2026-05-20T00:00:00"/>
    <x v="3"/>
    <s v="STU-525"/>
    <s v="New Customer"/>
    <x v="0"/>
    <x v="0"/>
    <x v="7"/>
    <x v="3"/>
    <n v="99"/>
    <x v="0"/>
    <x v="0"/>
    <n v="0"/>
    <n v="99"/>
    <n v="97.02"/>
    <n v="96.049799999999991"/>
    <n v="0.02"/>
    <n v="1.980000000000004"/>
    <n v="0.01"/>
    <n v="0.9702000000000055"/>
    <n v="0"/>
    <n v="0"/>
    <x v="2"/>
    <s v=""/>
  </r>
  <r>
    <n v="872"/>
    <d v="2026-04-30T00:00:00"/>
    <d v="2026-05-05T00:00:00"/>
    <x v="3"/>
    <s v="STU-349"/>
    <s v="New Customer"/>
    <x v="1"/>
    <x v="5"/>
    <x v="3"/>
    <x v="3"/>
    <n v="59"/>
    <x v="0"/>
    <x v="3"/>
    <n v="0"/>
    <n v="59"/>
    <n v="57.82"/>
    <n v="57.241799999999998"/>
    <n v="0.02"/>
    <n v="1.1799999999999997"/>
    <n v="0.01"/>
    <n v="0.57820000000000249"/>
    <n v="0"/>
    <n v="0"/>
    <x v="1"/>
    <s v=""/>
  </r>
  <r>
    <n v="873"/>
    <d v="2026-01-15T00:00:00"/>
    <d v="2026-01-20T00:00:00"/>
    <x v="4"/>
    <s v="STU-516"/>
    <s v="New Customer"/>
    <x v="2"/>
    <x v="1"/>
    <x v="5"/>
    <x v="2"/>
    <n v="29"/>
    <x v="1"/>
    <x v="0"/>
    <n v="0"/>
    <n v="29"/>
    <n v="28.42"/>
    <n v="0"/>
    <n v="0.02"/>
    <n v="0.57999999999999829"/>
    <n v="0.01"/>
    <n v="0.28419999999999845"/>
    <n v="0"/>
    <n v="28.135800000000003"/>
    <x v="2"/>
    <s v=""/>
  </r>
  <r>
    <n v="874"/>
    <d v="2026-06-01T00:00:00"/>
    <d v="2026-06-02T00:00:00"/>
    <x v="1"/>
    <s v="STU-696"/>
    <s v="New Customer"/>
    <x v="1"/>
    <x v="7"/>
    <x v="3"/>
    <x v="3"/>
    <n v="59"/>
    <x v="1"/>
    <x v="2"/>
    <n v="0"/>
    <n v="59"/>
    <n v="56.935000000000002"/>
    <n v="0"/>
    <n v="3.5000000000000003E-2"/>
    <n v="2.0649999999999977"/>
    <n v="0.01"/>
    <n v="0.56935000000000002"/>
    <n v="0"/>
    <n v="56.365650000000002"/>
    <x v="0"/>
    <s v=""/>
  </r>
  <r>
    <n v="875"/>
    <d v="2026-02-20T00:00:00"/>
    <d v="2026-02-21T00:00:00"/>
    <x v="6"/>
    <s v="STU-152"/>
    <s v="Returning Customer"/>
    <x v="0"/>
    <x v="1"/>
    <x v="5"/>
    <x v="2"/>
    <n v="29"/>
    <x v="0"/>
    <x v="1"/>
    <n v="0"/>
    <n v="29"/>
    <n v="29"/>
    <n v="28.71"/>
    <n v="0"/>
    <n v="0"/>
    <n v="0.01"/>
    <n v="0.28999999999999915"/>
    <n v="0"/>
    <n v="0"/>
    <x v="0"/>
    <s v=""/>
  </r>
  <r>
    <n v="876"/>
    <d v="2026-01-25T00:00:00"/>
    <d v="2026-01-28T00:00:00"/>
    <x v="4"/>
    <s v="STU-76"/>
    <s v="New Customer"/>
    <x v="2"/>
    <x v="4"/>
    <x v="7"/>
    <x v="3"/>
    <n v="99"/>
    <x v="0"/>
    <x v="2"/>
    <n v="0"/>
    <n v="99"/>
    <n v="95.534999999999997"/>
    <n v="94.579650000000001"/>
    <n v="3.5000000000000003E-2"/>
    <n v="3.4650000000000034"/>
    <n v="0.01"/>
    <n v="0.9553499999999957"/>
    <n v="0"/>
    <n v="0"/>
    <x v="2"/>
    <s v=""/>
  </r>
  <r>
    <n v="877"/>
    <d v="2026-05-05T00:00:00"/>
    <d v="2026-05-09T00:00:00"/>
    <x v="3"/>
    <s v="STU-748"/>
    <s v="Returning Customer"/>
    <x v="0"/>
    <x v="5"/>
    <x v="2"/>
    <x v="2"/>
    <n v="29"/>
    <x v="1"/>
    <x v="3"/>
    <n v="0"/>
    <n v="29"/>
    <n v="28.42"/>
    <n v="0"/>
    <n v="0.02"/>
    <n v="0.57999999999999829"/>
    <n v="0.01"/>
    <n v="0.28419999999999845"/>
    <n v="0"/>
    <n v="28.135800000000003"/>
    <x v="1"/>
    <s v=""/>
  </r>
  <r>
    <n v="878"/>
    <d v="2026-05-25T00:00:00"/>
    <d v="2026-05-30T00:00:00"/>
    <x v="3"/>
    <s v="STU-398"/>
    <s v="Returning Customer"/>
    <x v="2"/>
    <x v="6"/>
    <x v="2"/>
    <x v="2"/>
    <n v="29"/>
    <x v="1"/>
    <x v="1"/>
    <n v="0"/>
    <n v="29"/>
    <n v="29"/>
    <n v="0"/>
    <n v="0"/>
    <n v="0"/>
    <n v="0.01"/>
    <n v="0.28999999999999915"/>
    <n v="0"/>
    <n v="28.71"/>
    <x v="0"/>
    <s v=""/>
  </r>
  <r>
    <n v="879"/>
    <d v="2026-04-19T00:00:00"/>
    <d v="2026-04-19T00:00:00"/>
    <x v="5"/>
    <s v="STU-805"/>
    <s v="Returning Customer"/>
    <x v="2"/>
    <x v="2"/>
    <x v="1"/>
    <x v="1"/>
    <n v="29"/>
    <x v="1"/>
    <x v="3"/>
    <n v="0"/>
    <n v="29"/>
    <n v="28.42"/>
    <n v="0"/>
    <n v="0.02"/>
    <n v="0.57999999999999829"/>
    <n v="0.01"/>
    <n v="0.28419999999999845"/>
    <n v="0"/>
    <n v="28.135800000000003"/>
    <x v="1"/>
    <s v=""/>
  </r>
  <r>
    <n v="880"/>
    <d v="2026-02-25T00:00:00"/>
    <d v="2026-02-26T00:00:00"/>
    <x v="6"/>
    <s v="STU-636"/>
    <s v="Returning Customer"/>
    <x v="0"/>
    <x v="5"/>
    <x v="7"/>
    <x v="3"/>
    <n v="99"/>
    <x v="1"/>
    <x v="0"/>
    <n v="0"/>
    <n v="99"/>
    <n v="97.02"/>
    <n v="0"/>
    <n v="0.02"/>
    <n v="1.980000000000004"/>
    <n v="0.01"/>
    <n v="0.9702000000000055"/>
    <n v="0"/>
    <n v="96.049799999999991"/>
    <x v="2"/>
    <s v=""/>
  </r>
  <r>
    <n v="881"/>
    <d v="2026-06-05T00:00:00"/>
    <d v="2026-06-05T00:00:00"/>
    <x v="1"/>
    <s v="STU-498"/>
    <s v="Returning Customer"/>
    <x v="0"/>
    <x v="0"/>
    <x v="7"/>
    <x v="3"/>
    <n v="99"/>
    <x v="1"/>
    <x v="1"/>
    <n v="0"/>
    <n v="99"/>
    <n v="99"/>
    <n v="0"/>
    <n v="0"/>
    <n v="0"/>
    <n v="0.01"/>
    <n v="0.98999999999999488"/>
    <n v="0"/>
    <n v="98.01"/>
    <x v="2"/>
    <s v=""/>
  </r>
  <r>
    <n v="882"/>
    <d v="2026-06-19T00:00:00"/>
    <d v="2026-06-24T00:00:00"/>
    <x v="1"/>
    <s v="STU-746"/>
    <s v="New Customer"/>
    <x v="2"/>
    <x v="3"/>
    <x v="5"/>
    <x v="2"/>
    <n v="29"/>
    <x v="1"/>
    <x v="3"/>
    <n v="0"/>
    <n v="29"/>
    <n v="28.42"/>
    <n v="0"/>
    <n v="0.02"/>
    <n v="0.57999999999999829"/>
    <n v="0.01"/>
    <n v="0.28419999999999845"/>
    <n v="0"/>
    <n v="28.135800000000003"/>
    <x v="1"/>
    <s v=""/>
  </r>
  <r>
    <n v="883"/>
    <d v="2026-05-23T00:00:00"/>
    <d v="2026-05-26T00:00:00"/>
    <x v="3"/>
    <s v="STU-778"/>
    <s v="New Customer"/>
    <x v="2"/>
    <x v="0"/>
    <x v="7"/>
    <x v="3"/>
    <n v="99"/>
    <x v="1"/>
    <x v="3"/>
    <n v="0"/>
    <n v="99"/>
    <n v="97.02"/>
    <n v="0"/>
    <n v="0.02"/>
    <n v="1.980000000000004"/>
    <n v="0.01"/>
    <n v="0.9702000000000055"/>
    <n v="0"/>
    <n v="96.049799999999991"/>
    <x v="1"/>
    <s v=""/>
  </r>
  <r>
    <n v="884"/>
    <d v="2026-02-02T00:00:00"/>
    <d v="2026-02-07T00:00:00"/>
    <x v="6"/>
    <s v="STU-726"/>
    <s v="New Customer"/>
    <x v="0"/>
    <x v="7"/>
    <x v="6"/>
    <x v="2"/>
    <n v="29"/>
    <x v="1"/>
    <x v="3"/>
    <n v="0"/>
    <n v="29"/>
    <n v="28.42"/>
    <n v="0"/>
    <n v="0.02"/>
    <n v="0.57999999999999829"/>
    <n v="0.01"/>
    <n v="0.28419999999999845"/>
    <n v="0"/>
    <n v="28.135800000000003"/>
    <x v="1"/>
    <s v=""/>
  </r>
  <r>
    <n v="885"/>
    <d v="2026-03-17T00:00:00"/>
    <d v="2026-03-17T00:00:00"/>
    <x v="0"/>
    <s v="STU-30"/>
    <s v="New Customer"/>
    <x v="1"/>
    <x v="0"/>
    <x v="0"/>
    <x v="0"/>
    <n v="59"/>
    <x v="1"/>
    <x v="1"/>
    <n v="0"/>
    <n v="59"/>
    <n v="59"/>
    <n v="0"/>
    <n v="0"/>
    <n v="0"/>
    <n v="0.01"/>
    <n v="0.59000000000000341"/>
    <n v="0"/>
    <n v="58.41"/>
    <x v="1"/>
    <s v=""/>
  </r>
  <r>
    <n v="886"/>
    <d v="2026-03-03T00:00:00"/>
    <d v="2026-03-03T00:00:00"/>
    <x v="0"/>
    <s v="STU-254"/>
    <s v="Returning Customer"/>
    <x v="0"/>
    <x v="7"/>
    <x v="4"/>
    <x v="2"/>
    <n v="59"/>
    <x v="1"/>
    <x v="1"/>
    <n v="20"/>
    <n v="-1121"/>
    <n v="-1121"/>
    <n v="0"/>
    <n v="0"/>
    <n v="0"/>
    <n v="0.01"/>
    <n v="-11.210000000000036"/>
    <n v="0"/>
    <n v="-1109.79"/>
    <x v="1"/>
    <s v=""/>
  </r>
  <r>
    <n v="887"/>
    <d v="2026-02-08T00:00:00"/>
    <d v="2026-02-10T00:00:00"/>
    <x v="6"/>
    <s v="STU-356"/>
    <s v="New Customer"/>
    <x v="1"/>
    <x v="0"/>
    <x v="1"/>
    <x v="1"/>
    <n v="29"/>
    <x v="1"/>
    <x v="4"/>
    <n v="0"/>
    <n v="29"/>
    <n v="27.984999999999999"/>
    <n v="0"/>
    <n v="3.5000000000000003E-2"/>
    <n v="1.0150000000000006"/>
    <n v="0.01"/>
    <n v="0.27984999999999971"/>
    <n v="0"/>
    <n v="27.70515"/>
    <x v="2"/>
    <s v=""/>
  </r>
  <r>
    <n v="888"/>
    <d v="2026-05-08T00:00:00"/>
    <d v="2026-05-13T00:00:00"/>
    <x v="3"/>
    <s v="STU-348"/>
    <s v="Returning Customer"/>
    <x v="0"/>
    <x v="1"/>
    <x v="7"/>
    <x v="3"/>
    <n v="99"/>
    <x v="0"/>
    <x v="2"/>
    <n v="0"/>
    <n v="99"/>
    <n v="95.534999999999997"/>
    <n v="94.579650000000001"/>
    <n v="3.5000000000000003E-2"/>
    <n v="3.4650000000000034"/>
    <n v="0.01"/>
    <n v="0.9553499999999957"/>
    <n v="0"/>
    <n v="0"/>
    <x v="1"/>
    <s v=""/>
  </r>
  <r>
    <n v="889"/>
    <d v="2026-06-29T00:00:00"/>
    <d v="2026-07-03T00:00:00"/>
    <x v="2"/>
    <s v="STU-3"/>
    <s v="New Customer"/>
    <x v="2"/>
    <x v="5"/>
    <x v="7"/>
    <x v="3"/>
    <n v="99"/>
    <x v="2"/>
    <x v="3"/>
    <n v="0"/>
    <n v="99"/>
    <n v="97.02"/>
    <n v="0"/>
    <n v="0.02"/>
    <n v="1.980000000000004"/>
    <n v="0.01"/>
    <n v="0.9702000000000055"/>
    <n v="96.049799999999991"/>
    <n v="0"/>
    <x v="2"/>
    <s v=""/>
  </r>
  <r>
    <n v="890"/>
    <d v="2026-01-24T00:00:00"/>
    <d v="2026-01-28T00:00:00"/>
    <x v="4"/>
    <s v="STU-418"/>
    <s v="Returning Customer"/>
    <x v="1"/>
    <x v="0"/>
    <x v="3"/>
    <x v="3"/>
    <n v="59"/>
    <x v="1"/>
    <x v="0"/>
    <n v="0"/>
    <n v="59"/>
    <n v="57.82"/>
    <n v="0"/>
    <n v="0.02"/>
    <n v="1.1799999999999997"/>
    <n v="0.01"/>
    <n v="0.57820000000000249"/>
    <n v="0"/>
    <n v="57.241799999999998"/>
    <x v="0"/>
    <s v=""/>
  </r>
  <r>
    <n v="891"/>
    <d v="2026-01-25T00:00:00"/>
    <d v="2026-01-25T00:00:00"/>
    <x v="4"/>
    <s v="STU-240"/>
    <s v="Returning Customer"/>
    <x v="1"/>
    <x v="6"/>
    <x v="2"/>
    <x v="2"/>
    <n v="29"/>
    <x v="1"/>
    <x v="2"/>
    <n v="0"/>
    <n v="29"/>
    <n v="27.984999999999999"/>
    <n v="0"/>
    <n v="3.5000000000000003E-2"/>
    <n v="1.0150000000000006"/>
    <n v="0.01"/>
    <n v="0.27984999999999971"/>
    <n v="0"/>
    <n v="27.70515"/>
    <x v="2"/>
    <s v=""/>
  </r>
  <r>
    <n v="892"/>
    <d v="2026-04-09T00:00:00"/>
    <d v="2026-04-14T00:00:00"/>
    <x v="5"/>
    <s v="STU-516"/>
    <s v="Returning Customer"/>
    <x v="2"/>
    <x v="5"/>
    <x v="5"/>
    <x v="2"/>
    <n v="29"/>
    <x v="0"/>
    <x v="0"/>
    <n v="0"/>
    <n v="29"/>
    <n v="28.42"/>
    <n v="28.135800000000003"/>
    <n v="0.02"/>
    <n v="0.57999999999999829"/>
    <n v="0.01"/>
    <n v="0.28419999999999845"/>
    <n v="0"/>
    <n v="0"/>
    <x v="1"/>
    <s v=""/>
  </r>
  <r>
    <n v="893"/>
    <d v="2026-03-18T00:00:00"/>
    <d v="2026-03-21T00:00:00"/>
    <x v="0"/>
    <s v="STU-202"/>
    <s v="Returning Customer"/>
    <x v="0"/>
    <x v="3"/>
    <x v="6"/>
    <x v="2"/>
    <n v="29"/>
    <x v="0"/>
    <x v="4"/>
    <n v="0"/>
    <n v="29"/>
    <n v="27.984999999999999"/>
    <n v="27.70515"/>
    <n v="3.5000000000000003E-2"/>
    <n v="1.0150000000000006"/>
    <n v="0.01"/>
    <n v="0.27984999999999971"/>
    <n v="0"/>
    <n v="0"/>
    <x v="0"/>
    <s v=""/>
  </r>
  <r>
    <n v="894"/>
    <d v="2026-02-10T00:00:00"/>
    <d v="2026-02-13T00:00:00"/>
    <x v="6"/>
    <s v="STU-78"/>
    <s v="Returning Customer"/>
    <x v="1"/>
    <x v="4"/>
    <x v="4"/>
    <x v="2"/>
    <n v="59"/>
    <x v="1"/>
    <x v="3"/>
    <n v="0"/>
    <n v="59"/>
    <n v="57.82"/>
    <n v="0"/>
    <n v="0.02"/>
    <n v="1.1799999999999997"/>
    <n v="0.01"/>
    <n v="0.57820000000000249"/>
    <n v="0"/>
    <n v="57.241799999999998"/>
    <x v="0"/>
    <s v=""/>
  </r>
  <r>
    <n v="895"/>
    <d v="2026-05-09T00:00:00"/>
    <d v="2026-05-13T00:00:00"/>
    <x v="3"/>
    <s v="STU-868"/>
    <s v="Returning Customer"/>
    <x v="0"/>
    <x v="1"/>
    <x v="1"/>
    <x v="1"/>
    <n v="29"/>
    <x v="0"/>
    <x v="0"/>
    <n v="0"/>
    <n v="29"/>
    <n v="28.42"/>
    <n v="28.135800000000003"/>
    <n v="0.02"/>
    <n v="0.57999999999999829"/>
    <n v="0.01"/>
    <n v="0.28419999999999845"/>
    <n v="0"/>
    <n v="0"/>
    <x v="2"/>
    <s v=""/>
  </r>
  <r>
    <n v="896"/>
    <d v="2026-03-13T00:00:00"/>
    <d v="2026-03-14T00:00:00"/>
    <x v="0"/>
    <s v="STU-356"/>
    <s v="Returning Customer"/>
    <x v="2"/>
    <x v="2"/>
    <x v="3"/>
    <x v="3"/>
    <n v="59"/>
    <x v="0"/>
    <x v="0"/>
    <n v="0"/>
    <n v="59"/>
    <n v="57.82"/>
    <n v="57.241799999999998"/>
    <n v="0.02"/>
    <n v="1.1799999999999997"/>
    <n v="0.01"/>
    <n v="0.57820000000000249"/>
    <n v="0"/>
    <n v="0"/>
    <x v="1"/>
    <s v=""/>
  </r>
  <r>
    <n v="897"/>
    <d v="2026-04-30T00:00:00"/>
    <d v="2026-05-05T00:00:00"/>
    <x v="3"/>
    <s v="STU-579"/>
    <s v="Returning Customer"/>
    <x v="1"/>
    <x v="0"/>
    <x v="1"/>
    <x v="1"/>
    <n v="29"/>
    <x v="1"/>
    <x v="3"/>
    <n v="0"/>
    <n v="29"/>
    <n v="28.42"/>
    <n v="0"/>
    <n v="0.02"/>
    <n v="0.57999999999999829"/>
    <n v="0.01"/>
    <n v="0.28419999999999845"/>
    <n v="0"/>
    <n v="28.135800000000003"/>
    <x v="2"/>
    <s v=""/>
  </r>
  <r>
    <n v="898"/>
    <d v="2026-02-22T00:00:00"/>
    <d v="2026-02-23T00:00:00"/>
    <x v="6"/>
    <s v="STU-392"/>
    <s v="Returning Customer"/>
    <x v="2"/>
    <x v="6"/>
    <x v="1"/>
    <x v="1"/>
    <n v="29"/>
    <x v="1"/>
    <x v="2"/>
    <n v="0"/>
    <n v="29"/>
    <n v="27.984999999999999"/>
    <n v="0"/>
    <n v="3.5000000000000003E-2"/>
    <n v="1.0150000000000006"/>
    <n v="0.01"/>
    <n v="0.27984999999999971"/>
    <n v="0"/>
    <n v="27.70515"/>
    <x v="1"/>
    <s v=""/>
  </r>
  <r>
    <n v="899"/>
    <d v="2026-05-18T00:00:00"/>
    <d v="2026-05-19T00:00:00"/>
    <x v="3"/>
    <s v="STU-26"/>
    <s v="Returning Customer"/>
    <x v="0"/>
    <x v="5"/>
    <x v="0"/>
    <x v="0"/>
    <n v="59"/>
    <x v="0"/>
    <x v="3"/>
    <n v="0"/>
    <n v="59"/>
    <n v="57.82"/>
    <n v="57.241799999999998"/>
    <n v="0.02"/>
    <n v="1.1799999999999997"/>
    <n v="0.01"/>
    <n v="0.57820000000000249"/>
    <n v="0"/>
    <n v="0"/>
    <x v="1"/>
    <s v=""/>
  </r>
  <r>
    <n v="900"/>
    <d v="2026-05-25T00:00:00"/>
    <d v="2026-05-28T00:00:00"/>
    <x v="3"/>
    <s v="STU-930"/>
    <s v="New Customer"/>
    <x v="0"/>
    <x v="5"/>
    <x v="3"/>
    <x v="3"/>
    <n v="59"/>
    <x v="1"/>
    <x v="3"/>
    <n v="0"/>
    <n v="59"/>
    <n v="57.82"/>
    <n v="0"/>
    <n v="0.02"/>
    <n v="1.1799999999999997"/>
    <n v="0.01"/>
    <n v="0.57820000000000249"/>
    <n v="0"/>
    <n v="57.241799999999998"/>
    <x v="0"/>
    <s v=""/>
  </r>
  <r>
    <n v="901"/>
    <d v="2026-02-03T00:00:00"/>
    <d v="2026-02-05T00:00:00"/>
    <x v="6"/>
    <s v="STU-390"/>
    <s v="Returning Customer"/>
    <x v="0"/>
    <x v="5"/>
    <x v="0"/>
    <x v="0"/>
    <n v="59"/>
    <x v="0"/>
    <x v="2"/>
    <n v="0"/>
    <n v="59"/>
    <n v="56.935000000000002"/>
    <n v="56.365650000000002"/>
    <n v="3.5000000000000003E-2"/>
    <n v="2.0649999999999977"/>
    <n v="0.01"/>
    <n v="0.56935000000000002"/>
    <n v="0"/>
    <n v="0"/>
    <x v="1"/>
    <s v=""/>
  </r>
  <r>
    <n v="902"/>
    <d v="2026-02-01T00:00:00"/>
    <d v="2026-02-02T00:00:00"/>
    <x v="6"/>
    <s v="STU-618"/>
    <s v="New Customer"/>
    <x v="0"/>
    <x v="7"/>
    <x v="0"/>
    <x v="0"/>
    <n v="59"/>
    <x v="1"/>
    <x v="2"/>
    <n v="0"/>
    <n v="59"/>
    <n v="56.935000000000002"/>
    <n v="0"/>
    <n v="3.5000000000000003E-2"/>
    <n v="2.0649999999999977"/>
    <n v="0.01"/>
    <n v="0.56935000000000002"/>
    <n v="0"/>
    <n v="56.365650000000002"/>
    <x v="0"/>
    <s v=""/>
  </r>
  <r>
    <n v="903"/>
    <d v="2026-07-05T00:00:00"/>
    <d v="2026-07-05T00:00:00"/>
    <x v="2"/>
    <s v="STU-946"/>
    <s v="Returning Customer"/>
    <x v="2"/>
    <x v="6"/>
    <x v="3"/>
    <x v="3"/>
    <n v="59"/>
    <x v="1"/>
    <x v="1"/>
    <n v="0"/>
    <n v="59"/>
    <n v="59"/>
    <n v="0"/>
    <n v="0"/>
    <n v="0"/>
    <n v="0.01"/>
    <n v="0.59000000000000341"/>
    <n v="0"/>
    <n v="58.41"/>
    <x v="1"/>
    <s v=""/>
  </r>
  <r>
    <n v="904"/>
    <d v="2026-06-14T00:00:00"/>
    <d v="2026-06-19T00:00:00"/>
    <x v="1"/>
    <s v="STU-222"/>
    <s v="New Customer"/>
    <x v="1"/>
    <x v="0"/>
    <x v="3"/>
    <x v="3"/>
    <n v="59"/>
    <x v="0"/>
    <x v="3"/>
    <n v="0"/>
    <n v="59"/>
    <n v="57.82"/>
    <n v="57.241799999999998"/>
    <n v="0.02"/>
    <n v="1.1799999999999997"/>
    <n v="0.01"/>
    <n v="0.57820000000000249"/>
    <n v="0"/>
    <n v="0"/>
    <x v="1"/>
    <s v=""/>
  </r>
  <r>
    <n v="905"/>
    <d v="2026-04-04T00:00:00"/>
    <d v="2026-04-05T00:00:00"/>
    <x v="5"/>
    <s v="STU-525"/>
    <s v="Returning Customer"/>
    <x v="1"/>
    <x v="3"/>
    <x v="2"/>
    <x v="2"/>
    <n v="29"/>
    <x v="0"/>
    <x v="0"/>
    <n v="0"/>
    <n v="29"/>
    <n v="28.42"/>
    <n v="28.135800000000003"/>
    <n v="0.02"/>
    <n v="0.57999999999999829"/>
    <n v="0.01"/>
    <n v="0.28419999999999845"/>
    <n v="0"/>
    <n v="0"/>
    <x v="2"/>
    <s v=""/>
  </r>
  <r>
    <n v="906"/>
    <d v="2026-07-24T00:00:00"/>
    <d v="2026-07-28T00:00:00"/>
    <x v="2"/>
    <s v="STU-337"/>
    <s v="New Customer"/>
    <x v="2"/>
    <x v="6"/>
    <x v="3"/>
    <x v="3"/>
    <n v="59"/>
    <x v="1"/>
    <x v="1"/>
    <n v="0"/>
    <n v="59"/>
    <n v="59"/>
    <n v="0"/>
    <n v="0"/>
    <n v="0"/>
    <n v="0.01"/>
    <n v="0.59000000000000341"/>
    <n v="0"/>
    <n v="58.41"/>
    <x v="2"/>
    <s v=""/>
  </r>
  <r>
    <n v="907"/>
    <d v="2026-03-08T00:00:00"/>
    <d v="2026-03-08T00:00:00"/>
    <x v="0"/>
    <s v="STU-267"/>
    <s v="New Customer"/>
    <x v="2"/>
    <x v="1"/>
    <x v="6"/>
    <x v="2"/>
    <n v="29"/>
    <x v="1"/>
    <x v="1"/>
    <n v="0"/>
    <n v="29"/>
    <n v="29"/>
    <n v="0"/>
    <n v="0"/>
    <n v="0"/>
    <n v="0.01"/>
    <n v="0.28999999999999915"/>
    <n v="0"/>
    <n v="28.71"/>
    <x v="0"/>
    <s v=""/>
  </r>
  <r>
    <n v="908"/>
    <d v="2026-04-05T00:00:00"/>
    <d v="2026-04-10T00:00:00"/>
    <x v="5"/>
    <s v="STU-212"/>
    <s v="New Customer"/>
    <x v="1"/>
    <x v="3"/>
    <x v="4"/>
    <x v="2"/>
    <n v="59"/>
    <x v="1"/>
    <x v="0"/>
    <n v="0"/>
    <n v="59"/>
    <n v="57.82"/>
    <n v="0"/>
    <n v="0.02"/>
    <n v="1.1799999999999997"/>
    <n v="0.01"/>
    <n v="0.57820000000000249"/>
    <n v="0"/>
    <n v="57.241799999999998"/>
    <x v="0"/>
    <s v=""/>
  </r>
  <r>
    <n v="909"/>
    <d v="2026-02-02T00:00:00"/>
    <d v="2026-02-02T00:00:00"/>
    <x v="6"/>
    <s v="STU-753"/>
    <s v="Returning Customer"/>
    <x v="1"/>
    <x v="1"/>
    <x v="7"/>
    <x v="3"/>
    <n v="99"/>
    <x v="1"/>
    <x v="1"/>
    <n v="0"/>
    <n v="99"/>
    <n v="99"/>
    <n v="0"/>
    <n v="0"/>
    <n v="0"/>
    <n v="0.01"/>
    <n v="0.98999999999999488"/>
    <n v="0"/>
    <n v="98.01"/>
    <x v="0"/>
    <s v=""/>
  </r>
  <r>
    <n v="910"/>
    <d v="2026-01-23T00:00:00"/>
    <d v="2026-01-23T00:00:00"/>
    <x v="4"/>
    <s v="STU-197"/>
    <s v="New Customer"/>
    <x v="2"/>
    <x v="1"/>
    <x v="1"/>
    <x v="1"/>
    <n v="29"/>
    <x v="1"/>
    <x v="1"/>
    <n v="0"/>
    <n v="29"/>
    <n v="29"/>
    <n v="0"/>
    <n v="0"/>
    <n v="0"/>
    <n v="0.01"/>
    <n v="0.28999999999999915"/>
    <n v="0"/>
    <n v="28.71"/>
    <x v="1"/>
    <s v=""/>
  </r>
  <r>
    <n v="911"/>
    <d v="2026-02-04T00:00:00"/>
    <d v="2026-02-09T00:00:00"/>
    <x v="6"/>
    <s v="STU-921"/>
    <s v="Returning Customer"/>
    <x v="0"/>
    <x v="0"/>
    <x v="5"/>
    <x v="2"/>
    <n v="29"/>
    <x v="1"/>
    <x v="4"/>
    <n v="0"/>
    <n v="29"/>
    <n v="27.984999999999999"/>
    <n v="0"/>
    <n v="3.5000000000000003E-2"/>
    <n v="1.0150000000000006"/>
    <n v="0.01"/>
    <n v="0.27984999999999971"/>
    <n v="0"/>
    <n v="27.70515"/>
    <x v="0"/>
    <s v=""/>
  </r>
  <r>
    <n v="912"/>
    <d v="2026-02-20T00:00:00"/>
    <d v="2026-02-25T00:00:00"/>
    <x v="6"/>
    <s v="STU-587"/>
    <s v="New Customer"/>
    <x v="1"/>
    <x v="4"/>
    <x v="7"/>
    <x v="3"/>
    <n v="99"/>
    <x v="1"/>
    <x v="3"/>
    <n v="0"/>
    <n v="99"/>
    <n v="97.02"/>
    <n v="0"/>
    <n v="0.02"/>
    <n v="1.980000000000004"/>
    <n v="0.01"/>
    <n v="0.9702000000000055"/>
    <n v="0"/>
    <n v="96.049799999999991"/>
    <x v="0"/>
    <s v=""/>
  </r>
  <r>
    <n v="913"/>
    <d v="2026-06-23T00:00:00"/>
    <d v="2026-06-24T00:00:00"/>
    <x v="1"/>
    <s v="STU-919"/>
    <s v="Returning Customer"/>
    <x v="0"/>
    <x v="0"/>
    <x v="1"/>
    <x v="1"/>
    <n v="29"/>
    <x v="1"/>
    <x v="3"/>
    <n v="0"/>
    <n v="29"/>
    <n v="28.42"/>
    <n v="0"/>
    <n v="0.02"/>
    <n v="0.57999999999999829"/>
    <n v="0.01"/>
    <n v="0.28419999999999845"/>
    <n v="0"/>
    <n v="28.135800000000003"/>
    <x v="0"/>
    <s v=""/>
  </r>
  <r>
    <n v="914"/>
    <d v="2026-01-26T00:00:00"/>
    <d v="2026-01-27T00:00:00"/>
    <x v="4"/>
    <s v="STU-242"/>
    <s v="Returning Customer"/>
    <x v="0"/>
    <x v="2"/>
    <x v="4"/>
    <x v="2"/>
    <n v="59"/>
    <x v="1"/>
    <x v="3"/>
    <n v="0"/>
    <n v="59"/>
    <n v="57.82"/>
    <n v="0"/>
    <n v="0.02"/>
    <n v="1.1799999999999997"/>
    <n v="0.01"/>
    <n v="0.57820000000000249"/>
    <n v="0"/>
    <n v="57.241799999999998"/>
    <x v="0"/>
    <s v=""/>
  </r>
  <r>
    <n v="915"/>
    <d v="2026-01-03T00:00:00"/>
    <d v="2026-01-05T00:00:00"/>
    <x v="4"/>
    <s v="STU-357"/>
    <s v="Returning Customer"/>
    <x v="0"/>
    <x v="5"/>
    <x v="0"/>
    <x v="0"/>
    <n v="59"/>
    <x v="1"/>
    <x v="1"/>
    <n v="0"/>
    <n v="59"/>
    <n v="59"/>
    <n v="0"/>
    <n v="0"/>
    <n v="0"/>
    <n v="0.01"/>
    <n v="0.59000000000000341"/>
    <n v="0"/>
    <n v="58.41"/>
    <x v="0"/>
    <s v=""/>
  </r>
  <r>
    <n v="916"/>
    <d v="2026-05-02T00:00:00"/>
    <d v="2026-05-06T00:00:00"/>
    <x v="3"/>
    <s v="STU-154"/>
    <s v="New Customer"/>
    <x v="0"/>
    <x v="4"/>
    <x v="0"/>
    <x v="0"/>
    <n v="59"/>
    <x v="0"/>
    <x v="1"/>
    <n v="0"/>
    <n v="59"/>
    <n v="59"/>
    <n v="58.41"/>
    <n v="0"/>
    <n v="0"/>
    <n v="0.01"/>
    <n v="0.59000000000000341"/>
    <n v="0"/>
    <n v="0"/>
    <x v="2"/>
    <n v="10"/>
  </r>
  <r>
    <n v="917"/>
    <d v="2026-06-25T00:00:00"/>
    <d v="2026-06-28T00:00:00"/>
    <x v="1"/>
    <s v="STU-117"/>
    <s v="Returning Customer"/>
    <x v="1"/>
    <x v="6"/>
    <x v="6"/>
    <x v="2"/>
    <n v="29"/>
    <x v="2"/>
    <x v="4"/>
    <n v="0"/>
    <n v="29"/>
    <n v="27.984999999999999"/>
    <n v="0"/>
    <n v="3.5000000000000003E-2"/>
    <n v="1.0150000000000006"/>
    <n v="0.01"/>
    <n v="0.27984999999999971"/>
    <n v="27.70515"/>
    <n v="0"/>
    <x v="0"/>
    <s v=""/>
  </r>
  <r>
    <n v="918"/>
    <d v="2026-01-07T00:00:00"/>
    <d v="2026-01-12T00:00:00"/>
    <x v="4"/>
    <s v="STU-471"/>
    <s v="Returning Customer"/>
    <x v="2"/>
    <x v="2"/>
    <x v="6"/>
    <x v="2"/>
    <n v="29"/>
    <x v="1"/>
    <x v="4"/>
    <n v="0"/>
    <n v="29"/>
    <n v="27.984999999999999"/>
    <n v="0"/>
    <n v="3.5000000000000003E-2"/>
    <n v="1.0150000000000006"/>
    <n v="0.01"/>
    <n v="0.27984999999999971"/>
    <n v="0"/>
    <n v="27.70515"/>
    <x v="0"/>
    <s v=""/>
  </r>
  <r>
    <n v="919"/>
    <d v="2026-04-07T00:00:00"/>
    <d v="2026-04-08T00:00:00"/>
    <x v="5"/>
    <s v="STU-63"/>
    <s v="New Customer"/>
    <x v="0"/>
    <x v="5"/>
    <x v="6"/>
    <x v="2"/>
    <n v="29"/>
    <x v="1"/>
    <x v="1"/>
    <n v="0"/>
    <n v="29"/>
    <n v="29"/>
    <n v="0"/>
    <n v="0"/>
    <n v="0"/>
    <n v="0.01"/>
    <n v="0.28999999999999915"/>
    <n v="0"/>
    <n v="28.71"/>
    <x v="2"/>
    <s v=""/>
  </r>
  <r>
    <n v="920"/>
    <d v="2026-05-25T00:00:00"/>
    <d v="2026-05-25T00:00:00"/>
    <x v="3"/>
    <s v="STU-683"/>
    <s v="Returning Customer"/>
    <x v="0"/>
    <x v="2"/>
    <x v="7"/>
    <x v="3"/>
    <n v="99"/>
    <x v="0"/>
    <x v="1"/>
    <n v="0"/>
    <n v="99"/>
    <n v="99"/>
    <n v="98.01"/>
    <n v="0"/>
    <n v="0"/>
    <n v="0.01"/>
    <n v="0.98999999999999488"/>
    <n v="0"/>
    <n v="0"/>
    <x v="1"/>
    <s v=""/>
  </r>
  <r>
    <n v="921"/>
    <d v="2026-03-14T00:00:00"/>
    <d v="2026-03-19T00:00:00"/>
    <x v="0"/>
    <s v="STU-875"/>
    <s v="Returning Customer"/>
    <x v="2"/>
    <x v="3"/>
    <x v="1"/>
    <x v="1"/>
    <n v="29"/>
    <x v="1"/>
    <x v="3"/>
    <n v="0"/>
    <n v="29"/>
    <n v="28.42"/>
    <n v="0"/>
    <n v="0.02"/>
    <n v="0.57999999999999829"/>
    <n v="0.01"/>
    <n v="0.28419999999999845"/>
    <n v="0"/>
    <n v="28.135800000000003"/>
    <x v="0"/>
    <s v=""/>
  </r>
  <r>
    <n v="922"/>
    <d v="2026-01-29T00:00:00"/>
    <d v="2026-01-30T00:00:00"/>
    <x v="4"/>
    <s v="STU-202"/>
    <s v="Returning Customer"/>
    <x v="0"/>
    <x v="0"/>
    <x v="7"/>
    <x v="3"/>
    <n v="99"/>
    <x v="0"/>
    <x v="2"/>
    <n v="0"/>
    <n v="99"/>
    <n v="95.534999999999997"/>
    <n v="94.579650000000001"/>
    <n v="3.5000000000000003E-2"/>
    <n v="3.4650000000000034"/>
    <n v="0.01"/>
    <n v="0.9553499999999957"/>
    <n v="0"/>
    <n v="0"/>
    <x v="0"/>
    <s v=""/>
  </r>
  <r>
    <n v="923"/>
    <d v="2026-06-26T00:00:00"/>
    <d v="2026-06-27T00:00:00"/>
    <x v="1"/>
    <s v="STU-916"/>
    <s v="New Customer"/>
    <x v="2"/>
    <x v="4"/>
    <x v="1"/>
    <x v="1"/>
    <n v="29"/>
    <x v="1"/>
    <x v="3"/>
    <n v="0"/>
    <n v="29"/>
    <n v="28.42"/>
    <n v="0"/>
    <n v="0.02"/>
    <n v="0.57999999999999829"/>
    <n v="0.01"/>
    <n v="0.28419999999999845"/>
    <n v="0"/>
    <n v="28.135800000000003"/>
    <x v="1"/>
    <s v=""/>
  </r>
  <r>
    <n v="924"/>
    <d v="2026-06-15T00:00:00"/>
    <d v="2026-06-15T00:00:00"/>
    <x v="1"/>
    <s v="STU-531"/>
    <s v="Returning Customer"/>
    <x v="1"/>
    <x v="2"/>
    <x v="2"/>
    <x v="2"/>
    <n v="29"/>
    <x v="1"/>
    <x v="4"/>
    <n v="0"/>
    <n v="29"/>
    <n v="27.984999999999999"/>
    <n v="0"/>
    <n v="3.5000000000000003E-2"/>
    <n v="1.0150000000000006"/>
    <n v="0.01"/>
    <n v="0.27984999999999971"/>
    <n v="0"/>
    <n v="27.70515"/>
    <x v="1"/>
    <s v=""/>
  </r>
  <r>
    <n v="925"/>
    <d v="2026-07-23T00:00:00"/>
    <d v="2026-07-24T00:00:00"/>
    <x v="2"/>
    <s v="STU-518"/>
    <s v="New Customer"/>
    <x v="0"/>
    <x v="6"/>
    <x v="1"/>
    <x v="1"/>
    <n v="29"/>
    <x v="1"/>
    <x v="4"/>
    <n v="0"/>
    <n v="29"/>
    <n v="27.984999999999999"/>
    <n v="0"/>
    <n v="3.5000000000000003E-2"/>
    <n v="1.0150000000000006"/>
    <n v="0.01"/>
    <n v="0.27984999999999971"/>
    <n v="0"/>
    <n v="27.70515"/>
    <x v="1"/>
    <s v=""/>
  </r>
  <r>
    <n v="926"/>
    <d v="2026-07-22T00:00:00"/>
    <d v="2026-07-26T00:00:00"/>
    <x v="2"/>
    <s v="STU-914"/>
    <s v="New Customer"/>
    <x v="0"/>
    <x v="1"/>
    <x v="7"/>
    <x v="3"/>
    <n v="99"/>
    <x v="1"/>
    <x v="0"/>
    <n v="0"/>
    <n v="99"/>
    <n v="97.02"/>
    <n v="0"/>
    <n v="0.02"/>
    <n v="1.980000000000004"/>
    <n v="0.01"/>
    <n v="0.9702000000000055"/>
    <n v="0"/>
    <n v="96.049799999999991"/>
    <x v="1"/>
    <n v="10"/>
  </r>
  <r>
    <n v="927"/>
    <d v="2026-03-08T00:00:00"/>
    <d v="2026-03-10T00:00:00"/>
    <x v="0"/>
    <s v="STU-12"/>
    <s v="Returning Customer"/>
    <x v="2"/>
    <x v="3"/>
    <x v="7"/>
    <x v="3"/>
    <n v="99"/>
    <x v="0"/>
    <x v="3"/>
    <n v="0"/>
    <n v="99"/>
    <n v="97.02"/>
    <n v="96.049799999999991"/>
    <n v="0.02"/>
    <n v="1.980000000000004"/>
    <n v="0.01"/>
    <n v="0.9702000000000055"/>
    <n v="0"/>
    <n v="0"/>
    <x v="1"/>
    <s v=""/>
  </r>
  <r>
    <n v="928"/>
    <d v="2026-01-28T00:00:00"/>
    <d v="2026-02-01T00:00:00"/>
    <x v="6"/>
    <s v="STU-706"/>
    <s v="New Customer"/>
    <x v="0"/>
    <x v="4"/>
    <x v="4"/>
    <x v="2"/>
    <n v="59"/>
    <x v="0"/>
    <x v="3"/>
    <n v="0"/>
    <n v="59"/>
    <n v="57.82"/>
    <n v="57.241799999999998"/>
    <n v="0.02"/>
    <n v="1.1799999999999997"/>
    <n v="0.01"/>
    <n v="0.57820000000000249"/>
    <n v="0"/>
    <n v="0"/>
    <x v="2"/>
    <s v=""/>
  </r>
  <r>
    <n v="929"/>
    <d v="2026-07-23T00:00:00"/>
    <d v="2026-07-28T00:00:00"/>
    <x v="2"/>
    <s v="STU-916"/>
    <s v="Returning Customer"/>
    <x v="1"/>
    <x v="3"/>
    <x v="5"/>
    <x v="2"/>
    <n v="29"/>
    <x v="1"/>
    <x v="3"/>
    <n v="0"/>
    <n v="29"/>
    <n v="28.42"/>
    <n v="0"/>
    <n v="0.02"/>
    <n v="0.57999999999999829"/>
    <n v="0.01"/>
    <n v="0.28419999999999845"/>
    <n v="0"/>
    <n v="28.135800000000003"/>
    <x v="2"/>
    <s v=""/>
  </r>
  <r>
    <n v="930"/>
    <d v="2026-04-18T00:00:00"/>
    <d v="2026-04-21T00:00:00"/>
    <x v="5"/>
    <s v="STU-461"/>
    <s v="New Customer"/>
    <x v="1"/>
    <x v="7"/>
    <x v="3"/>
    <x v="3"/>
    <n v="59"/>
    <x v="1"/>
    <x v="0"/>
    <n v="0"/>
    <n v="59"/>
    <n v="57.82"/>
    <n v="0"/>
    <n v="0.02"/>
    <n v="1.1799999999999997"/>
    <n v="0.01"/>
    <n v="0.57820000000000249"/>
    <n v="0"/>
    <n v="57.241799999999998"/>
    <x v="2"/>
    <n v="10"/>
  </r>
  <r>
    <n v="931"/>
    <d v="2026-06-09T00:00:00"/>
    <d v="2026-06-13T00:00:00"/>
    <x v="1"/>
    <s v="STU-561"/>
    <s v="Returning Customer"/>
    <x v="2"/>
    <x v="6"/>
    <x v="2"/>
    <x v="2"/>
    <n v="29"/>
    <x v="1"/>
    <x v="3"/>
    <n v="0"/>
    <n v="29"/>
    <n v="28.42"/>
    <n v="0"/>
    <n v="0.02"/>
    <n v="0.57999999999999829"/>
    <n v="0.01"/>
    <n v="0.28419999999999845"/>
    <n v="0"/>
    <n v="28.135800000000003"/>
    <x v="0"/>
    <s v=""/>
  </r>
  <r>
    <n v="932"/>
    <d v="2026-01-18T00:00:00"/>
    <d v="2026-01-19T00:00:00"/>
    <x v="4"/>
    <s v="STU-682"/>
    <s v="New Customer"/>
    <x v="0"/>
    <x v="2"/>
    <x v="2"/>
    <x v="2"/>
    <n v="29"/>
    <x v="1"/>
    <x v="1"/>
    <n v="0"/>
    <n v="29"/>
    <n v="29"/>
    <n v="0"/>
    <n v="0"/>
    <n v="0"/>
    <n v="0.01"/>
    <n v="0.28999999999999915"/>
    <n v="0"/>
    <n v="28.71"/>
    <x v="1"/>
    <s v=""/>
  </r>
  <r>
    <n v="933"/>
    <d v="2026-06-16T00:00:00"/>
    <d v="2026-06-19T00:00:00"/>
    <x v="1"/>
    <s v="STU-688"/>
    <s v="New Customer"/>
    <x v="2"/>
    <x v="6"/>
    <x v="6"/>
    <x v="2"/>
    <n v="29"/>
    <x v="0"/>
    <x v="0"/>
    <n v="0"/>
    <n v="29"/>
    <n v="28.42"/>
    <n v="28.135800000000003"/>
    <n v="0.02"/>
    <n v="0.57999999999999829"/>
    <n v="0.01"/>
    <n v="0.28419999999999845"/>
    <n v="0"/>
    <n v="0"/>
    <x v="2"/>
    <s v=""/>
  </r>
  <r>
    <n v="934"/>
    <d v="2026-07-24T00:00:00"/>
    <d v="2026-07-26T00:00:00"/>
    <x v="2"/>
    <s v="STU-409"/>
    <s v="New Customer"/>
    <x v="0"/>
    <x v="3"/>
    <x v="3"/>
    <x v="3"/>
    <n v="59"/>
    <x v="0"/>
    <x v="4"/>
    <n v="0"/>
    <n v="59"/>
    <n v="56.935000000000002"/>
    <n v="56.365650000000002"/>
    <n v="3.5000000000000003E-2"/>
    <n v="2.0649999999999977"/>
    <n v="0.01"/>
    <n v="0.56935000000000002"/>
    <n v="0"/>
    <n v="0"/>
    <x v="0"/>
    <s v=""/>
  </r>
  <r>
    <n v="935"/>
    <d v="2026-04-19T00:00:00"/>
    <d v="2026-04-24T00:00:00"/>
    <x v="5"/>
    <s v="STU-257"/>
    <s v="Returning Customer"/>
    <x v="0"/>
    <x v="4"/>
    <x v="7"/>
    <x v="3"/>
    <n v="99"/>
    <x v="2"/>
    <x v="2"/>
    <n v="0"/>
    <n v="99"/>
    <n v="95.534999999999997"/>
    <n v="0"/>
    <n v="3.5000000000000003E-2"/>
    <n v="3.4650000000000034"/>
    <n v="0.01"/>
    <n v="0.9553499999999957"/>
    <n v="94.579650000000001"/>
    <n v="0"/>
    <x v="0"/>
    <s v=""/>
  </r>
  <r>
    <n v="936"/>
    <d v="2026-02-27T00:00:00"/>
    <d v="2026-02-28T00:00:00"/>
    <x v="6"/>
    <s v="STU-802"/>
    <s v="Returning Customer"/>
    <x v="1"/>
    <x v="0"/>
    <x v="6"/>
    <x v="2"/>
    <n v="29"/>
    <x v="1"/>
    <x v="2"/>
    <n v="0"/>
    <n v="29"/>
    <n v="27.984999999999999"/>
    <n v="0"/>
    <n v="3.5000000000000003E-2"/>
    <n v="1.0150000000000006"/>
    <n v="0.01"/>
    <n v="0.27984999999999971"/>
    <n v="0"/>
    <n v="27.70515"/>
    <x v="2"/>
    <s v=""/>
  </r>
  <r>
    <n v="937"/>
    <d v="2026-07-04T00:00:00"/>
    <d v="2026-07-08T00:00:00"/>
    <x v="2"/>
    <s v="STU-58"/>
    <s v="New Customer"/>
    <x v="2"/>
    <x v="7"/>
    <x v="0"/>
    <x v="0"/>
    <n v="59"/>
    <x v="0"/>
    <x v="2"/>
    <n v="0"/>
    <n v="59"/>
    <n v="56.935000000000002"/>
    <n v="56.365650000000002"/>
    <n v="3.5000000000000003E-2"/>
    <n v="2.0649999999999977"/>
    <n v="0.01"/>
    <n v="0.56935000000000002"/>
    <n v="0"/>
    <n v="0"/>
    <x v="2"/>
    <s v=""/>
  </r>
  <r>
    <n v="938"/>
    <d v="2026-07-03T00:00:00"/>
    <d v="2026-07-05T00:00:00"/>
    <x v="2"/>
    <s v="STU-582"/>
    <s v="Returning Customer"/>
    <x v="1"/>
    <x v="4"/>
    <x v="2"/>
    <x v="2"/>
    <n v="29"/>
    <x v="1"/>
    <x v="3"/>
    <n v="0"/>
    <n v="29"/>
    <n v="28.42"/>
    <n v="0"/>
    <n v="0.02"/>
    <n v="0.57999999999999829"/>
    <n v="0.01"/>
    <n v="0.28419999999999845"/>
    <n v="0"/>
    <n v="28.135800000000003"/>
    <x v="2"/>
    <s v=""/>
  </r>
  <r>
    <n v="939"/>
    <d v="2026-05-12T00:00:00"/>
    <d v="2026-05-17T00:00:00"/>
    <x v="3"/>
    <s v="STU-84"/>
    <s v="Returning Customer"/>
    <x v="2"/>
    <x v="2"/>
    <x v="1"/>
    <x v="1"/>
    <n v="29"/>
    <x v="1"/>
    <x v="3"/>
    <n v="0"/>
    <n v="29"/>
    <n v="28.42"/>
    <n v="0"/>
    <n v="0.02"/>
    <n v="0.57999999999999829"/>
    <n v="0.01"/>
    <n v="0.28419999999999845"/>
    <n v="0"/>
    <n v="28.135800000000003"/>
    <x v="0"/>
    <s v=""/>
  </r>
  <r>
    <n v="940"/>
    <d v="2026-04-13T00:00:00"/>
    <d v="2026-04-16T00:00:00"/>
    <x v="5"/>
    <s v="STU-729"/>
    <s v="New Customer"/>
    <x v="1"/>
    <x v="3"/>
    <x v="7"/>
    <x v="3"/>
    <n v="99"/>
    <x v="1"/>
    <x v="1"/>
    <n v="0"/>
    <n v="99"/>
    <n v="99"/>
    <n v="0"/>
    <n v="0"/>
    <n v="0"/>
    <n v="0.01"/>
    <n v="0.98999999999999488"/>
    <n v="0"/>
    <n v="98.01"/>
    <x v="0"/>
    <s v=""/>
  </r>
  <r>
    <n v="941"/>
    <d v="2026-01-15T00:00:00"/>
    <d v="2026-01-15T00:00:00"/>
    <x v="4"/>
    <s v="STU-735"/>
    <s v="New Customer"/>
    <x v="2"/>
    <x v="2"/>
    <x v="5"/>
    <x v="2"/>
    <n v="29"/>
    <x v="2"/>
    <x v="4"/>
    <n v="0"/>
    <n v="29"/>
    <n v="27.984999999999999"/>
    <n v="0"/>
    <n v="3.5000000000000003E-2"/>
    <n v="1.0150000000000006"/>
    <n v="0.01"/>
    <n v="0.27984999999999971"/>
    <n v="27.70515"/>
    <n v="0"/>
    <x v="2"/>
    <s v=""/>
  </r>
  <r>
    <n v="942"/>
    <d v="2026-06-03T00:00:00"/>
    <d v="2026-06-08T00:00:00"/>
    <x v="1"/>
    <s v="STU-12"/>
    <s v="Returning Customer"/>
    <x v="0"/>
    <x v="6"/>
    <x v="4"/>
    <x v="2"/>
    <n v="59"/>
    <x v="1"/>
    <x v="3"/>
    <n v="0"/>
    <n v="59"/>
    <n v="57.82"/>
    <n v="0"/>
    <n v="0.02"/>
    <n v="1.1799999999999997"/>
    <n v="0.01"/>
    <n v="0.57820000000000249"/>
    <n v="0"/>
    <n v="57.241799999999998"/>
    <x v="0"/>
    <s v=""/>
  </r>
  <r>
    <n v="943"/>
    <d v="2026-07-03T00:00:00"/>
    <d v="2026-07-03T00:00:00"/>
    <x v="2"/>
    <s v="STU-740"/>
    <s v="New Customer"/>
    <x v="1"/>
    <x v="1"/>
    <x v="2"/>
    <x v="2"/>
    <n v="29"/>
    <x v="1"/>
    <x v="3"/>
    <n v="0"/>
    <n v="29"/>
    <n v="28.42"/>
    <n v="0"/>
    <n v="0.02"/>
    <n v="0.57999999999999829"/>
    <n v="0.01"/>
    <n v="0.28419999999999845"/>
    <n v="0"/>
    <n v="28.135800000000003"/>
    <x v="0"/>
    <s v=""/>
  </r>
  <r>
    <n v="944"/>
    <d v="2026-05-05T00:00:00"/>
    <d v="2026-05-08T00:00:00"/>
    <x v="3"/>
    <s v="STU-227"/>
    <s v="Returning Customer"/>
    <x v="1"/>
    <x v="5"/>
    <x v="4"/>
    <x v="2"/>
    <n v="59"/>
    <x v="1"/>
    <x v="4"/>
    <n v="0"/>
    <n v="59"/>
    <n v="56.935000000000002"/>
    <n v="0"/>
    <n v="3.5000000000000003E-2"/>
    <n v="2.0649999999999977"/>
    <n v="0.01"/>
    <n v="0.56935000000000002"/>
    <n v="0"/>
    <n v="56.365650000000002"/>
    <x v="0"/>
    <s v=""/>
  </r>
  <r>
    <n v="945"/>
    <d v="2026-07-09T00:00:00"/>
    <d v="2026-07-10T00:00:00"/>
    <x v="2"/>
    <s v="STU-150"/>
    <s v="New Customer"/>
    <x v="2"/>
    <x v="0"/>
    <x v="6"/>
    <x v="2"/>
    <n v="29"/>
    <x v="1"/>
    <x v="4"/>
    <n v="0"/>
    <n v="29"/>
    <n v="27.984999999999999"/>
    <n v="0"/>
    <n v="3.5000000000000003E-2"/>
    <n v="1.0150000000000006"/>
    <n v="0.01"/>
    <n v="0.27984999999999971"/>
    <n v="0"/>
    <n v="27.70515"/>
    <x v="2"/>
    <s v=""/>
  </r>
  <r>
    <n v="946"/>
    <d v="2026-02-13T00:00:00"/>
    <d v="2026-02-13T00:00:00"/>
    <x v="6"/>
    <s v="STU-900"/>
    <s v="Returning Customer"/>
    <x v="2"/>
    <x v="3"/>
    <x v="4"/>
    <x v="2"/>
    <n v="59"/>
    <x v="0"/>
    <x v="1"/>
    <n v="0"/>
    <n v="59"/>
    <n v="59"/>
    <n v="58.41"/>
    <n v="0"/>
    <n v="0"/>
    <n v="0.01"/>
    <n v="0.59000000000000341"/>
    <n v="0"/>
    <n v="0"/>
    <x v="2"/>
    <s v=""/>
  </r>
  <r>
    <n v="947"/>
    <d v="2026-07-21T00:00:00"/>
    <d v="2026-07-23T00:00:00"/>
    <x v="2"/>
    <s v="STU-505"/>
    <s v="New Customer"/>
    <x v="2"/>
    <x v="4"/>
    <x v="6"/>
    <x v="2"/>
    <n v="29"/>
    <x v="0"/>
    <x v="2"/>
    <n v="0"/>
    <n v="29"/>
    <n v="27.984999999999999"/>
    <n v="27.70515"/>
    <n v="3.5000000000000003E-2"/>
    <n v="1.0150000000000006"/>
    <n v="0.01"/>
    <n v="0.27984999999999971"/>
    <n v="0"/>
    <n v="0"/>
    <x v="2"/>
    <s v=""/>
  </r>
  <r>
    <n v="948"/>
    <d v="2026-07-25T00:00:00"/>
    <d v="2026-07-26T00:00:00"/>
    <x v="2"/>
    <s v="STU-382"/>
    <s v="New Customer"/>
    <x v="2"/>
    <x v="0"/>
    <x v="1"/>
    <x v="1"/>
    <n v="29"/>
    <x v="1"/>
    <x v="2"/>
    <n v="0"/>
    <n v="29"/>
    <n v="27.984999999999999"/>
    <n v="0"/>
    <n v="3.5000000000000003E-2"/>
    <n v="1.0150000000000006"/>
    <n v="0.01"/>
    <n v="0.27984999999999971"/>
    <n v="0"/>
    <n v="27.70515"/>
    <x v="1"/>
    <s v=""/>
  </r>
  <r>
    <n v="949"/>
    <d v="2026-03-15T00:00:00"/>
    <d v="2026-03-20T00:00:00"/>
    <x v="0"/>
    <s v="STU-535"/>
    <s v="Returning Customer"/>
    <x v="2"/>
    <x v="3"/>
    <x v="5"/>
    <x v="2"/>
    <n v="29"/>
    <x v="1"/>
    <x v="4"/>
    <n v="0"/>
    <n v="29"/>
    <n v="27.984999999999999"/>
    <n v="0"/>
    <n v="3.5000000000000003E-2"/>
    <n v="1.0150000000000006"/>
    <n v="0.01"/>
    <n v="0.27984999999999971"/>
    <n v="0"/>
    <n v="27.70515"/>
    <x v="0"/>
    <s v=""/>
  </r>
  <r>
    <n v="950"/>
    <d v="2026-05-18T00:00:00"/>
    <d v="2026-05-23T00:00:00"/>
    <x v="3"/>
    <s v="STU-346"/>
    <s v="Returning Customer"/>
    <x v="2"/>
    <x v="7"/>
    <x v="1"/>
    <x v="1"/>
    <n v="29"/>
    <x v="0"/>
    <x v="3"/>
    <n v="0"/>
    <n v="29"/>
    <n v="28.42"/>
    <n v="28.135800000000003"/>
    <n v="0.02"/>
    <n v="0.57999999999999829"/>
    <n v="0.01"/>
    <n v="0.28419999999999845"/>
    <n v="0"/>
    <n v="0"/>
    <x v="1"/>
    <s v=""/>
  </r>
  <r>
    <n v="951"/>
    <d v="2026-03-17T00:00:00"/>
    <d v="2026-03-19T00:00:00"/>
    <x v="0"/>
    <s v="STU-786"/>
    <s v="Returning Customer"/>
    <x v="1"/>
    <x v="1"/>
    <x v="6"/>
    <x v="2"/>
    <n v="29"/>
    <x v="1"/>
    <x v="1"/>
    <n v="0"/>
    <n v="29"/>
    <n v="29"/>
    <n v="0"/>
    <n v="0"/>
    <n v="0"/>
    <n v="0.01"/>
    <n v="0.28999999999999915"/>
    <n v="0"/>
    <n v="28.71"/>
    <x v="1"/>
    <s v=""/>
  </r>
  <r>
    <n v="952"/>
    <d v="2026-01-26T00:00:00"/>
    <d v="2026-01-30T00:00:00"/>
    <x v="4"/>
    <s v="STU-499"/>
    <s v="Returning Customer"/>
    <x v="1"/>
    <x v="5"/>
    <x v="5"/>
    <x v="2"/>
    <n v="29"/>
    <x v="1"/>
    <x v="0"/>
    <n v="0"/>
    <n v="29"/>
    <n v="28.42"/>
    <n v="0"/>
    <n v="0.02"/>
    <n v="0.57999999999999829"/>
    <n v="0.01"/>
    <n v="0.28419999999999845"/>
    <n v="0"/>
    <n v="28.135800000000003"/>
    <x v="0"/>
    <s v=""/>
  </r>
  <r>
    <n v="953"/>
    <d v="2026-01-04T00:00:00"/>
    <d v="2026-01-05T00:00:00"/>
    <x v="4"/>
    <s v="STU-514"/>
    <s v="New Customer"/>
    <x v="0"/>
    <x v="1"/>
    <x v="6"/>
    <x v="2"/>
    <n v="29"/>
    <x v="1"/>
    <x v="2"/>
    <n v="0"/>
    <n v="29"/>
    <n v="27.984999999999999"/>
    <n v="0"/>
    <n v="3.5000000000000003E-2"/>
    <n v="1.0150000000000006"/>
    <n v="0.01"/>
    <n v="0.27984999999999971"/>
    <n v="0"/>
    <n v="27.70515"/>
    <x v="1"/>
    <s v=""/>
  </r>
  <r>
    <n v="954"/>
    <d v="2026-01-01T00:00:00"/>
    <d v="2026-01-06T00:00:00"/>
    <x v="4"/>
    <s v="STU-617"/>
    <s v="Returning Customer"/>
    <x v="1"/>
    <x v="4"/>
    <x v="0"/>
    <x v="0"/>
    <n v="59"/>
    <x v="1"/>
    <x v="4"/>
    <n v="20"/>
    <n v="-1121"/>
    <n v="-1081.7650000000001"/>
    <n v="0"/>
    <n v="3.5000000000000003E-2"/>
    <n v="-39.2349999999999"/>
    <n v="0.01"/>
    <n v="-10.817649999999958"/>
    <n v="0"/>
    <n v="-1070.9473500000001"/>
    <x v="2"/>
    <s v=""/>
  </r>
  <r>
    <n v="955"/>
    <d v="2026-04-03T00:00:00"/>
    <d v="2026-04-05T00:00:00"/>
    <x v="5"/>
    <s v="STU-782"/>
    <s v="New Customer"/>
    <x v="1"/>
    <x v="3"/>
    <x v="4"/>
    <x v="2"/>
    <n v="59"/>
    <x v="1"/>
    <x v="2"/>
    <n v="0"/>
    <n v="59"/>
    <n v="56.935000000000002"/>
    <n v="0"/>
    <n v="3.5000000000000003E-2"/>
    <n v="2.0649999999999977"/>
    <n v="0.01"/>
    <n v="0.56935000000000002"/>
    <n v="0"/>
    <n v="56.365650000000002"/>
    <x v="2"/>
    <s v=""/>
  </r>
  <r>
    <n v="956"/>
    <d v="2026-03-21T00:00:00"/>
    <d v="2026-03-23T00:00:00"/>
    <x v="0"/>
    <s v="STU-951"/>
    <s v="New Customer"/>
    <x v="0"/>
    <x v="6"/>
    <x v="0"/>
    <x v="0"/>
    <n v="59"/>
    <x v="1"/>
    <x v="1"/>
    <n v="0"/>
    <n v="59"/>
    <n v="59"/>
    <n v="0"/>
    <n v="0"/>
    <n v="0"/>
    <n v="0.01"/>
    <n v="0.59000000000000341"/>
    <n v="0"/>
    <n v="58.41"/>
    <x v="0"/>
    <s v=""/>
  </r>
  <r>
    <n v="957"/>
    <d v="2026-04-27T00:00:00"/>
    <d v="2026-04-30T00:00:00"/>
    <x v="5"/>
    <s v="STU-877"/>
    <s v="Returning Customer"/>
    <x v="0"/>
    <x v="3"/>
    <x v="6"/>
    <x v="2"/>
    <n v="29"/>
    <x v="1"/>
    <x v="2"/>
    <n v="0"/>
    <n v="29"/>
    <n v="27.984999999999999"/>
    <n v="0"/>
    <n v="3.5000000000000003E-2"/>
    <n v="1.0150000000000006"/>
    <n v="0.01"/>
    <n v="0.27984999999999971"/>
    <n v="0"/>
    <n v="27.70515"/>
    <x v="2"/>
    <s v=""/>
  </r>
  <r>
    <n v="958"/>
    <d v="2026-01-17T00:00:00"/>
    <d v="2026-01-18T00:00:00"/>
    <x v="4"/>
    <s v="STU-489"/>
    <s v="New Customer"/>
    <x v="2"/>
    <x v="7"/>
    <x v="3"/>
    <x v="3"/>
    <n v="59"/>
    <x v="0"/>
    <x v="1"/>
    <n v="0"/>
    <n v="59"/>
    <n v="59"/>
    <n v="58.41"/>
    <n v="0"/>
    <n v="0"/>
    <n v="0.01"/>
    <n v="0.59000000000000341"/>
    <n v="0"/>
    <n v="0"/>
    <x v="0"/>
    <s v=""/>
  </r>
  <r>
    <n v="959"/>
    <d v="2026-01-21T00:00:00"/>
    <d v="2026-01-25T00:00:00"/>
    <x v="4"/>
    <s v="STU-113"/>
    <s v="Returning Customer"/>
    <x v="0"/>
    <x v="1"/>
    <x v="0"/>
    <x v="0"/>
    <n v="59"/>
    <x v="1"/>
    <x v="4"/>
    <n v="0"/>
    <n v="59"/>
    <n v="56.935000000000002"/>
    <n v="0"/>
    <n v="3.5000000000000003E-2"/>
    <n v="2.0649999999999977"/>
    <n v="0.01"/>
    <n v="0.56935000000000002"/>
    <n v="0"/>
    <n v="56.365650000000002"/>
    <x v="0"/>
    <s v=""/>
  </r>
  <r>
    <n v="960"/>
    <d v="2026-05-03T00:00:00"/>
    <d v="2026-05-06T00:00:00"/>
    <x v="3"/>
    <s v="STU-828"/>
    <s v="New Customer"/>
    <x v="1"/>
    <x v="3"/>
    <x v="2"/>
    <x v="2"/>
    <n v="29"/>
    <x v="0"/>
    <x v="0"/>
    <n v="0"/>
    <n v="29"/>
    <n v="28.42"/>
    <n v="28.135800000000003"/>
    <n v="0.02"/>
    <n v="0.57999999999999829"/>
    <n v="0.01"/>
    <n v="0.28419999999999845"/>
    <n v="0"/>
    <n v="0"/>
    <x v="1"/>
    <s v=""/>
  </r>
  <r>
    <n v="961"/>
    <d v="2026-04-03T00:00:00"/>
    <d v="2026-04-03T00:00:00"/>
    <x v="5"/>
    <s v="STU-677"/>
    <s v="Returning Customer"/>
    <x v="2"/>
    <x v="0"/>
    <x v="0"/>
    <x v="0"/>
    <n v="59"/>
    <x v="1"/>
    <x v="4"/>
    <n v="0"/>
    <n v="59"/>
    <n v="56.935000000000002"/>
    <n v="0"/>
    <n v="3.5000000000000003E-2"/>
    <n v="2.0649999999999977"/>
    <n v="0.01"/>
    <n v="0.56935000000000002"/>
    <n v="0"/>
    <n v="56.365650000000002"/>
    <x v="2"/>
    <s v=""/>
  </r>
  <r>
    <n v="962"/>
    <d v="2026-07-11T00:00:00"/>
    <d v="2026-07-12T00:00:00"/>
    <x v="2"/>
    <s v="STU-169"/>
    <s v="Returning Customer"/>
    <x v="0"/>
    <x v="4"/>
    <x v="7"/>
    <x v="3"/>
    <n v="99"/>
    <x v="1"/>
    <x v="4"/>
    <n v="0"/>
    <n v="99"/>
    <n v="95.534999999999997"/>
    <n v="0"/>
    <n v="3.5000000000000003E-2"/>
    <n v="3.4650000000000034"/>
    <n v="0.01"/>
    <n v="0.9553499999999957"/>
    <n v="0"/>
    <n v="94.579650000000001"/>
    <x v="0"/>
    <s v=""/>
  </r>
  <r>
    <n v="963"/>
    <d v="2026-05-10T00:00:00"/>
    <d v="2026-05-13T00:00:00"/>
    <x v="3"/>
    <s v="STU-431"/>
    <s v="Returning Customer"/>
    <x v="1"/>
    <x v="4"/>
    <x v="4"/>
    <x v="2"/>
    <n v="59"/>
    <x v="0"/>
    <x v="2"/>
    <n v="0"/>
    <n v="59"/>
    <n v="56.935000000000002"/>
    <n v="56.365650000000002"/>
    <n v="3.5000000000000003E-2"/>
    <n v="2.0649999999999977"/>
    <n v="0.01"/>
    <n v="0.56935000000000002"/>
    <n v="0"/>
    <n v="0"/>
    <x v="2"/>
    <s v=""/>
  </r>
  <r>
    <n v="964"/>
    <d v="2026-05-27T00:00:00"/>
    <d v="2026-06-01T00:00:00"/>
    <x v="1"/>
    <s v="STU-688"/>
    <s v="Returning Customer"/>
    <x v="0"/>
    <x v="6"/>
    <x v="1"/>
    <x v="1"/>
    <n v="29"/>
    <x v="0"/>
    <x v="0"/>
    <n v="0"/>
    <n v="29"/>
    <n v="28.42"/>
    <n v="28.135800000000003"/>
    <n v="0.02"/>
    <n v="0.57999999999999829"/>
    <n v="0.01"/>
    <n v="0.28419999999999845"/>
    <n v="0"/>
    <n v="0"/>
    <x v="1"/>
    <s v=""/>
  </r>
  <r>
    <n v="965"/>
    <d v="2026-07-15T00:00:00"/>
    <d v="2026-07-15T00:00:00"/>
    <x v="2"/>
    <s v="STU-483"/>
    <s v="Returning Customer"/>
    <x v="1"/>
    <x v="0"/>
    <x v="4"/>
    <x v="2"/>
    <n v="59"/>
    <x v="0"/>
    <x v="3"/>
    <n v="0"/>
    <n v="59"/>
    <n v="57.82"/>
    <n v="57.241799999999998"/>
    <n v="0.02"/>
    <n v="1.1799999999999997"/>
    <n v="0.01"/>
    <n v="0.57820000000000249"/>
    <n v="0"/>
    <n v="0"/>
    <x v="0"/>
    <n v="10"/>
  </r>
  <r>
    <n v="966"/>
    <d v="2026-05-22T00:00:00"/>
    <d v="2026-05-24T00:00:00"/>
    <x v="3"/>
    <s v="STU-193"/>
    <s v="New Customer"/>
    <x v="0"/>
    <x v="0"/>
    <x v="2"/>
    <x v="2"/>
    <n v="29"/>
    <x v="0"/>
    <x v="3"/>
    <n v="0"/>
    <n v="29"/>
    <n v="28.42"/>
    <n v="28.135800000000003"/>
    <n v="0.02"/>
    <n v="0.57999999999999829"/>
    <n v="0.01"/>
    <n v="0.28419999999999845"/>
    <n v="0"/>
    <n v="0"/>
    <x v="2"/>
    <s v=""/>
  </r>
  <r>
    <n v="967"/>
    <d v="2026-02-11T00:00:00"/>
    <d v="2026-02-12T00:00:00"/>
    <x v="6"/>
    <s v="STU-507"/>
    <s v="New Customer"/>
    <x v="0"/>
    <x v="5"/>
    <x v="7"/>
    <x v="3"/>
    <n v="99"/>
    <x v="0"/>
    <x v="4"/>
    <n v="0"/>
    <n v="99"/>
    <n v="95.534999999999997"/>
    <n v="94.579650000000001"/>
    <n v="3.5000000000000003E-2"/>
    <n v="3.4650000000000034"/>
    <n v="0.01"/>
    <n v="0.9553499999999957"/>
    <n v="0"/>
    <n v="0"/>
    <x v="2"/>
    <s v=""/>
  </r>
  <r>
    <n v="968"/>
    <d v="2026-02-25T00:00:00"/>
    <d v="2026-02-27T00:00:00"/>
    <x v="6"/>
    <s v="STU-511"/>
    <s v="New Customer"/>
    <x v="2"/>
    <x v="6"/>
    <x v="0"/>
    <x v="0"/>
    <n v="59"/>
    <x v="1"/>
    <x v="3"/>
    <n v="0"/>
    <n v="59"/>
    <n v="57.82"/>
    <n v="0"/>
    <n v="0.02"/>
    <n v="1.1799999999999997"/>
    <n v="0.01"/>
    <n v="0.57820000000000249"/>
    <n v="0"/>
    <n v="57.241799999999998"/>
    <x v="1"/>
    <s v=""/>
  </r>
  <r>
    <n v="969"/>
    <d v="2026-04-11T00:00:00"/>
    <d v="2026-04-13T00:00:00"/>
    <x v="5"/>
    <s v="STU-556"/>
    <s v="New Customer"/>
    <x v="2"/>
    <x v="1"/>
    <x v="3"/>
    <x v="3"/>
    <n v="59"/>
    <x v="1"/>
    <x v="0"/>
    <n v="0"/>
    <n v="59"/>
    <n v="57.82"/>
    <n v="0"/>
    <n v="0.02"/>
    <n v="1.1799999999999997"/>
    <n v="0.01"/>
    <n v="0.57820000000000249"/>
    <n v="0"/>
    <n v="57.241799999999998"/>
    <x v="0"/>
    <s v=""/>
  </r>
  <r>
    <n v="970"/>
    <d v="2026-02-17T00:00:00"/>
    <d v="2026-02-21T00:00:00"/>
    <x v="6"/>
    <s v="STU-47"/>
    <s v="New Customer"/>
    <x v="0"/>
    <x v="1"/>
    <x v="0"/>
    <x v="0"/>
    <n v="59"/>
    <x v="0"/>
    <x v="1"/>
    <n v="0"/>
    <n v="59"/>
    <n v="59"/>
    <n v="58.41"/>
    <n v="0"/>
    <n v="0"/>
    <n v="0.01"/>
    <n v="0.59000000000000341"/>
    <n v="0"/>
    <n v="0"/>
    <x v="2"/>
    <s v=""/>
  </r>
  <r>
    <n v="971"/>
    <d v="2026-03-15T00:00:00"/>
    <d v="2026-03-20T00:00:00"/>
    <x v="0"/>
    <s v="STU-831"/>
    <s v="Returning Customer"/>
    <x v="0"/>
    <x v="2"/>
    <x v="0"/>
    <x v="0"/>
    <n v="59"/>
    <x v="1"/>
    <x v="2"/>
    <n v="0"/>
    <n v="59"/>
    <n v="56.935000000000002"/>
    <n v="0"/>
    <n v="3.5000000000000003E-2"/>
    <n v="2.0649999999999977"/>
    <n v="0.01"/>
    <n v="0.56935000000000002"/>
    <n v="0"/>
    <n v="56.365650000000002"/>
    <x v="2"/>
    <s v=""/>
  </r>
  <r>
    <n v="972"/>
    <d v="2026-01-24T00:00:00"/>
    <d v="2026-01-28T00:00:00"/>
    <x v="4"/>
    <s v="STU-625"/>
    <s v="New Customer"/>
    <x v="0"/>
    <x v="1"/>
    <x v="4"/>
    <x v="2"/>
    <n v="59"/>
    <x v="1"/>
    <x v="0"/>
    <n v="0"/>
    <n v="59"/>
    <n v="57.82"/>
    <n v="0"/>
    <n v="0.02"/>
    <n v="1.1799999999999997"/>
    <n v="0.01"/>
    <n v="0.57820000000000249"/>
    <n v="0"/>
    <n v="57.241799999999998"/>
    <x v="2"/>
    <s v=""/>
  </r>
  <r>
    <n v="973"/>
    <d v="2026-04-15T00:00:00"/>
    <d v="2026-04-20T00:00:00"/>
    <x v="5"/>
    <s v="STU-695"/>
    <s v="New Customer"/>
    <x v="2"/>
    <x v="3"/>
    <x v="4"/>
    <x v="2"/>
    <n v="59"/>
    <x v="1"/>
    <x v="1"/>
    <n v="0"/>
    <n v="59"/>
    <n v="59"/>
    <n v="0"/>
    <n v="0"/>
    <n v="0"/>
    <n v="0.01"/>
    <n v="0.59000000000000341"/>
    <n v="0"/>
    <n v="58.41"/>
    <x v="2"/>
    <s v=""/>
  </r>
  <r>
    <n v="974"/>
    <d v="2026-01-25T00:00:00"/>
    <d v="2026-01-28T00:00:00"/>
    <x v="4"/>
    <s v="STU-167"/>
    <s v="New Customer"/>
    <x v="1"/>
    <x v="4"/>
    <x v="5"/>
    <x v="2"/>
    <n v="29"/>
    <x v="2"/>
    <x v="2"/>
    <n v="0"/>
    <n v="29"/>
    <n v="27.984999999999999"/>
    <n v="0"/>
    <n v="3.5000000000000003E-2"/>
    <n v="1.0150000000000006"/>
    <n v="0.01"/>
    <n v="0.27984999999999971"/>
    <n v="27.70515"/>
    <n v="0"/>
    <x v="2"/>
    <s v=""/>
  </r>
  <r>
    <n v="975"/>
    <d v="2026-05-29T00:00:00"/>
    <d v="2026-06-02T00:00:00"/>
    <x v="1"/>
    <s v="STU-971"/>
    <s v="Returning Customer"/>
    <x v="2"/>
    <x v="3"/>
    <x v="1"/>
    <x v="1"/>
    <n v="29"/>
    <x v="1"/>
    <x v="3"/>
    <n v="0"/>
    <n v="29"/>
    <n v="28.42"/>
    <n v="0"/>
    <n v="0.02"/>
    <n v="0.57999999999999829"/>
    <n v="0.01"/>
    <n v="0.28419999999999845"/>
    <n v="0"/>
    <n v="28.135800000000003"/>
    <x v="0"/>
    <s v=""/>
  </r>
  <r>
    <n v="976"/>
    <d v="2026-02-26T00:00:00"/>
    <d v="2026-02-27T00:00:00"/>
    <x v="6"/>
    <s v="STU-258"/>
    <s v="Returning Customer"/>
    <x v="0"/>
    <x v="7"/>
    <x v="2"/>
    <x v="2"/>
    <n v="29"/>
    <x v="1"/>
    <x v="3"/>
    <n v="0"/>
    <n v="29"/>
    <n v="28.42"/>
    <n v="0"/>
    <n v="0.02"/>
    <n v="0.57999999999999829"/>
    <n v="0.01"/>
    <n v="0.28419999999999845"/>
    <n v="0"/>
    <n v="28.135800000000003"/>
    <x v="2"/>
    <s v=""/>
  </r>
  <r>
    <n v="977"/>
    <d v="2026-03-29T00:00:00"/>
    <d v="2026-03-30T00:00:00"/>
    <x v="0"/>
    <s v="STU-459"/>
    <s v="Returning Customer"/>
    <x v="1"/>
    <x v="7"/>
    <x v="4"/>
    <x v="2"/>
    <n v="59"/>
    <x v="0"/>
    <x v="2"/>
    <n v="0"/>
    <n v="59"/>
    <n v="56.935000000000002"/>
    <n v="56.365650000000002"/>
    <n v="3.5000000000000003E-2"/>
    <n v="2.0649999999999977"/>
    <n v="0.01"/>
    <n v="0.56935000000000002"/>
    <n v="0"/>
    <n v="0"/>
    <x v="1"/>
    <s v=""/>
  </r>
  <r>
    <n v="978"/>
    <d v="2026-01-21T00:00:00"/>
    <d v="2026-01-21T00:00:00"/>
    <x v="4"/>
    <s v="STU-31"/>
    <s v="New Customer"/>
    <x v="0"/>
    <x v="7"/>
    <x v="6"/>
    <x v="2"/>
    <n v="29"/>
    <x v="0"/>
    <x v="0"/>
    <n v="0"/>
    <n v="29"/>
    <n v="28.42"/>
    <n v="28.135800000000003"/>
    <n v="0.02"/>
    <n v="0.57999999999999829"/>
    <n v="0.01"/>
    <n v="0.28419999999999845"/>
    <n v="0"/>
    <n v="0"/>
    <x v="2"/>
    <s v=""/>
  </r>
  <r>
    <n v="979"/>
    <d v="2026-03-01T00:00:00"/>
    <d v="2026-03-02T00:00:00"/>
    <x v="0"/>
    <s v="STU-704"/>
    <s v="Returning Customer"/>
    <x v="1"/>
    <x v="7"/>
    <x v="4"/>
    <x v="2"/>
    <n v="59"/>
    <x v="2"/>
    <x v="4"/>
    <n v="0"/>
    <n v="59"/>
    <n v="56.935000000000002"/>
    <n v="0"/>
    <n v="3.5000000000000003E-2"/>
    <n v="2.0649999999999977"/>
    <n v="0.01"/>
    <n v="0.56935000000000002"/>
    <n v="56.365650000000002"/>
    <n v="0"/>
    <x v="2"/>
    <s v=""/>
  </r>
  <r>
    <n v="980"/>
    <d v="2026-01-14T00:00:00"/>
    <d v="2026-01-18T00:00:00"/>
    <x v="4"/>
    <s v="STU-997"/>
    <s v="Returning Customer"/>
    <x v="1"/>
    <x v="0"/>
    <x v="6"/>
    <x v="2"/>
    <n v="29"/>
    <x v="0"/>
    <x v="1"/>
    <n v="0"/>
    <n v="29"/>
    <n v="29"/>
    <n v="28.71"/>
    <n v="0"/>
    <n v="0"/>
    <n v="0.01"/>
    <n v="0.28999999999999915"/>
    <n v="0"/>
    <n v="0"/>
    <x v="1"/>
    <s v=""/>
  </r>
  <r>
    <n v="981"/>
    <d v="2026-05-02T00:00:00"/>
    <d v="2026-05-02T00:00:00"/>
    <x v="3"/>
    <s v="STU-884"/>
    <s v="Returning Customer"/>
    <x v="1"/>
    <x v="2"/>
    <x v="0"/>
    <x v="0"/>
    <n v="59"/>
    <x v="2"/>
    <x v="3"/>
    <n v="0"/>
    <n v="59"/>
    <n v="57.82"/>
    <n v="0"/>
    <n v="0.02"/>
    <n v="1.1799999999999997"/>
    <n v="0.01"/>
    <n v="0.57820000000000249"/>
    <n v="57.241799999999998"/>
    <n v="0"/>
    <x v="1"/>
    <s v=""/>
  </r>
  <r>
    <n v="982"/>
    <d v="2026-05-09T00:00:00"/>
    <d v="2026-05-10T00:00:00"/>
    <x v="3"/>
    <s v="STU-219"/>
    <s v="Returning Customer"/>
    <x v="0"/>
    <x v="5"/>
    <x v="0"/>
    <x v="0"/>
    <n v="59"/>
    <x v="1"/>
    <x v="1"/>
    <n v="0"/>
    <n v="59"/>
    <n v="59"/>
    <n v="0"/>
    <n v="0"/>
    <n v="0"/>
    <n v="0.01"/>
    <n v="0.59000000000000341"/>
    <n v="0"/>
    <n v="58.41"/>
    <x v="2"/>
    <s v=""/>
  </r>
  <r>
    <n v="983"/>
    <d v="2026-01-15T00:00:00"/>
    <d v="2026-01-17T00:00:00"/>
    <x v="4"/>
    <s v="STU-486"/>
    <s v="Returning Customer"/>
    <x v="2"/>
    <x v="2"/>
    <x v="5"/>
    <x v="2"/>
    <n v="29"/>
    <x v="1"/>
    <x v="1"/>
    <n v="0"/>
    <n v="29"/>
    <n v="29"/>
    <n v="0"/>
    <n v="0"/>
    <n v="0"/>
    <n v="0.01"/>
    <n v="0.28999999999999915"/>
    <n v="0"/>
    <n v="28.71"/>
    <x v="2"/>
    <s v=""/>
  </r>
  <r>
    <n v="984"/>
    <d v="2026-07-14T00:00:00"/>
    <d v="2026-07-15T00:00:00"/>
    <x v="2"/>
    <s v="STU-372"/>
    <s v="Returning Customer"/>
    <x v="2"/>
    <x v="0"/>
    <x v="7"/>
    <x v="3"/>
    <n v="99"/>
    <x v="1"/>
    <x v="3"/>
    <n v="0"/>
    <n v="99"/>
    <n v="97.02"/>
    <n v="0"/>
    <n v="0.02"/>
    <n v="1.980000000000004"/>
    <n v="0.01"/>
    <n v="0.9702000000000055"/>
    <n v="0"/>
    <n v="96.049799999999991"/>
    <x v="1"/>
    <s v=""/>
  </r>
  <r>
    <n v="985"/>
    <d v="2026-05-31T00:00:00"/>
    <d v="2026-06-02T00:00:00"/>
    <x v="1"/>
    <s v="STU-763"/>
    <s v="Returning Customer"/>
    <x v="1"/>
    <x v="5"/>
    <x v="4"/>
    <x v="2"/>
    <n v="59"/>
    <x v="0"/>
    <x v="4"/>
    <n v="0"/>
    <n v="59"/>
    <n v="56.935000000000002"/>
    <n v="56.365650000000002"/>
    <n v="3.5000000000000003E-2"/>
    <n v="2.0649999999999977"/>
    <n v="0.01"/>
    <n v="0.56935000000000002"/>
    <n v="0"/>
    <n v="0"/>
    <x v="0"/>
    <n v="10"/>
  </r>
  <r>
    <n v="986"/>
    <d v="2026-07-14T00:00:00"/>
    <d v="2026-07-17T00:00:00"/>
    <x v="2"/>
    <s v="STU-332"/>
    <s v="New Customer"/>
    <x v="2"/>
    <x v="2"/>
    <x v="2"/>
    <x v="2"/>
    <n v="29"/>
    <x v="0"/>
    <x v="0"/>
    <n v="0"/>
    <n v="29"/>
    <n v="28.42"/>
    <n v="28.135800000000003"/>
    <n v="0.02"/>
    <n v="0.57999999999999829"/>
    <n v="0.01"/>
    <n v="0.28419999999999845"/>
    <n v="0"/>
    <n v="0"/>
    <x v="1"/>
    <n v="10"/>
  </r>
  <r>
    <n v="987"/>
    <d v="2026-04-29T00:00:00"/>
    <d v="2026-05-01T00:00:00"/>
    <x v="3"/>
    <s v="STU-635"/>
    <s v="Returning Customer"/>
    <x v="1"/>
    <x v="7"/>
    <x v="7"/>
    <x v="3"/>
    <n v="99"/>
    <x v="1"/>
    <x v="0"/>
    <n v="0"/>
    <n v="99"/>
    <n v="97.02"/>
    <n v="0"/>
    <n v="0.02"/>
    <n v="1.980000000000004"/>
    <n v="0.01"/>
    <n v="0.9702000000000055"/>
    <n v="0"/>
    <n v="96.049799999999991"/>
    <x v="1"/>
    <n v="10"/>
  </r>
  <r>
    <n v="988"/>
    <d v="2026-06-05T00:00:00"/>
    <d v="2026-06-10T00:00:00"/>
    <x v="1"/>
    <s v="STU-546"/>
    <s v="New Customer"/>
    <x v="2"/>
    <x v="7"/>
    <x v="2"/>
    <x v="2"/>
    <n v="29"/>
    <x v="1"/>
    <x v="4"/>
    <n v="0"/>
    <n v="29"/>
    <n v="27.984999999999999"/>
    <n v="0"/>
    <n v="3.5000000000000003E-2"/>
    <n v="1.0150000000000006"/>
    <n v="0.01"/>
    <n v="0.27984999999999971"/>
    <n v="0"/>
    <n v="27.70515"/>
    <x v="1"/>
    <s v=""/>
  </r>
  <r>
    <n v="989"/>
    <d v="2026-04-23T00:00:00"/>
    <d v="2026-04-28T00:00:00"/>
    <x v="5"/>
    <s v="STU-752"/>
    <s v="Returning Customer"/>
    <x v="2"/>
    <x v="2"/>
    <x v="7"/>
    <x v="3"/>
    <n v="99"/>
    <x v="1"/>
    <x v="4"/>
    <n v="0"/>
    <n v="99"/>
    <n v="95.534999999999997"/>
    <n v="0"/>
    <n v="3.5000000000000003E-2"/>
    <n v="3.4650000000000034"/>
    <n v="0.01"/>
    <n v="0.9553499999999957"/>
    <n v="0"/>
    <n v="94.579650000000001"/>
    <x v="1"/>
    <s v=""/>
  </r>
  <r>
    <n v="990"/>
    <d v="2026-07-07T00:00:00"/>
    <d v="2026-07-12T00:00:00"/>
    <x v="2"/>
    <s v="STU-899"/>
    <s v="New Customer"/>
    <x v="1"/>
    <x v="6"/>
    <x v="5"/>
    <x v="2"/>
    <n v="29"/>
    <x v="1"/>
    <x v="1"/>
    <n v="0"/>
    <n v="29"/>
    <n v="29"/>
    <n v="0"/>
    <n v="0"/>
    <n v="0"/>
    <n v="0.01"/>
    <n v="0.28999999999999915"/>
    <n v="0"/>
    <n v="28.71"/>
    <x v="2"/>
    <s v=""/>
  </r>
  <r>
    <n v="991"/>
    <d v="2026-03-06T00:00:00"/>
    <d v="2026-03-11T00:00:00"/>
    <x v="0"/>
    <s v="STU-107"/>
    <s v="New Customer"/>
    <x v="2"/>
    <x v="7"/>
    <x v="1"/>
    <x v="1"/>
    <n v="29"/>
    <x v="0"/>
    <x v="1"/>
    <n v="0"/>
    <n v="29"/>
    <n v="29"/>
    <n v="28.71"/>
    <n v="0"/>
    <n v="0"/>
    <n v="0.01"/>
    <n v="0.28999999999999915"/>
    <n v="0"/>
    <n v="0"/>
    <x v="0"/>
    <s v=""/>
  </r>
  <r>
    <n v="992"/>
    <d v="2026-03-05T00:00:00"/>
    <d v="2026-03-10T00:00:00"/>
    <x v="0"/>
    <s v="STU-871"/>
    <s v="Returning Customer"/>
    <x v="1"/>
    <x v="4"/>
    <x v="4"/>
    <x v="2"/>
    <n v="59"/>
    <x v="1"/>
    <x v="0"/>
    <n v="0"/>
    <n v="59"/>
    <n v="57.82"/>
    <n v="0"/>
    <n v="0.02"/>
    <n v="1.1799999999999997"/>
    <n v="0.01"/>
    <n v="0.57820000000000249"/>
    <n v="0"/>
    <n v="57.241799999999998"/>
    <x v="1"/>
    <s v=""/>
  </r>
  <r>
    <n v="993"/>
    <d v="2026-04-10T00:00:00"/>
    <d v="2026-04-13T00:00:00"/>
    <x v="5"/>
    <s v="STU-685"/>
    <s v="Returning Customer"/>
    <x v="0"/>
    <x v="1"/>
    <x v="2"/>
    <x v="2"/>
    <n v="29"/>
    <x v="1"/>
    <x v="3"/>
    <n v="0"/>
    <n v="29"/>
    <n v="28.42"/>
    <n v="0"/>
    <n v="0.02"/>
    <n v="0.57999999999999829"/>
    <n v="0.01"/>
    <n v="0.28419999999999845"/>
    <n v="0"/>
    <n v="28.135800000000003"/>
    <x v="0"/>
    <s v=""/>
  </r>
  <r>
    <n v="994"/>
    <d v="2026-05-23T00:00:00"/>
    <d v="2026-05-26T00:00:00"/>
    <x v="3"/>
    <s v="STU-836"/>
    <s v="Returning Customer"/>
    <x v="2"/>
    <x v="1"/>
    <x v="3"/>
    <x v="3"/>
    <n v="59"/>
    <x v="0"/>
    <x v="3"/>
    <n v="0"/>
    <n v="59"/>
    <n v="57.82"/>
    <n v="57.241799999999998"/>
    <n v="0.02"/>
    <n v="1.1799999999999997"/>
    <n v="0.01"/>
    <n v="0.57820000000000249"/>
    <n v="0"/>
    <n v="0"/>
    <x v="0"/>
    <s v=""/>
  </r>
  <r>
    <n v="995"/>
    <d v="2026-06-15T00:00:00"/>
    <d v="2026-06-19T00:00:00"/>
    <x v="1"/>
    <s v="STU-164"/>
    <s v="Returning Customer"/>
    <x v="2"/>
    <x v="4"/>
    <x v="5"/>
    <x v="2"/>
    <n v="29"/>
    <x v="1"/>
    <x v="0"/>
    <n v="0"/>
    <n v="29"/>
    <n v="28.42"/>
    <n v="0"/>
    <n v="0.02"/>
    <n v="0.57999999999999829"/>
    <n v="0.01"/>
    <n v="0.28419999999999845"/>
    <n v="0"/>
    <n v="28.135800000000003"/>
    <x v="0"/>
    <s v=""/>
  </r>
  <r>
    <n v="996"/>
    <d v="2026-03-04T00:00:00"/>
    <d v="2026-03-09T00:00:00"/>
    <x v="0"/>
    <s v="STU-304"/>
    <s v="New Customer"/>
    <x v="2"/>
    <x v="0"/>
    <x v="6"/>
    <x v="2"/>
    <n v="29"/>
    <x v="0"/>
    <x v="0"/>
    <n v="0"/>
    <n v="29"/>
    <n v="28.42"/>
    <n v="28.135800000000003"/>
    <n v="0.02"/>
    <n v="0.57999999999999829"/>
    <n v="0.01"/>
    <n v="0.28419999999999845"/>
    <n v="0"/>
    <n v="0"/>
    <x v="0"/>
    <s v=""/>
  </r>
  <r>
    <n v="997"/>
    <d v="2026-06-29T00:00:00"/>
    <d v="2026-07-03T00:00:00"/>
    <x v="2"/>
    <s v="STU-436"/>
    <s v="Returning Customer"/>
    <x v="1"/>
    <x v="4"/>
    <x v="0"/>
    <x v="0"/>
    <n v="59"/>
    <x v="1"/>
    <x v="0"/>
    <n v="0"/>
    <n v="59"/>
    <n v="57.82"/>
    <n v="0"/>
    <n v="0.02"/>
    <n v="1.1799999999999997"/>
    <n v="0.01"/>
    <n v="0.57820000000000249"/>
    <n v="0"/>
    <n v="57.241799999999998"/>
    <x v="2"/>
    <s v=""/>
  </r>
  <r>
    <n v="998"/>
    <d v="2026-03-16T00:00:00"/>
    <d v="2026-03-16T00:00:00"/>
    <x v="0"/>
    <s v="STU-458"/>
    <s v="New Customer"/>
    <x v="1"/>
    <x v="0"/>
    <x v="5"/>
    <x v="2"/>
    <n v="29"/>
    <x v="2"/>
    <x v="3"/>
    <n v="0"/>
    <n v="29"/>
    <n v="28.42"/>
    <n v="0"/>
    <n v="0.02"/>
    <n v="0.57999999999999829"/>
    <n v="0.01"/>
    <n v="0.28419999999999845"/>
    <n v="28.135800000000003"/>
    <n v="0"/>
    <x v="1"/>
    <s v=""/>
  </r>
  <r>
    <n v="999"/>
    <d v="2026-07-19T00:00:00"/>
    <d v="2026-07-24T00:00:00"/>
    <x v="2"/>
    <s v="STU-257"/>
    <s v="Returning Customer"/>
    <x v="0"/>
    <x v="4"/>
    <x v="4"/>
    <x v="2"/>
    <n v="59"/>
    <x v="1"/>
    <x v="0"/>
    <n v="0"/>
    <n v="59"/>
    <n v="57.82"/>
    <n v="0"/>
    <n v="0.02"/>
    <n v="1.1799999999999997"/>
    <n v="0.01"/>
    <n v="0.57820000000000249"/>
    <n v="0"/>
    <n v="57.241799999999998"/>
    <x v="0"/>
    <s v=""/>
  </r>
  <r>
    <n v="1000"/>
    <d v="2026-03-23T00:00:00"/>
    <d v="2026-03-23T00:00:00"/>
    <x v="0"/>
    <s v="STU-355"/>
    <s v="New Customer"/>
    <x v="2"/>
    <x v="1"/>
    <x v="3"/>
    <x v="3"/>
    <n v="59"/>
    <x v="1"/>
    <x v="2"/>
    <n v="0"/>
    <n v="59"/>
    <n v="56.935000000000002"/>
    <n v="0"/>
    <n v="3.5000000000000003E-2"/>
    <n v="2.0649999999999977"/>
    <n v="0.01"/>
    <n v="0.56935000000000002"/>
    <n v="0"/>
    <n v="56.365650000000002"/>
    <x v="0"/>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D36AC6-C5B1-4621-B4B6-0C337076EB8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9:E37" firstHeaderRow="1" firstDataRow="1" firstDataCol="1"/>
  <pivotFields count="25">
    <pivotField showAll="0"/>
    <pivotField numFmtId="14" showAll="0"/>
    <pivotField numFmtId="14" showAll="0"/>
    <pivotField axis="axisRow" showAll="0">
      <items count="8">
        <item x="4"/>
        <item x="6"/>
        <item x="0"/>
        <item x="5"/>
        <item x="3"/>
        <item x="1"/>
        <item x="2"/>
        <item t="default"/>
      </items>
    </pivotField>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numFmtId="164" showAll="0"/>
    <pivotField numFmtId="164" showAll="0"/>
    <pivotField numFmtId="165" showAll="0"/>
    <pivotField numFmtId="164" showAll="0"/>
    <pivotField numFmtId="165" showAll="0"/>
    <pivotField numFmtId="164" showAll="0"/>
    <pivotField dataField="1" numFmtId="164" showAll="0"/>
    <pivotField numFmtId="164" showAll="0"/>
    <pivotField showAll="0">
      <items count="4">
        <item x="2"/>
        <item x="1"/>
        <item x="0"/>
        <item t="default"/>
      </items>
    </pivotField>
    <pivotField showAll="0"/>
  </pivotFields>
  <rowFields count="1">
    <field x="3"/>
  </rowFields>
  <rowItems count="8">
    <i>
      <x/>
    </i>
    <i>
      <x v="1"/>
    </i>
    <i>
      <x v="2"/>
    </i>
    <i>
      <x v="3"/>
    </i>
    <i>
      <x v="4"/>
    </i>
    <i>
      <x v="5"/>
    </i>
    <i>
      <x v="6"/>
    </i>
    <i t="grand">
      <x/>
    </i>
  </rowItems>
  <colItems count="1">
    <i/>
  </colItems>
  <dataFields count="1">
    <dataField name="Sum of Refund Amount"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9CF3C-BBCC-4519-AE34-A423D14455F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E27" firstHeaderRow="1" firstDataRow="1" firstDataCol="1"/>
  <pivotFields count="25">
    <pivotField showAll="0"/>
    <pivotField numFmtId="14" showAll="0"/>
    <pivotField numFmtId="14" showAll="0"/>
    <pivotField showAll="0"/>
    <pivotField showAll="0"/>
    <pivotField showAll="0"/>
    <pivotField showAll="0"/>
    <pivotField showAll="0">
      <items count="9">
        <item x="1"/>
        <item x="0"/>
        <item x="2"/>
        <item x="3"/>
        <item x="4"/>
        <item x="7"/>
        <item x="5"/>
        <item x="6"/>
        <item t="default"/>
      </items>
    </pivotField>
    <pivotField axis="axisRow" showAll="0" sortType="descending">
      <items count="9">
        <item x="1"/>
        <item x="4"/>
        <item x="6"/>
        <item x="2"/>
        <item x="3"/>
        <item x="5"/>
        <item x="7"/>
        <item x="0"/>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numFmtId="164" showAll="0"/>
    <pivotField numFmtId="164" showAll="0"/>
    <pivotField numFmtId="165" showAll="0"/>
    <pivotField numFmtId="164" showAll="0"/>
    <pivotField numFmtId="165" showAll="0"/>
    <pivotField numFmtId="164" showAll="0"/>
    <pivotField numFmtId="164" showAll="0"/>
    <pivotField dataField="1" numFmtId="164" showAll="0"/>
    <pivotField showAll="0">
      <items count="4">
        <item x="2"/>
        <item x="1"/>
        <item x="0"/>
        <item t="default"/>
      </items>
    </pivotField>
    <pivotField showAll="0"/>
  </pivotFields>
  <rowFields count="1">
    <field x="8"/>
  </rowFields>
  <rowItems count="9">
    <i>
      <x v="6"/>
    </i>
    <i>
      <x/>
    </i>
    <i>
      <x v="4"/>
    </i>
    <i>
      <x v="7"/>
    </i>
    <i>
      <x v="5"/>
    </i>
    <i>
      <x v="1"/>
    </i>
    <i>
      <x v="3"/>
    </i>
    <i>
      <x v="2"/>
    </i>
    <i t="grand">
      <x/>
    </i>
  </rowItems>
  <colItems count="1">
    <i/>
  </colItems>
  <dataFields count="1">
    <dataField name="Sum of Net Revenue" fld="2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857139-8082-40C9-B27C-162CA1E7EC2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7" firstHeaderRow="1" firstDataRow="1" firstDataCol="1"/>
  <pivotFields count="25">
    <pivotField showAll="0"/>
    <pivotField numFmtId="14" showAll="0"/>
    <pivotField numFmtId="14" showAll="0"/>
    <pivotField axis="axisRow" showAll="0">
      <items count="8">
        <item x="4"/>
        <item x="6"/>
        <item x="0"/>
        <item x="5"/>
        <item x="3"/>
        <item x="1"/>
        <item x="2"/>
        <item t="default"/>
      </items>
    </pivotField>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numFmtId="164" showAll="0"/>
    <pivotField dataField="1" numFmtId="164" showAll="0"/>
    <pivotField numFmtId="165" showAll="0"/>
    <pivotField numFmtId="164" showAll="0"/>
    <pivotField numFmtId="165" showAll="0"/>
    <pivotField numFmtId="164" showAll="0"/>
    <pivotField numFmtId="164" showAll="0"/>
    <pivotField numFmtId="164" showAll="0"/>
    <pivotField showAll="0">
      <items count="4">
        <item x="2"/>
        <item x="1"/>
        <item x="0"/>
        <item t="default"/>
      </items>
    </pivotField>
    <pivotField showAll="0"/>
  </pivotFields>
  <rowFields count="1">
    <field x="3"/>
  </rowFields>
  <rowItems count="8">
    <i>
      <x/>
    </i>
    <i>
      <x v="1"/>
    </i>
    <i>
      <x v="2"/>
    </i>
    <i>
      <x v="3"/>
    </i>
    <i>
      <x v="4"/>
    </i>
    <i>
      <x v="5"/>
    </i>
    <i>
      <x v="6"/>
    </i>
    <i t="grand">
      <x/>
    </i>
  </rowItems>
  <colItems count="1">
    <i/>
  </colItems>
  <dataFields count="1">
    <dataField name="Sum of Expected Revenue"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730B4E-40E3-493C-9813-66C174E57128}"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3:H39" firstHeaderRow="1" firstDataRow="1" firstDataCol="1"/>
  <pivotFields count="25">
    <pivotField dataField="1" showAll="0"/>
    <pivotField numFmtId="14" showAll="0"/>
    <pivotField numFmtId="14" showAll="0"/>
    <pivotField showAll="0"/>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axis="axisRow" showAll="0">
      <items count="6">
        <item x="1"/>
        <item x="4"/>
        <item x="3"/>
        <item x="2"/>
        <item x="0"/>
        <item t="default"/>
      </items>
    </pivotField>
    <pivotField numFmtId="164" showAll="0"/>
    <pivotField numFmtId="164" showAll="0"/>
    <pivotField numFmtId="164" showAll="0"/>
    <pivotField numFmtId="164" showAll="0"/>
    <pivotField numFmtId="165" showAll="0"/>
    <pivotField numFmtId="164" showAll="0"/>
    <pivotField numFmtId="165" showAll="0"/>
    <pivotField numFmtId="164" showAll="0"/>
    <pivotField numFmtId="164" showAll="0"/>
    <pivotField numFmtId="164" showAll="0"/>
    <pivotField showAll="0">
      <items count="4">
        <item x="2"/>
        <item x="1"/>
        <item x="0"/>
        <item t="default"/>
      </items>
    </pivotField>
    <pivotField showAll="0"/>
  </pivotFields>
  <rowFields count="1">
    <field x="12"/>
  </rowFields>
  <rowItems count="6">
    <i>
      <x/>
    </i>
    <i>
      <x v="1"/>
    </i>
    <i>
      <x v="2"/>
    </i>
    <i>
      <x v="3"/>
    </i>
    <i>
      <x v="4"/>
    </i>
    <i t="grand">
      <x/>
    </i>
  </rowItems>
  <colItems count="1">
    <i/>
  </colItems>
  <dataFields count="1">
    <dataField name="Count of Sales ID" fld="0" subtotal="count" baseField="11"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2" count="1" selected="0">
            <x v="0"/>
          </reference>
        </references>
      </pivotArea>
    </chartFormat>
    <chartFormat chart="9" format="9">
      <pivotArea type="data" outline="0" fieldPosition="0">
        <references count="2">
          <reference field="4294967294" count="1" selected="0">
            <x v="0"/>
          </reference>
          <reference field="12" count="1" selected="0">
            <x v="1"/>
          </reference>
        </references>
      </pivotArea>
    </chartFormat>
    <chartFormat chart="9" format="10">
      <pivotArea type="data" outline="0" fieldPosition="0">
        <references count="2">
          <reference field="4294967294" count="1" selected="0">
            <x v="0"/>
          </reference>
          <reference field="12" count="1" selected="0">
            <x v="2"/>
          </reference>
        </references>
      </pivotArea>
    </chartFormat>
    <chartFormat chart="9" format="11">
      <pivotArea type="data" outline="0" fieldPosition="0">
        <references count="2">
          <reference field="4294967294" count="1" selected="0">
            <x v="0"/>
          </reference>
          <reference field="12" count="1" selected="0">
            <x v="3"/>
          </reference>
        </references>
      </pivotArea>
    </chartFormat>
    <chartFormat chart="9"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438169-157B-431F-BA58-A7F6FE185A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5">
    <pivotField showAll="0"/>
    <pivotField numFmtId="14" showAll="0"/>
    <pivotField numFmtId="14" showAll="0"/>
    <pivotField showAll="0"/>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numFmtId="164" showAll="0"/>
    <pivotField numFmtId="164" showAll="0"/>
    <pivotField numFmtId="165" showAll="0"/>
    <pivotField numFmtId="164" showAll="0"/>
    <pivotField numFmtId="165" showAll="0"/>
    <pivotField numFmtId="164" showAll="0"/>
    <pivotField numFmtId="164" showAll="0"/>
    <pivotField dataField="1" numFmtId="164" showAll="0"/>
    <pivotField showAll="0">
      <items count="4">
        <item x="2"/>
        <item x="1"/>
        <item x="0"/>
        <item t="default"/>
      </items>
    </pivotField>
    <pivotField showAll="0"/>
  </pivotFields>
  <rowItems count="1">
    <i/>
  </rowItems>
  <colItems count="1">
    <i/>
  </colItems>
  <dataFields count="1">
    <dataField name="Sum of Net Revenue" fld="2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A7A737-9A83-49FB-8EFD-6B0EEC37DBC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7:H31" firstHeaderRow="1" firstDataRow="1" firstDataCol="1"/>
  <pivotFields count="25">
    <pivotField dataField="1" showAll="0"/>
    <pivotField numFmtId="14" showAll="0"/>
    <pivotField numFmtId="14" showAll="0"/>
    <pivotField showAll="0"/>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axis="axisRow" showAll="0">
      <items count="4">
        <item x="1"/>
        <item x="0"/>
        <item x="2"/>
        <item t="default"/>
      </items>
    </pivotField>
    <pivotField showAll="0"/>
    <pivotField numFmtId="164" showAll="0"/>
    <pivotField numFmtId="164" showAll="0"/>
    <pivotField numFmtId="164" showAll="0"/>
    <pivotField numFmtId="164" showAll="0"/>
    <pivotField numFmtId="165" showAll="0"/>
    <pivotField numFmtId="164" showAll="0"/>
    <pivotField numFmtId="165" showAll="0"/>
    <pivotField numFmtId="164" showAll="0"/>
    <pivotField numFmtId="164" showAll="0"/>
    <pivotField numFmtId="164" showAll="0"/>
    <pivotField showAll="0">
      <items count="4">
        <item x="2"/>
        <item x="1"/>
        <item x="0"/>
        <item t="default"/>
      </items>
    </pivotField>
    <pivotField showAll="0"/>
  </pivotFields>
  <rowFields count="1">
    <field x="11"/>
  </rowFields>
  <rowItems count="4">
    <i>
      <x/>
    </i>
    <i>
      <x v="1"/>
    </i>
    <i>
      <x v="2"/>
    </i>
    <i t="grand">
      <x/>
    </i>
  </rowItems>
  <colItems count="1">
    <i/>
  </colItems>
  <dataFields count="1">
    <dataField name="Count of Sales ID" fld="0" subtotal="count" baseField="11"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84ACD3-D704-4F81-8DCD-CDD151FD05C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25">
    <pivotField showAll="0"/>
    <pivotField numFmtId="14" showAll="0"/>
    <pivotField numFmtId="14" showAll="0"/>
    <pivotField showAll="0"/>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dataField="1" numFmtId="164" showAll="0"/>
    <pivotField numFmtId="164" showAll="0"/>
    <pivotField numFmtId="165" showAll="0"/>
    <pivotField numFmtId="164" showAll="0"/>
    <pivotField numFmtId="165" showAll="0"/>
    <pivotField numFmtId="164" showAll="0"/>
    <pivotField numFmtId="164" showAll="0"/>
    <pivotField numFmtId="164" showAll="0"/>
    <pivotField showAll="0">
      <items count="4">
        <item x="2"/>
        <item x="1"/>
        <item x="0"/>
        <item t="default"/>
      </items>
    </pivotField>
    <pivotField showAll="0"/>
  </pivotFields>
  <rowItems count="1">
    <i/>
  </rowItems>
  <colItems count="1">
    <i/>
  </colItems>
  <dataFields count="1">
    <dataField name="Sum of Total Sales"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D5DC31-907B-448D-B402-2ECBD0DEBF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8" firstHeaderRow="1" firstDataRow="1" firstDataCol="1"/>
  <pivotFields count="25">
    <pivotField showAll="0"/>
    <pivotField numFmtId="14" showAll="0"/>
    <pivotField numFmtId="14" showAll="0"/>
    <pivotField showAll="0"/>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axis="axisRow"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numFmtId="164" showAll="0"/>
    <pivotField numFmtId="164" showAll="0"/>
    <pivotField numFmtId="165" showAll="0"/>
    <pivotField numFmtId="164" showAll="0"/>
    <pivotField numFmtId="165" showAll="0"/>
    <pivotField numFmtId="164" showAll="0"/>
    <pivotField numFmtId="164" showAll="0"/>
    <pivotField dataField="1" numFmtId="164" showAll="0"/>
    <pivotField showAll="0">
      <items count="4">
        <item x="2"/>
        <item x="1"/>
        <item x="0"/>
        <item t="default"/>
      </items>
    </pivotField>
    <pivotField showAll="0"/>
  </pivotFields>
  <rowFields count="1">
    <field x="9"/>
  </rowFields>
  <rowItems count="5">
    <i>
      <x/>
    </i>
    <i>
      <x v="1"/>
    </i>
    <i>
      <x v="2"/>
    </i>
    <i>
      <x v="3"/>
    </i>
    <i t="grand">
      <x/>
    </i>
  </rowItems>
  <colItems count="1">
    <i/>
  </colItems>
  <dataFields count="1">
    <dataField name="Sum of Net Revenue" fld="22"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DA368D-B5CC-4424-A5EF-A1ACD56B81B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5">
    <pivotField showAll="0"/>
    <pivotField numFmtId="14" showAll="0"/>
    <pivotField numFmtId="14" showAll="0"/>
    <pivotField showAll="0"/>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numFmtId="164" showAll="0"/>
    <pivotField numFmtId="164" showAll="0"/>
    <pivotField numFmtId="165" showAll="0"/>
    <pivotField numFmtId="164" showAll="0"/>
    <pivotField numFmtId="165" showAll="0"/>
    <pivotField numFmtId="164" showAll="0"/>
    <pivotField dataField="1" numFmtId="164" showAll="0"/>
    <pivotField numFmtId="164" showAll="0"/>
    <pivotField showAll="0">
      <items count="4">
        <item x="2"/>
        <item x="1"/>
        <item x="0"/>
        <item t="default"/>
      </items>
    </pivotField>
    <pivotField showAll="0"/>
  </pivotFields>
  <rowItems count="1">
    <i/>
  </rowItems>
  <colItems count="1">
    <i/>
  </colItems>
  <dataFields count="1">
    <dataField name="Sum of Refund Amount"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6D96B1-CB11-4696-ABA3-7D90066EA05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7:J18" firstHeaderRow="1" firstDataRow="1" firstDataCol="0"/>
  <pivotFields count="25">
    <pivotField dataField="1" showAll="0"/>
    <pivotField numFmtId="14" showAll="0"/>
    <pivotField numFmtId="14" showAll="0"/>
    <pivotField showAll="0"/>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numFmtId="164" showAll="0"/>
    <pivotField numFmtId="164" showAll="0"/>
    <pivotField numFmtId="165" showAll="0"/>
    <pivotField numFmtId="164" showAll="0"/>
    <pivotField numFmtId="165" showAll="0"/>
    <pivotField numFmtId="164" showAll="0"/>
    <pivotField numFmtId="164" showAll="0"/>
    <pivotField numFmtId="164" showAll="0"/>
    <pivotField showAll="0">
      <items count="4">
        <item x="2"/>
        <item x="1"/>
        <item x="0"/>
        <item t="default"/>
      </items>
    </pivotField>
    <pivotField showAll="0"/>
  </pivotFields>
  <rowItems count="1">
    <i/>
  </rowItems>
  <colItems count="1">
    <i/>
  </colItems>
  <dataFields count="1">
    <dataField name="Count of Sales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C92BFD-17CD-4C12-8F2A-CA2688A1D3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B26" firstHeaderRow="1" firstDataRow="1" firstDataCol="1"/>
  <pivotFields count="25">
    <pivotField showAll="0"/>
    <pivotField numFmtId="14" showAll="0"/>
    <pivotField numFmtId="14" showAll="0"/>
    <pivotField axis="axisRow" showAll="0">
      <items count="8">
        <item x="4"/>
        <item x="6"/>
        <item x="0"/>
        <item x="5"/>
        <item x="3"/>
        <item x="1"/>
        <item x="2"/>
        <item t="default"/>
      </items>
    </pivotField>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numFmtId="164" showAll="0"/>
    <pivotField numFmtId="164" showAll="0"/>
    <pivotField numFmtId="165" showAll="0"/>
    <pivotField numFmtId="164" showAll="0"/>
    <pivotField numFmtId="165" showAll="0"/>
    <pivotField numFmtId="164" showAll="0"/>
    <pivotField numFmtId="164" showAll="0"/>
    <pivotField dataField="1" numFmtId="164" showAll="0"/>
    <pivotField showAll="0">
      <items count="4">
        <item x="2"/>
        <item x="1"/>
        <item x="0"/>
        <item t="default"/>
      </items>
    </pivotField>
    <pivotField showAll="0"/>
  </pivotFields>
  <rowFields count="1">
    <field x="3"/>
  </rowFields>
  <rowItems count="8">
    <i>
      <x/>
    </i>
    <i>
      <x v="1"/>
    </i>
    <i>
      <x v="2"/>
    </i>
    <i>
      <x v="3"/>
    </i>
    <i>
      <x v="4"/>
    </i>
    <i>
      <x v="5"/>
    </i>
    <i>
      <x v="6"/>
    </i>
    <i t="grand">
      <x/>
    </i>
  </rowItems>
  <colItems count="1">
    <i/>
  </colItems>
  <dataFields count="1">
    <dataField name="Sum of Net Revenue" fld="22"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05B274-F92D-4952-A19B-94078F3334C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5">
    <pivotField showAll="0"/>
    <pivotField numFmtId="14" showAll="0"/>
    <pivotField numFmtId="14" showAll="0"/>
    <pivotField showAll="0"/>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numFmtId="164" showAll="0"/>
    <pivotField dataField="1" numFmtId="164" showAll="0"/>
    <pivotField numFmtId="165" showAll="0"/>
    <pivotField numFmtId="164" showAll="0"/>
    <pivotField numFmtId="165" showAll="0"/>
    <pivotField numFmtId="164" showAll="0"/>
    <pivotField numFmtId="164" showAll="0"/>
    <pivotField numFmtId="164" showAll="0"/>
    <pivotField showAll="0">
      <items count="4">
        <item x="2"/>
        <item x="1"/>
        <item x="0"/>
        <item t="default"/>
      </items>
    </pivotField>
    <pivotField showAll="0"/>
  </pivotFields>
  <rowItems count="1">
    <i/>
  </rowItems>
  <colItems count="1">
    <i/>
  </colItems>
  <dataFields count="1">
    <dataField name="Sum of Expected Revenue"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A18672-9352-4311-A470-41475904F6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5">
    <pivotField showAll="0"/>
    <pivotField numFmtId="14" showAll="0"/>
    <pivotField numFmtId="14" showAll="0"/>
    <pivotField showAll="0"/>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numFmtId="164" showAll="0"/>
    <pivotField numFmtId="164" showAll="0"/>
    <pivotField numFmtId="165" showAll="0"/>
    <pivotField numFmtId="164" showAll="0"/>
    <pivotField numFmtId="165" showAll="0"/>
    <pivotField numFmtId="164" showAll="0"/>
    <pivotField dataField="1" numFmtId="164" showAll="0"/>
    <pivotField numFmtId="164" showAll="0"/>
    <pivotField showAll="0">
      <items count="4">
        <item x="2"/>
        <item x="1"/>
        <item x="0"/>
        <item t="default"/>
      </items>
    </pivotField>
    <pivotField showAll="0"/>
  </pivotFields>
  <rowItems count="1">
    <i/>
  </rowItems>
  <colItems count="1">
    <i/>
  </colItems>
  <dataFields count="1">
    <dataField name="Sum of Refund Amount"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A4325F8-6819-4CC1-A53E-91D9C82FFE2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5">
    <pivotField showAll="0"/>
    <pivotField numFmtId="14" showAll="0"/>
    <pivotField numFmtId="14" showAll="0"/>
    <pivotField showAll="0"/>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dataField="1" numFmtId="164" showAll="0"/>
    <pivotField numFmtId="164" showAll="0"/>
    <pivotField numFmtId="165" showAll="0"/>
    <pivotField numFmtId="164" showAll="0"/>
    <pivotField numFmtId="165" showAll="0"/>
    <pivotField numFmtId="164" showAll="0"/>
    <pivotField numFmtId="164" showAll="0"/>
    <pivotField numFmtId="164" showAll="0"/>
    <pivotField showAll="0">
      <items count="4">
        <item x="2"/>
        <item x="1"/>
        <item x="0"/>
        <item t="default"/>
      </items>
    </pivotField>
    <pivotField showAll="0"/>
  </pivotFields>
  <rowItems count="1">
    <i/>
  </rowItems>
  <colItems count="1">
    <i/>
  </colItems>
  <dataFields count="1">
    <dataField name="Sum of Total Sales"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1A4BF8D-29FD-4C4C-812D-054345E5334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J3:N12" firstHeaderRow="1" firstDataRow="2" firstDataCol="1"/>
  <pivotFields count="25">
    <pivotField showAll="0"/>
    <pivotField numFmtId="14" showAll="0"/>
    <pivotField numFmtId="14" showAll="0"/>
    <pivotField axis="axisRow" showAll="0">
      <items count="8">
        <item x="4"/>
        <item x="6"/>
        <item x="0"/>
        <item x="5"/>
        <item x="3"/>
        <item x="1"/>
        <item x="2"/>
        <item t="default"/>
      </items>
    </pivotField>
    <pivotField dataField="1" showAll="0"/>
    <pivotField showAll="0"/>
    <pivotField axis="axisCol" showAll="0">
      <items count="4">
        <item x="0"/>
        <item x="2"/>
        <item x="1"/>
        <item t="default"/>
      </items>
    </pivotField>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numFmtId="164" showAll="0"/>
    <pivotField numFmtId="164" showAll="0"/>
    <pivotField numFmtId="165" showAll="0"/>
    <pivotField numFmtId="164" showAll="0"/>
    <pivotField numFmtId="165" showAll="0"/>
    <pivotField numFmtId="164" showAll="0"/>
    <pivotField numFmtId="164" showAll="0"/>
    <pivotField numFmtId="164" showAll="0"/>
    <pivotField showAll="0">
      <items count="4">
        <item x="2"/>
        <item x="1"/>
        <item x="0"/>
        <item t="default"/>
      </items>
    </pivotField>
    <pivotField showAll="0"/>
  </pivotFields>
  <rowFields count="1">
    <field x="3"/>
  </rowFields>
  <rowItems count="8">
    <i>
      <x/>
    </i>
    <i>
      <x v="1"/>
    </i>
    <i>
      <x v="2"/>
    </i>
    <i>
      <x v="3"/>
    </i>
    <i>
      <x v="4"/>
    </i>
    <i>
      <x v="5"/>
    </i>
    <i>
      <x v="6"/>
    </i>
    <i t="grand">
      <x/>
    </i>
  </rowItems>
  <colFields count="1">
    <field x="6"/>
  </colFields>
  <colItems count="4">
    <i>
      <x/>
    </i>
    <i>
      <x v="1"/>
    </i>
    <i>
      <x v="2"/>
    </i>
    <i t="grand">
      <x/>
    </i>
  </colItems>
  <dataFields count="1">
    <dataField name="Count of Customer ID" fld="4" subtotal="count" baseField="0" baseItem="0"/>
  </dataFields>
  <chartFormats count="4">
    <chartFormat chart="25" format="18" series="1">
      <pivotArea type="data" outline="0" fieldPosition="0">
        <references count="2">
          <reference field="4294967294" count="1" selected="0">
            <x v="0"/>
          </reference>
          <reference field="6" count="1" selected="0">
            <x v="0"/>
          </reference>
        </references>
      </pivotArea>
    </chartFormat>
    <chartFormat chart="25" format="19" series="1">
      <pivotArea type="data" outline="0" fieldPosition="0">
        <references count="2">
          <reference field="4294967294" count="1" selected="0">
            <x v="0"/>
          </reference>
          <reference field="6" count="1" selected="0">
            <x v="1"/>
          </reference>
        </references>
      </pivotArea>
    </chartFormat>
    <chartFormat chart="25" format="20" series="1">
      <pivotArea type="data" outline="0" fieldPosition="0">
        <references count="2">
          <reference field="4294967294" count="1" selected="0">
            <x v="0"/>
          </reference>
          <reference field="6" count="1" selected="0">
            <x v="2"/>
          </reference>
        </references>
      </pivotArea>
    </chartFormat>
    <chartFormat chart="25"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038F16F-EDC1-4D89-B46F-2C7EEFBDC8C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19:I23" firstHeaderRow="0" firstDataRow="1" firstDataCol="1"/>
  <pivotFields count="25">
    <pivotField showAll="0"/>
    <pivotField numFmtId="14" showAll="0"/>
    <pivotField numFmtId="14" showAll="0"/>
    <pivotField showAll="0"/>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numFmtId="164" showAll="0"/>
    <pivotField numFmtId="164" showAll="0"/>
    <pivotField numFmtId="164" showAll="0"/>
    <pivotField numFmtId="165" showAll="0"/>
    <pivotField numFmtId="164" showAll="0"/>
    <pivotField numFmtId="165" showAll="0"/>
    <pivotField numFmtId="164" showAll="0"/>
    <pivotField numFmtId="164" showAll="0"/>
    <pivotField dataField="1" numFmtId="164" showAll="0"/>
    <pivotField axis="axisRow" showAll="0">
      <items count="4">
        <item x="2"/>
        <item x="1"/>
        <item x="0"/>
        <item t="default"/>
      </items>
    </pivotField>
    <pivotField dataField="1" showAll="0"/>
  </pivotFields>
  <rowFields count="1">
    <field x="23"/>
  </rowFields>
  <rowItems count="4">
    <i>
      <x/>
    </i>
    <i>
      <x v="1"/>
    </i>
    <i>
      <x v="2"/>
    </i>
    <i t="grand">
      <x/>
    </i>
  </rowItems>
  <colFields count="1">
    <field x="-2"/>
  </colFields>
  <colItems count="2">
    <i>
      <x/>
    </i>
    <i i="1">
      <x v="1"/>
    </i>
  </colItems>
  <dataFields count="2">
    <dataField name="Sum of Net Revenue" fld="22" baseField="0" baseItem="0" numFmtId="164"/>
    <dataField name="Sum of Ad Spend" fld="24" baseField="23" baseItem="0"/>
  </dataFields>
  <chartFormats count="10">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3" count="1" selected="0">
            <x v="0"/>
          </reference>
        </references>
      </pivotArea>
    </chartFormat>
    <chartFormat chart="9" format="12">
      <pivotArea type="data" outline="0" fieldPosition="0">
        <references count="2">
          <reference field="4294967294" count="1" selected="0">
            <x v="0"/>
          </reference>
          <reference field="23" count="1" selected="0">
            <x v="1"/>
          </reference>
        </references>
      </pivotArea>
    </chartFormat>
    <chartFormat chart="9" format="13">
      <pivotArea type="data" outline="0" fieldPosition="0">
        <references count="2">
          <reference field="4294967294" count="1" selected="0">
            <x v="0"/>
          </reference>
          <reference field="23" count="1" selected="0">
            <x v="2"/>
          </reference>
        </references>
      </pivotArea>
    </chartFormat>
    <chartFormat chart="9" format="14" series="1">
      <pivotArea type="data" outline="0" fieldPosition="0">
        <references count="1">
          <reference field="4294967294" count="1" selected="0">
            <x v="1"/>
          </reference>
        </references>
      </pivotArea>
    </chartFormat>
    <chartFormat chart="9" format="15">
      <pivotArea type="data" outline="0" fieldPosition="0">
        <references count="2">
          <reference field="4294967294" count="1" selected="0">
            <x v="1"/>
          </reference>
          <reference field="23" count="1" selected="0">
            <x v="0"/>
          </reference>
        </references>
      </pivotArea>
    </chartFormat>
    <chartFormat chart="9" format="16">
      <pivotArea type="data" outline="0" fieldPosition="0">
        <references count="2">
          <reference field="4294967294" count="1" selected="0">
            <x v="1"/>
          </reference>
          <reference field="23" count="1" selected="0">
            <x v="1"/>
          </reference>
        </references>
      </pivotArea>
    </chartFormat>
    <chartFormat chart="9" format="17">
      <pivotArea type="data" outline="0" fieldPosition="0">
        <references count="2">
          <reference field="4294967294" count="1" selected="0">
            <x v="1"/>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EC50B50-89B1-46A6-BCB2-144893FC3E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5">
    <pivotField showAll="0"/>
    <pivotField numFmtId="14" showAll="0"/>
    <pivotField numFmtId="14" showAll="0"/>
    <pivotField showAll="0"/>
    <pivotField showAll="0"/>
    <pivotField showAll="0"/>
    <pivotField showAll="0"/>
    <pivotField showAll="0">
      <items count="9">
        <item x="1"/>
        <item x="0"/>
        <item x="2"/>
        <item x="3"/>
        <item x="4"/>
        <item x="7"/>
        <item x="5"/>
        <item x="6"/>
        <item t="default"/>
      </items>
    </pivotField>
    <pivotField showAll="0">
      <items count="9">
        <item x="1"/>
        <item x="4"/>
        <item x="6"/>
        <item x="2"/>
        <item x="3"/>
        <item x="5"/>
        <item x="7"/>
        <item x="0"/>
        <item t="default"/>
      </items>
    </pivotField>
    <pivotField showAll="0">
      <items count="5">
        <item x="3"/>
        <item x="0"/>
        <item x="2"/>
        <item x="1"/>
        <item t="default"/>
      </items>
    </pivotField>
    <pivotField numFmtId="164" showAll="0"/>
    <pivotField showAll="0">
      <items count="4">
        <item x="1"/>
        <item x="0"/>
        <item x="2"/>
        <item t="default"/>
      </items>
    </pivotField>
    <pivotField showAll="0"/>
    <pivotField numFmtId="164" showAll="0"/>
    <pivotField dataField="1" numFmtId="164" showAll="0"/>
    <pivotField numFmtId="164" showAll="0"/>
    <pivotField numFmtId="164" showAll="0"/>
    <pivotField numFmtId="165" showAll="0"/>
    <pivotField numFmtId="164" showAll="0"/>
    <pivotField numFmtId="165" showAll="0"/>
    <pivotField numFmtId="164" showAll="0"/>
    <pivotField numFmtId="164" showAll="0"/>
    <pivotField numFmtId="164" showAll="0"/>
    <pivotField showAll="0">
      <items count="4">
        <item x="2"/>
        <item x="1"/>
        <item x="0"/>
        <item t="default"/>
      </items>
    </pivotField>
    <pivotField showAll="0"/>
  </pivotFields>
  <rowItems count="1">
    <i/>
  </rowItems>
  <colItems count="1">
    <i/>
  </colItems>
  <dataFields count="1">
    <dataField name="Sum of Final Paid Amount"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F9DD185A-098A-4C08-B29E-14EDDF612840}" sourceName="Payment Status">
  <pivotTables>
    <pivotTable tabId="13" name="PivotTable1"/>
    <pivotTable tabId="13" name="PivotTable2"/>
    <pivotTable tabId="13" name="PivotTable3"/>
    <pivotTable tabId="13" name="PivotTable4"/>
    <pivotTable tabId="13" name="PivotTable5"/>
    <pivotTable tabId="13" name="PivotTable6"/>
    <pivotTable tabId="13" name="PivotTable7"/>
    <pivotTable tabId="13" name="PivotTable8"/>
    <pivotTable tabId="13" name="PivotTable11"/>
    <pivotTable tabId="13" name="PivotTable12"/>
    <pivotTable tabId="13" name="PivotTable14"/>
    <pivotTable tabId="13" name="PivotTable15"/>
    <pivotTable tabId="13" name="PivotTable9"/>
    <pivotTable tabId="13" name="PivotTable16"/>
    <pivotTable tabId="13" name="PivotTable17"/>
    <pivotTable tabId="13" name="PivotTable18"/>
    <pivotTable tabId="13" name="PivotTable19"/>
  </pivotTables>
  <data>
    <tabular pivotCacheId="190489283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747D2BF-CB7F-4F1E-9AC1-FECF4D9D863B}" sourceName="City">
  <pivotTables>
    <pivotTable tabId="13" name="PivotTable1"/>
    <pivotTable tabId="13" name="PivotTable2"/>
    <pivotTable tabId="13" name="PivotTable3"/>
    <pivotTable tabId="13" name="PivotTable4"/>
    <pivotTable tabId="13" name="PivotTable5"/>
    <pivotTable tabId="13" name="PivotTable6"/>
    <pivotTable tabId="13" name="PivotTable7"/>
    <pivotTable tabId="13" name="PivotTable8"/>
    <pivotTable tabId="13" name="PivotTable11"/>
    <pivotTable tabId="13" name="PivotTable12"/>
    <pivotTable tabId="13" name="PivotTable14"/>
    <pivotTable tabId="13" name="PivotTable15"/>
    <pivotTable tabId="13" name="PivotTable9"/>
    <pivotTable tabId="13" name="PivotTable16"/>
    <pivotTable tabId="13" name="PivotTable17"/>
    <pivotTable tabId="13" name="PivotTable18"/>
    <pivotTable tabId="13" name="PivotTable19"/>
  </pivotTables>
  <data>
    <tabular pivotCacheId="1904892839">
      <items count="8">
        <i x="1" s="1"/>
        <i x="0" s="1"/>
        <i x="2" s="1"/>
        <i x="3" s="1"/>
        <i x="4" s="1"/>
        <i x="7"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839C313-C733-448B-A50B-7189058B1B88}" sourceName="Category">
  <pivotTables>
    <pivotTable tabId="13" name="PivotTable1"/>
    <pivotTable tabId="13" name="PivotTable2"/>
    <pivotTable tabId="13" name="PivotTable3"/>
    <pivotTable tabId="13" name="PivotTable4"/>
    <pivotTable tabId="13" name="PivotTable5"/>
    <pivotTable tabId="13" name="PivotTable6"/>
    <pivotTable tabId="13" name="PivotTable7"/>
    <pivotTable tabId="13" name="PivotTable8"/>
    <pivotTable tabId="13" name="PivotTable11"/>
    <pivotTable tabId="13" name="PivotTable12"/>
    <pivotTable tabId="13" name="PivotTable14"/>
    <pivotTable tabId="13" name="PivotTable15"/>
    <pivotTable tabId="13" name="PivotTable9"/>
    <pivotTable tabId="13" name="PivotTable16"/>
    <pivotTable tabId="13" name="PivotTable17"/>
    <pivotTable tabId="13" name="PivotTable18"/>
    <pivotTable tabId="13" name="PivotTable19"/>
  </pivotTables>
  <data>
    <tabular pivotCacheId="1904892839">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A239F74D-4288-444C-A1C2-E98478747DC8}" sourceName="Course">
  <pivotTables>
    <pivotTable tabId="13" name="PivotTable1"/>
    <pivotTable tabId="13" name="PivotTable2"/>
    <pivotTable tabId="13" name="PivotTable3"/>
    <pivotTable tabId="13" name="PivotTable4"/>
    <pivotTable tabId="13" name="PivotTable5"/>
    <pivotTable tabId="13" name="PivotTable6"/>
    <pivotTable tabId="13" name="PivotTable7"/>
    <pivotTable tabId="13" name="PivotTable8"/>
    <pivotTable tabId="13" name="PivotTable11"/>
    <pivotTable tabId="13" name="PivotTable12"/>
    <pivotTable tabId="13" name="PivotTable14"/>
    <pivotTable tabId="13" name="PivotTable15"/>
    <pivotTable tabId="13" name="PivotTable9"/>
    <pivotTable tabId="13" name="PivotTable16"/>
    <pivotTable tabId="13" name="PivotTable17"/>
    <pivotTable tabId="13" name="PivotTable18"/>
    <pivotTable tabId="13" name="PivotTable19"/>
  </pivotTables>
  <data>
    <tabular pivotCacheId="1904892839">
      <items count="8">
        <i x="1" s="1"/>
        <i x="4" s="1"/>
        <i x="6" s="1"/>
        <i x="2" s="1"/>
        <i x="3" s="1"/>
        <i x="5" s="1"/>
        <i x="7"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Channel" xr10:uid="{76F918BC-3991-486F-A5D1-EE90FB3496AB}" sourceName="Marketing Channel">
  <pivotTables>
    <pivotTable tabId="13" name="PivotTable1"/>
    <pivotTable tabId="13" name="PivotTable2"/>
    <pivotTable tabId="13" name="PivotTable3"/>
    <pivotTable tabId="13" name="PivotTable4"/>
    <pivotTable tabId="13" name="PivotTable5"/>
    <pivotTable tabId="13" name="PivotTable6"/>
    <pivotTable tabId="13" name="PivotTable7"/>
    <pivotTable tabId="13" name="PivotTable8"/>
    <pivotTable tabId="13" name="PivotTable11"/>
    <pivotTable tabId="13" name="PivotTable12"/>
    <pivotTable tabId="13" name="PivotTable14"/>
    <pivotTable tabId="13" name="PivotTable15"/>
    <pivotTable tabId="13" name="PivotTable9"/>
    <pivotTable tabId="13" name="PivotTable16"/>
    <pivotTable tabId="13" name="PivotTable17"/>
    <pivotTable tabId="13" name="PivotTable18"/>
    <pivotTable tabId="13" name="PivotTable19"/>
  </pivotTables>
  <data>
    <tabular pivotCacheId="190489283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Status" xr10:uid="{1CB6C56F-1482-4B5F-AE27-D420FDC11529}" cache="Slicer_Payment_Status" caption="Payment Status" columnCount="3" style="SlicerStyleDark5" rowHeight="731520"/>
  <slicer name="City" xr10:uid="{AD59EAAD-1871-479B-913C-B1C8AB7E3988}" cache="Slicer_City" caption="City" columnCount="4" style="SlicerStyleDark5" rowHeight="731520"/>
  <slicer name="Category" xr10:uid="{CA6DC7FF-2E2B-4716-8D44-A785950B18DE}" cache="Slicer_Category" caption="Category" columnCount="4" style="SlicerStyleDark5" rowHeight="731520"/>
  <slicer name="Course" xr10:uid="{F393B37F-E616-4D95-9941-E514F6CA687E}" cache="Slicer_Course" caption="Course" columnCount="4" style="SlicerStyleDark5" rowHeight="731520"/>
  <slicer name="Marketing Channel" xr10:uid="{3169E5A4-9B0F-4F3B-A09C-7AB26547FBD1}" cache="Slicer_Marketing_Channel" caption="Marketing Channel" columnCount="3" style="SlicerStyleDark5" rowHeight="7315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FE019F-AF14-4261-9D26-6B6AA93C675E}" name="Sales_Data" displayName="Sales_Data" ref="A1:Y1001" totalsRowShown="0" headerRowDxfId="29" headerRowBorderDxfId="28" tableBorderDxfId="27">
  <autoFilter ref="A1:Y1001" xr:uid="{99FE019F-AF14-4261-9D26-6B6AA93C675E}"/>
  <tableColumns count="25">
    <tableColumn id="1" xr3:uid="{9DB6DE3C-3642-4893-A02E-F3B11692116E}" name="Sales ID" dataDxfId="26"/>
    <tableColumn id="2" xr3:uid="{00D5850F-AFDE-4A11-A0E2-7B1788AF65C0}" name="Order Date" dataDxfId="25"/>
    <tableColumn id="3" xr3:uid="{AE3ABE89-8BCE-467E-8881-EE3A1CA45034}" name="Payment Date" dataDxfId="24"/>
    <tableColumn id="4" xr3:uid="{EEE6A029-3D61-4101-803C-A9A0BE1B7C96}" name="Month" dataDxfId="23">
      <calculatedColumnFormula>TEXT(C2,"mmmm")</calculatedColumnFormula>
    </tableColumn>
    <tableColumn id="5" xr3:uid="{7B907CCB-3F26-4FF0-B25C-E978631A3BFD}" name="Customer ID" dataDxfId="22">
      <calculatedColumnFormula>"STU-"&amp;RANDBETWEEN(1,1000)</calculatedColumnFormula>
    </tableColumn>
    <tableColumn id="6" xr3:uid="{25314D67-1AF3-4693-81FC-9ECD24EC6581}" name="Customer Type" dataDxfId="21">
      <calculatedColumnFormula>IF(COUNTIF($E$2:E2,E2)=1,"New Customer","Returning Customer")</calculatedColumnFormula>
    </tableColumn>
    <tableColumn id="7" xr3:uid="{EB930460-DDF7-434B-BBAE-8FBC02CBCE58}" name="Gender" dataDxfId="20">
      <calculatedColumnFormula>CHOOSE(RANDBETWEEN(1,3),"Male","Female","Not specified")</calculatedColumnFormula>
    </tableColumn>
    <tableColumn id="8" xr3:uid="{EA0393F6-E9E4-4A02-83AD-BB4EAD7218F3}" name="City" dataDxfId="19"/>
    <tableColumn id="9" xr3:uid="{4C358D95-87E3-44C2-AD89-F1D497C0E0F5}" name="Course" dataDxfId="18">
      <calculatedColumnFormula array="1">INDEX(Courses!$B$9:$B$16,RANDBETWEEN(1,8))</calculatedColumnFormula>
    </tableColumn>
    <tableColumn id="10" xr3:uid="{D25CB589-710A-48A3-805C-AC84406DA157}" name="Category" dataDxfId="17">
      <calculatedColumnFormula>VLOOKUP(I2,Courses!$B$9:$C$16,2,0)</calculatedColumnFormula>
    </tableColumn>
    <tableColumn id="11" xr3:uid="{6306B0AD-05FA-4C1A-8F31-F51963F51623}" name="Original Price" dataDxfId="16">
      <calculatedColumnFormula>VLOOKUP(I2,Courses!$B$9:$D$16,3,0)</calculatedColumnFormula>
    </tableColumn>
    <tableColumn id="12" xr3:uid="{93FEAE7B-ABFF-4873-88F7-5A37ABD0D177}" name="Payment Status" dataDxfId="15">
      <calculatedColumnFormula>IF(RAND()&lt;0.6,"Paid",IF(RAND()&lt;0.75,"Pending","Refunded"))</calculatedColumnFormula>
    </tableColumn>
    <tableColumn id="13" xr3:uid="{F571BF40-BC99-4740-8DCF-51809E16AE2B}" name="Payment Method" dataDxfId="14" dataCellStyle="Percent">
      <calculatedColumnFormula array="1">INDEX('Payment Method'!$A$8:$A$12,RANDBETWEEN(1,5))</calculatedColumnFormula>
    </tableColumn>
    <tableColumn id="14" xr3:uid="{ECA2B902-7E9E-4930-A54E-E8097456B481}" name="Discount Amount" dataDxfId="13">
      <calculatedColumnFormula>IFERROR(SUMIF(Holiday!$A$8:$A$11,B2,Holiday!$C$8:$C$11),0)</calculatedColumnFormula>
    </tableColumn>
    <tableColumn id="15" xr3:uid="{0E72232F-56B2-4957-A8D6-2F061C9ACD6D}" name="Final Paid Amount" dataDxfId="12">
      <calculatedColumnFormula>K2-K2*N2</calculatedColumnFormula>
    </tableColumn>
    <tableColumn id="16" xr3:uid="{F3A6EE39-EBE4-4F17-81E1-CF3E2124EBFE}" name="Total Sales" dataDxfId="11">
      <calculatedColumnFormula>O2-S2</calculatedColumnFormula>
    </tableColumn>
    <tableColumn id="17" xr3:uid="{FCE214B4-BABA-4323-B1C0-FA5AE1AF5DEB}" name="Expected Revenue" dataDxfId="10">
      <calculatedColumnFormula>IF(L2="pending",(K2-K2*N2)-(K2-K2*N2)*R2-((K2-K2*N2)-(K2-K2*N2)*R2)*T2,0)</calculatedColumnFormula>
    </tableColumn>
    <tableColumn id="18" xr3:uid="{E172433C-ADAB-42A9-B2E5-0ABC6D623C28}" name="Bank Commission %" dataDxfId="9" dataCellStyle="Percent">
      <calculatedColumnFormula>VLOOKUP(M2,'Payment Method'!$A$8:$B$12,2,0)</calculatedColumnFormula>
    </tableColumn>
    <tableColumn id="19" xr3:uid="{4DD625D1-0846-4C6F-904E-065261BE7E38}" name="Bank Commision Amount" dataDxfId="8" dataCellStyle="Percent">
      <calculatedColumnFormula>O2-(O2-O2*R2)</calculatedColumnFormula>
    </tableColumn>
    <tableColumn id="20" xr3:uid="{96ED0860-13E9-47DF-8D5A-9FE95D6E5DF1}" name="Income Tax %" dataDxfId="7" dataCellStyle="Percent"/>
    <tableColumn id="21" xr3:uid="{487A2ED7-EC4A-4656-99DE-17571D78077E}" name="Income Tax amount" dataDxfId="6" dataCellStyle="Percent">
      <calculatedColumnFormula>O2-S2-((O2-S2)-(O2-S2)*T2)</calculatedColumnFormula>
    </tableColumn>
    <tableColumn id="22" xr3:uid="{AA3DCE8A-9F50-4A43-BFFF-FDDA2B89C5CC}" name="Refund Amount" dataDxfId="5">
      <calculatedColumnFormula>IF(L2="refunded",(K2-K2*N2)-(K2-K2*N2)*R2-((K2-K2*N2)-(K2-K2*N2)*R2)*T2,0)</calculatedColumnFormula>
    </tableColumn>
    <tableColumn id="23" xr3:uid="{8B1C1EC7-39DA-4A17-AEA4-FB74264B05EE}" name="Net Revenue" dataDxfId="4">
      <calculatedColumnFormula>IF(L2="paid",(K2-K2*N2)-(K2-K2*N2)*R2-((K2-K2*N2)-(K2-K2*N2)*R2)*T2,0)</calculatedColumnFormula>
    </tableColumn>
    <tableColumn id="24" xr3:uid="{1552E0BA-398F-46FE-A498-89321FB2E343}" name="Marketing Channel" dataDxfId="3">
      <calculatedColumnFormula>CHOOSE(RANDBETWEEN(1,3),"Facebook","Instagram","Tiktok")</calculatedColumnFormula>
    </tableColumn>
    <tableColumn id="25" xr3:uid="{F8E967F2-66D6-4BC8-B4B2-D8D6EFAB6339}" name="Ad Spend" dataDxfId="2">
      <calculatedColumnFormula>IF(COUNTIF($C$1:C1,B1)=1,10,"")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C0A5-1D87-47E7-8025-6B07A61D21BA}">
  <dimension ref="A6:J30"/>
  <sheetViews>
    <sheetView tabSelected="1" zoomScale="115" workbookViewId="0">
      <selection activeCell="M10" sqref="M10"/>
    </sheetView>
  </sheetViews>
  <sheetFormatPr defaultRowHeight="14.4" x14ac:dyDescent="0.3"/>
  <cols>
    <col min="1" max="1" width="10.33203125" customWidth="1"/>
  </cols>
  <sheetData>
    <row r="6" spans="1:10" ht="15" thickBot="1" x14ac:dyDescent="0.35"/>
    <row r="7" spans="1:10" ht="28.8" customHeight="1" x14ac:dyDescent="0.3">
      <c r="A7" s="92" t="s">
        <v>70</v>
      </c>
      <c r="B7" s="87"/>
      <c r="C7" s="87" t="s">
        <v>71</v>
      </c>
      <c r="D7" s="87"/>
      <c r="E7" s="87"/>
      <c r="F7" s="87"/>
      <c r="G7" s="87"/>
      <c r="H7" s="87"/>
      <c r="I7" s="87"/>
      <c r="J7" s="88"/>
    </row>
    <row r="8" spans="1:10" x14ac:dyDescent="0.3">
      <c r="A8" s="91" t="s">
        <v>0</v>
      </c>
      <c r="B8" s="85"/>
      <c r="C8" s="85" t="s">
        <v>72</v>
      </c>
      <c r="D8" s="85"/>
      <c r="E8" s="85"/>
      <c r="F8" s="85"/>
      <c r="G8" s="85"/>
      <c r="H8" s="85"/>
      <c r="I8" s="85"/>
      <c r="J8" s="86"/>
    </row>
    <row r="9" spans="1:10" x14ac:dyDescent="0.3">
      <c r="A9" s="91" t="s">
        <v>56</v>
      </c>
      <c r="B9" s="85"/>
      <c r="C9" s="85" t="s">
        <v>73</v>
      </c>
      <c r="D9" s="85"/>
      <c r="E9" s="85"/>
      <c r="F9" s="85"/>
      <c r="G9" s="85"/>
      <c r="H9" s="85"/>
      <c r="I9" s="85"/>
      <c r="J9" s="86"/>
    </row>
    <row r="10" spans="1:10" x14ac:dyDescent="0.3">
      <c r="A10" s="91" t="s">
        <v>60</v>
      </c>
      <c r="B10" s="85"/>
      <c r="C10" s="85" t="s">
        <v>74</v>
      </c>
      <c r="D10" s="85"/>
      <c r="E10" s="85"/>
      <c r="F10" s="85"/>
      <c r="G10" s="85"/>
      <c r="H10" s="85"/>
      <c r="I10" s="85"/>
      <c r="J10" s="86"/>
    </row>
    <row r="11" spans="1:10" x14ac:dyDescent="0.3">
      <c r="A11" s="91" t="s">
        <v>61</v>
      </c>
      <c r="B11" s="85"/>
      <c r="C11" s="85" t="s">
        <v>75</v>
      </c>
      <c r="D11" s="85"/>
      <c r="E11" s="85"/>
      <c r="F11" s="85"/>
      <c r="G11" s="85"/>
      <c r="H11" s="85"/>
      <c r="I11" s="85"/>
      <c r="J11" s="86"/>
    </row>
    <row r="12" spans="1:10" x14ac:dyDescent="0.3">
      <c r="A12" s="91" t="s">
        <v>57</v>
      </c>
      <c r="B12" s="85"/>
      <c r="C12" s="85" t="s">
        <v>76</v>
      </c>
      <c r="D12" s="85"/>
      <c r="E12" s="85"/>
      <c r="F12" s="85"/>
      <c r="G12" s="85"/>
      <c r="H12" s="85"/>
      <c r="I12" s="85"/>
      <c r="J12" s="86"/>
    </row>
    <row r="13" spans="1:10" x14ac:dyDescent="0.3">
      <c r="A13" s="91" t="s">
        <v>55</v>
      </c>
      <c r="B13" s="85"/>
      <c r="C13" s="85" t="s">
        <v>77</v>
      </c>
      <c r="D13" s="85"/>
      <c r="E13" s="85"/>
      <c r="F13" s="85"/>
      <c r="G13" s="85"/>
      <c r="H13" s="85"/>
      <c r="I13" s="85"/>
      <c r="J13" s="86"/>
    </row>
    <row r="14" spans="1:10" x14ac:dyDescent="0.3">
      <c r="A14" s="91" t="s">
        <v>4</v>
      </c>
      <c r="B14" s="85"/>
      <c r="C14" s="85" t="s">
        <v>78</v>
      </c>
      <c r="D14" s="85"/>
      <c r="E14" s="85"/>
      <c r="F14" s="85"/>
      <c r="G14" s="85"/>
      <c r="H14" s="85"/>
      <c r="I14" s="85"/>
      <c r="J14" s="86"/>
    </row>
    <row r="15" spans="1:10" x14ac:dyDescent="0.3">
      <c r="A15" s="91" t="s">
        <v>2</v>
      </c>
      <c r="B15" s="85"/>
      <c r="C15" s="85" t="s">
        <v>79</v>
      </c>
      <c r="D15" s="85"/>
      <c r="E15" s="85"/>
      <c r="F15" s="85"/>
      <c r="G15" s="85"/>
      <c r="H15" s="85"/>
      <c r="I15" s="85"/>
      <c r="J15" s="86"/>
    </row>
    <row r="16" spans="1:10" x14ac:dyDescent="0.3">
      <c r="A16" s="91" t="s">
        <v>3</v>
      </c>
      <c r="B16" s="85"/>
      <c r="C16" s="85" t="s">
        <v>80</v>
      </c>
      <c r="D16" s="85"/>
      <c r="E16" s="85"/>
      <c r="F16" s="85"/>
      <c r="G16" s="85"/>
      <c r="H16" s="85"/>
      <c r="I16" s="85"/>
      <c r="J16" s="86"/>
    </row>
    <row r="17" spans="1:10" x14ac:dyDescent="0.3">
      <c r="A17" s="91" t="s">
        <v>62</v>
      </c>
      <c r="B17" s="85"/>
      <c r="C17" s="85" t="s">
        <v>81</v>
      </c>
      <c r="D17" s="85"/>
      <c r="E17" s="85"/>
      <c r="F17" s="85"/>
      <c r="G17" s="85"/>
      <c r="H17" s="85"/>
      <c r="I17" s="85"/>
      <c r="J17" s="86"/>
    </row>
    <row r="18" spans="1:10" x14ac:dyDescent="0.3">
      <c r="A18" s="91" t="s">
        <v>43</v>
      </c>
      <c r="B18" s="85"/>
      <c r="C18" s="85" t="s">
        <v>82</v>
      </c>
      <c r="D18" s="85"/>
      <c r="E18" s="85"/>
      <c r="F18" s="85"/>
      <c r="G18" s="85"/>
      <c r="H18" s="85"/>
      <c r="I18" s="85"/>
      <c r="J18" s="86"/>
    </row>
    <row r="19" spans="1:10" x14ac:dyDescent="0.3">
      <c r="A19" s="91" t="s">
        <v>35</v>
      </c>
      <c r="B19" s="85"/>
      <c r="C19" s="85" t="s">
        <v>83</v>
      </c>
      <c r="D19" s="85"/>
      <c r="E19" s="85"/>
      <c r="F19" s="85"/>
      <c r="G19" s="85"/>
      <c r="H19" s="85"/>
      <c r="I19" s="85"/>
      <c r="J19" s="86"/>
    </row>
    <row r="20" spans="1:10" x14ac:dyDescent="0.3">
      <c r="A20" s="91" t="s">
        <v>63</v>
      </c>
      <c r="B20" s="85"/>
      <c r="C20" s="85" t="s">
        <v>84</v>
      </c>
      <c r="D20" s="85"/>
      <c r="E20" s="85"/>
      <c r="F20" s="85"/>
      <c r="G20" s="85"/>
      <c r="H20" s="85"/>
      <c r="I20" s="85"/>
      <c r="J20" s="86"/>
    </row>
    <row r="21" spans="1:10" x14ac:dyDescent="0.3">
      <c r="A21" s="91" t="s">
        <v>64</v>
      </c>
      <c r="B21" s="85"/>
      <c r="C21" s="85" t="s">
        <v>85</v>
      </c>
      <c r="D21" s="85"/>
      <c r="E21" s="85"/>
      <c r="F21" s="85"/>
      <c r="G21" s="85"/>
      <c r="H21" s="85"/>
      <c r="I21" s="85"/>
      <c r="J21" s="86"/>
    </row>
    <row r="22" spans="1:10" x14ac:dyDescent="0.3">
      <c r="A22" s="91" t="s">
        <v>46</v>
      </c>
      <c r="B22" s="85"/>
      <c r="C22" s="85" t="s">
        <v>86</v>
      </c>
      <c r="D22" s="85"/>
      <c r="E22" s="85"/>
      <c r="F22" s="85"/>
      <c r="G22" s="85"/>
      <c r="H22" s="85"/>
      <c r="I22" s="85"/>
      <c r="J22" s="86"/>
    </row>
    <row r="23" spans="1:10" x14ac:dyDescent="0.3">
      <c r="A23" s="91" t="s">
        <v>65</v>
      </c>
      <c r="B23" s="85"/>
      <c r="C23" s="85" t="s">
        <v>87</v>
      </c>
      <c r="D23" s="85"/>
      <c r="E23" s="85"/>
      <c r="F23" s="85"/>
      <c r="G23" s="85"/>
      <c r="H23" s="85"/>
      <c r="I23" s="85"/>
      <c r="J23" s="86"/>
    </row>
    <row r="24" spans="1:10" x14ac:dyDescent="0.3">
      <c r="A24" s="91" t="s">
        <v>88</v>
      </c>
      <c r="B24" s="85"/>
      <c r="C24" s="85" t="s">
        <v>89</v>
      </c>
      <c r="D24" s="85"/>
      <c r="E24" s="85"/>
      <c r="F24" s="85"/>
      <c r="G24" s="85"/>
      <c r="H24" s="85"/>
      <c r="I24" s="85"/>
      <c r="J24" s="86"/>
    </row>
    <row r="25" spans="1:10" x14ac:dyDescent="0.3">
      <c r="A25" s="91" t="s">
        <v>66</v>
      </c>
      <c r="B25" s="85"/>
      <c r="C25" s="85" t="s">
        <v>90</v>
      </c>
      <c r="D25" s="85"/>
      <c r="E25" s="85"/>
      <c r="F25" s="85"/>
      <c r="G25" s="85"/>
      <c r="H25" s="85"/>
      <c r="I25" s="85"/>
      <c r="J25" s="86"/>
    </row>
    <row r="26" spans="1:10" x14ac:dyDescent="0.3">
      <c r="A26" s="91" t="s">
        <v>91</v>
      </c>
      <c r="B26" s="85"/>
      <c r="C26" s="85" t="s">
        <v>92</v>
      </c>
      <c r="D26" s="85"/>
      <c r="E26" s="85"/>
      <c r="F26" s="85"/>
      <c r="G26" s="85"/>
      <c r="H26" s="85"/>
      <c r="I26" s="85"/>
      <c r="J26" s="86"/>
    </row>
    <row r="27" spans="1:10" x14ac:dyDescent="0.3">
      <c r="A27" s="91" t="s">
        <v>50</v>
      </c>
      <c r="B27" s="85"/>
      <c r="C27" s="85" t="s">
        <v>93</v>
      </c>
      <c r="D27" s="85"/>
      <c r="E27" s="85"/>
      <c r="F27" s="85"/>
      <c r="G27" s="85"/>
      <c r="H27" s="85"/>
      <c r="I27" s="85"/>
      <c r="J27" s="86"/>
    </row>
    <row r="28" spans="1:10" x14ac:dyDescent="0.3">
      <c r="A28" s="91" t="s">
        <v>67</v>
      </c>
      <c r="B28" s="85"/>
      <c r="C28" s="85" t="s">
        <v>94</v>
      </c>
      <c r="D28" s="85"/>
      <c r="E28" s="85"/>
      <c r="F28" s="85"/>
      <c r="G28" s="85"/>
      <c r="H28" s="85"/>
      <c r="I28" s="85"/>
      <c r="J28" s="86"/>
    </row>
    <row r="29" spans="1:10" x14ac:dyDescent="0.3">
      <c r="A29" s="91" t="s">
        <v>68</v>
      </c>
      <c r="B29" s="85"/>
      <c r="C29" s="85" t="s">
        <v>95</v>
      </c>
      <c r="D29" s="85"/>
      <c r="E29" s="85"/>
      <c r="F29" s="85"/>
      <c r="G29" s="85"/>
      <c r="H29" s="85"/>
      <c r="I29" s="85"/>
      <c r="J29" s="86"/>
    </row>
    <row r="30" spans="1:10" ht="15" thickBot="1" x14ac:dyDescent="0.35">
      <c r="A30" s="93" t="s">
        <v>69</v>
      </c>
      <c r="B30" s="89"/>
      <c r="C30" s="89" t="s">
        <v>96</v>
      </c>
      <c r="D30" s="89"/>
      <c r="E30" s="89"/>
      <c r="F30" s="89"/>
      <c r="G30" s="89"/>
      <c r="H30" s="89"/>
      <c r="I30" s="89"/>
      <c r="J30" s="90"/>
    </row>
  </sheetData>
  <mergeCells count="48">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A8:B8"/>
    <mergeCell ref="A9:B9"/>
    <mergeCell ref="A10:B10"/>
    <mergeCell ref="A11:B11"/>
    <mergeCell ref="A12:B12"/>
    <mergeCell ref="A13:B13"/>
    <mergeCell ref="A14:B14"/>
    <mergeCell ref="A15:B15"/>
    <mergeCell ref="A16:B16"/>
    <mergeCell ref="A17:B17"/>
    <mergeCell ref="C30:J30"/>
    <mergeCell ref="C19:J19"/>
    <mergeCell ref="C20:J20"/>
    <mergeCell ref="C21:J21"/>
    <mergeCell ref="C22:J22"/>
    <mergeCell ref="C23:J23"/>
    <mergeCell ref="C24:J24"/>
    <mergeCell ref="C25:J25"/>
    <mergeCell ref="C26:J26"/>
    <mergeCell ref="C27:J27"/>
    <mergeCell ref="C28:J28"/>
    <mergeCell ref="C29:J29"/>
    <mergeCell ref="C18:J18"/>
    <mergeCell ref="C7:J7"/>
    <mergeCell ref="C8:J8"/>
    <mergeCell ref="C9:J9"/>
    <mergeCell ref="C10:J10"/>
    <mergeCell ref="C11:J11"/>
    <mergeCell ref="C12:J12"/>
    <mergeCell ref="C13:J13"/>
    <mergeCell ref="C14:J14"/>
    <mergeCell ref="C15:J15"/>
    <mergeCell ref="C16:J16"/>
    <mergeCell ref="C17:J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F5FE5-3ED8-444D-8AAE-B2894100A194}">
  <dimension ref="A3:N39"/>
  <sheetViews>
    <sheetView zoomScale="76" workbookViewId="0">
      <selection activeCell="G4" sqref="G4:H7"/>
    </sheetView>
  </sheetViews>
  <sheetFormatPr defaultRowHeight="14.4" x14ac:dyDescent="0.3"/>
  <cols>
    <col min="1" max="1" width="16.77734375" bestFit="1" customWidth="1"/>
    <col min="2" max="3" width="23.77734375" bestFit="1" customWidth="1"/>
    <col min="4" max="4" width="13.5546875" bestFit="1" customWidth="1"/>
    <col min="5" max="5" width="21.44140625" bestFit="1" customWidth="1"/>
    <col min="6" max="6" width="18.44140625" bestFit="1" customWidth="1"/>
    <col min="7" max="7" width="16.21875" bestFit="1" customWidth="1"/>
    <col min="8" max="8" width="15.77734375" bestFit="1" customWidth="1"/>
    <col min="9" max="9" width="15.88671875" bestFit="1" customWidth="1"/>
    <col min="10" max="10" width="15.77734375" bestFit="1" customWidth="1"/>
    <col min="11" max="11" width="16.44140625" bestFit="1" customWidth="1"/>
    <col min="12" max="12" width="5.21875" bestFit="1" customWidth="1"/>
    <col min="13" max="13" width="12.21875" bestFit="1" customWidth="1"/>
    <col min="14" max="14" width="11.21875" bestFit="1" customWidth="1"/>
    <col min="15" max="15" width="19.33203125" bestFit="1" customWidth="1"/>
  </cols>
  <sheetData>
    <row r="3" spans="1:14" x14ac:dyDescent="0.3">
      <c r="A3" t="s">
        <v>146</v>
      </c>
      <c r="B3" t="s">
        <v>145</v>
      </c>
      <c r="C3" t="s">
        <v>152</v>
      </c>
      <c r="D3" t="s">
        <v>148</v>
      </c>
      <c r="E3" t="s">
        <v>148</v>
      </c>
      <c r="G3" s="84" t="s">
        <v>149</v>
      </c>
      <c r="H3" t="s">
        <v>145</v>
      </c>
      <c r="J3" s="84" t="s">
        <v>153</v>
      </c>
      <c r="K3" s="84" t="s">
        <v>157</v>
      </c>
    </row>
    <row r="4" spans="1:14" x14ac:dyDescent="0.3">
      <c r="A4" s="1">
        <v>34764.354999999909</v>
      </c>
      <c r="B4" s="1">
        <v>20086.481249999961</v>
      </c>
      <c r="C4" s="1">
        <v>11193.673549999965</v>
      </c>
      <c r="D4" s="1">
        <v>3138.3148499999988</v>
      </c>
      <c r="E4" s="1">
        <v>3138.3148499999988</v>
      </c>
      <c r="G4" s="50" t="s">
        <v>12</v>
      </c>
      <c r="H4" s="1">
        <v>9455.7226499999888</v>
      </c>
      <c r="J4" s="84" t="s">
        <v>149</v>
      </c>
      <c r="K4" t="s">
        <v>154</v>
      </c>
      <c r="L4" t="s">
        <v>155</v>
      </c>
      <c r="M4" t="s">
        <v>156</v>
      </c>
      <c r="N4" t="s">
        <v>150</v>
      </c>
    </row>
    <row r="5" spans="1:14" x14ac:dyDescent="0.3">
      <c r="G5" s="50" t="s">
        <v>25</v>
      </c>
      <c r="H5" s="1">
        <v>2126.416049999998</v>
      </c>
      <c r="J5" s="50" t="s">
        <v>103</v>
      </c>
      <c r="K5" s="131">
        <v>54</v>
      </c>
      <c r="L5" s="131">
        <v>51</v>
      </c>
      <c r="M5" s="131">
        <v>47</v>
      </c>
      <c r="N5" s="131">
        <v>152</v>
      </c>
    </row>
    <row r="6" spans="1:14" x14ac:dyDescent="0.3">
      <c r="A6" s="1">
        <f>GETPIVOTDATA("Total Sales",$A$3)</f>
        <v>34764.354999999909</v>
      </c>
      <c r="B6" s="1">
        <f>GETPIVOTDATA("Net Revenue",$B$3)</f>
        <v>20086.481249999961</v>
      </c>
      <c r="C6" s="1">
        <f>GETPIVOTDATA("Expected Revenue",$C$3)</f>
        <v>11193.673549999965</v>
      </c>
      <c r="D6" s="1">
        <f>GETPIVOTDATA("Refund Amount",$D$3)</f>
        <v>3138.3148499999988</v>
      </c>
      <c r="E6" s="1">
        <f>GETPIVOTDATA("Refund Amount",$E$3)</f>
        <v>3138.3148499999988</v>
      </c>
      <c r="G6" s="50" t="s">
        <v>26</v>
      </c>
      <c r="H6" s="1">
        <v>5753.206799999989</v>
      </c>
      <c r="J6" s="50" t="s">
        <v>104</v>
      </c>
      <c r="K6" s="131">
        <v>47</v>
      </c>
      <c r="L6" s="131">
        <v>40</v>
      </c>
      <c r="M6" s="131">
        <v>41</v>
      </c>
      <c r="N6" s="131">
        <v>128</v>
      </c>
    </row>
    <row r="7" spans="1:14" x14ac:dyDescent="0.3">
      <c r="G7" s="50" t="s">
        <v>28</v>
      </c>
      <c r="H7" s="1">
        <v>2751.135749999999</v>
      </c>
      <c r="J7" s="50" t="s">
        <v>105</v>
      </c>
      <c r="K7" s="131">
        <v>48</v>
      </c>
      <c r="L7" s="131">
        <v>51</v>
      </c>
      <c r="M7" s="131">
        <v>46</v>
      </c>
      <c r="N7" s="131">
        <v>145</v>
      </c>
    </row>
    <row r="8" spans="1:14" x14ac:dyDescent="0.3">
      <c r="G8" s="50" t="s">
        <v>150</v>
      </c>
      <c r="H8" s="1">
        <v>20086.481249999972</v>
      </c>
      <c r="J8" s="50" t="s">
        <v>126</v>
      </c>
      <c r="K8" s="131">
        <v>52</v>
      </c>
      <c r="L8" s="131">
        <v>44</v>
      </c>
      <c r="M8" s="131">
        <v>45</v>
      </c>
      <c r="N8" s="131">
        <v>141</v>
      </c>
    </row>
    <row r="9" spans="1:14" x14ac:dyDescent="0.3">
      <c r="J9" s="50" t="s">
        <v>127</v>
      </c>
      <c r="K9" s="131">
        <v>52</v>
      </c>
      <c r="L9" s="131">
        <v>44</v>
      </c>
      <c r="M9" s="131">
        <v>50</v>
      </c>
      <c r="N9" s="131">
        <v>146</v>
      </c>
    </row>
    <row r="10" spans="1:14" x14ac:dyDescent="0.3">
      <c r="A10" t="s">
        <v>146</v>
      </c>
      <c r="J10" s="50" t="s">
        <v>128</v>
      </c>
      <c r="K10" s="131">
        <v>45</v>
      </c>
      <c r="L10" s="131">
        <v>43</v>
      </c>
      <c r="M10" s="131">
        <v>44</v>
      </c>
      <c r="N10" s="131">
        <v>132</v>
      </c>
    </row>
    <row r="11" spans="1:14" x14ac:dyDescent="0.3">
      <c r="A11" s="1">
        <v>34764.354999999909</v>
      </c>
      <c r="J11" s="50" t="s">
        <v>129</v>
      </c>
      <c r="K11" s="131">
        <v>51</v>
      </c>
      <c r="L11" s="131">
        <v>52</v>
      </c>
      <c r="M11" s="131">
        <v>53</v>
      </c>
      <c r="N11" s="131">
        <v>156</v>
      </c>
    </row>
    <row r="12" spans="1:14" x14ac:dyDescent="0.3">
      <c r="J12" s="50" t="s">
        <v>150</v>
      </c>
      <c r="K12" s="131">
        <v>349</v>
      </c>
      <c r="L12" s="131">
        <v>325</v>
      </c>
      <c r="M12" s="131">
        <v>326</v>
      </c>
      <c r="N12" s="131">
        <v>1000</v>
      </c>
    </row>
    <row r="14" spans="1:14" x14ac:dyDescent="0.3">
      <c r="A14" t="s">
        <v>147</v>
      </c>
    </row>
    <row r="15" spans="1:14" x14ac:dyDescent="0.3">
      <c r="A15" s="1">
        <v>35570</v>
      </c>
    </row>
    <row r="17" spans="1:10" x14ac:dyDescent="0.3">
      <c r="J17" t="s">
        <v>158</v>
      </c>
    </row>
    <row r="18" spans="1:10" x14ac:dyDescent="0.3">
      <c r="A18" s="84" t="s">
        <v>149</v>
      </c>
      <c r="B18" t="s">
        <v>145</v>
      </c>
      <c r="D18" s="84" t="s">
        <v>149</v>
      </c>
      <c r="E18" t="s">
        <v>145</v>
      </c>
      <c r="J18" s="131">
        <v>1000</v>
      </c>
    </row>
    <row r="19" spans="1:10" x14ac:dyDescent="0.3">
      <c r="A19" s="50" t="s">
        <v>103</v>
      </c>
      <c r="B19" s="1">
        <v>24.175800000000315</v>
      </c>
      <c r="D19" s="50" t="s">
        <v>19</v>
      </c>
      <c r="E19" s="1">
        <v>6710.7446999999956</v>
      </c>
      <c r="G19" s="84" t="s">
        <v>149</v>
      </c>
      <c r="H19" t="s">
        <v>145</v>
      </c>
      <c r="I19" t="s">
        <v>151</v>
      </c>
    </row>
    <row r="20" spans="1:10" x14ac:dyDescent="0.3">
      <c r="A20" s="50" t="s">
        <v>104</v>
      </c>
      <c r="B20" s="1">
        <v>4288.0463999999956</v>
      </c>
      <c r="D20" s="50" t="s">
        <v>24</v>
      </c>
      <c r="E20" s="1">
        <v>2751.135749999999</v>
      </c>
      <c r="G20" s="50" t="s">
        <v>131</v>
      </c>
      <c r="H20" s="1">
        <v>7113.1103999999814</v>
      </c>
      <c r="I20" s="131">
        <v>640</v>
      </c>
    </row>
    <row r="21" spans="1:10" x14ac:dyDescent="0.3">
      <c r="A21" s="50" t="s">
        <v>105</v>
      </c>
      <c r="B21" s="1">
        <v>-116.89919999999974</v>
      </c>
      <c r="D21" s="50" t="s">
        <v>11</v>
      </c>
      <c r="E21" s="1">
        <v>2744.9779499999986</v>
      </c>
      <c r="G21" s="50" t="s">
        <v>132</v>
      </c>
      <c r="H21" s="1">
        <v>5839.4852999999894</v>
      </c>
      <c r="I21" s="131">
        <v>690</v>
      </c>
    </row>
    <row r="22" spans="1:10" x14ac:dyDescent="0.3">
      <c r="A22" s="50" t="s">
        <v>126</v>
      </c>
      <c r="B22" s="1">
        <v>4753.2176999999956</v>
      </c>
      <c r="D22" s="50" t="s">
        <v>15</v>
      </c>
      <c r="E22" s="1">
        <v>2126.416049999998</v>
      </c>
      <c r="G22" s="50" t="s">
        <v>133</v>
      </c>
      <c r="H22" s="1">
        <v>7133.88554999999</v>
      </c>
      <c r="I22" s="131">
        <v>770</v>
      </c>
    </row>
    <row r="23" spans="1:10" x14ac:dyDescent="0.3">
      <c r="A23" s="50" t="s">
        <v>127</v>
      </c>
      <c r="B23" s="1">
        <v>3602.7188999999989</v>
      </c>
      <c r="D23" s="50" t="s">
        <v>27</v>
      </c>
      <c r="E23" s="1">
        <v>1825.956000000001</v>
      </c>
      <c r="G23" s="50" t="s">
        <v>150</v>
      </c>
      <c r="H23" s="1">
        <v>20086.481249999961</v>
      </c>
      <c r="I23" s="131">
        <v>2100</v>
      </c>
    </row>
    <row r="24" spans="1:10" x14ac:dyDescent="0.3">
      <c r="A24" s="50" t="s">
        <v>128</v>
      </c>
      <c r="B24" s="1">
        <v>3552.115049999999</v>
      </c>
      <c r="D24" s="50" t="s">
        <v>17</v>
      </c>
      <c r="E24" s="1">
        <v>1702.94355</v>
      </c>
    </row>
    <row r="25" spans="1:10" x14ac:dyDescent="0.3">
      <c r="A25" s="50" t="s">
        <v>129</v>
      </c>
      <c r="B25" s="1">
        <v>3983.1065999999969</v>
      </c>
      <c r="D25" s="50" t="s">
        <v>21</v>
      </c>
      <c r="E25" s="1">
        <v>1327.6939500000005</v>
      </c>
    </row>
    <row r="26" spans="1:10" x14ac:dyDescent="0.3">
      <c r="A26" s="50" t="s">
        <v>150</v>
      </c>
      <c r="B26" s="1">
        <v>20086.481249999986</v>
      </c>
      <c r="D26" s="50" t="s">
        <v>16</v>
      </c>
      <c r="E26" s="1">
        <v>896.61330000000066</v>
      </c>
    </row>
    <row r="27" spans="1:10" x14ac:dyDescent="0.3">
      <c r="D27" s="50" t="s">
        <v>150</v>
      </c>
      <c r="E27" s="1">
        <v>20086.481249999997</v>
      </c>
      <c r="G27" s="84" t="s">
        <v>149</v>
      </c>
      <c r="H27" t="s">
        <v>158</v>
      </c>
    </row>
    <row r="28" spans="1:10" x14ac:dyDescent="0.3">
      <c r="G28" s="50" t="s">
        <v>111</v>
      </c>
      <c r="H28" s="131">
        <v>607</v>
      </c>
    </row>
    <row r="29" spans="1:10" x14ac:dyDescent="0.3">
      <c r="A29" s="84" t="s">
        <v>149</v>
      </c>
      <c r="B29" t="s">
        <v>152</v>
      </c>
      <c r="D29" s="84" t="s">
        <v>149</v>
      </c>
      <c r="E29" t="s">
        <v>148</v>
      </c>
      <c r="G29" s="50" t="s">
        <v>44</v>
      </c>
      <c r="H29" s="131">
        <v>292</v>
      </c>
    </row>
    <row r="30" spans="1:10" x14ac:dyDescent="0.3">
      <c r="A30" s="50" t="s">
        <v>103</v>
      </c>
      <c r="B30" s="1">
        <v>1714.3681500000002</v>
      </c>
      <c r="D30" s="50" t="s">
        <v>103</v>
      </c>
      <c r="E30" s="1">
        <v>135.19934999999998</v>
      </c>
      <c r="G30" s="50" t="s">
        <v>45</v>
      </c>
      <c r="H30" s="131">
        <v>101</v>
      </c>
    </row>
    <row r="31" spans="1:10" x14ac:dyDescent="0.3">
      <c r="A31" s="50" t="s">
        <v>104</v>
      </c>
      <c r="B31" s="1">
        <v>1786.0441499999999</v>
      </c>
      <c r="D31" s="50" t="s">
        <v>104</v>
      </c>
      <c r="E31" s="1">
        <v>254.57355000000001</v>
      </c>
      <c r="G31" s="50" t="s">
        <v>150</v>
      </c>
      <c r="H31" s="131">
        <v>1000</v>
      </c>
    </row>
    <row r="32" spans="1:10" x14ac:dyDescent="0.3">
      <c r="A32" s="50" t="s">
        <v>105</v>
      </c>
      <c r="B32" s="1">
        <v>-493.39030000000025</v>
      </c>
      <c r="D32" s="50" t="s">
        <v>105</v>
      </c>
      <c r="E32" s="1">
        <v>-410.49855000000014</v>
      </c>
    </row>
    <row r="33" spans="1:8" x14ac:dyDescent="0.3">
      <c r="A33" s="50" t="s">
        <v>126</v>
      </c>
      <c r="B33" s="1">
        <v>1389.6283500000002</v>
      </c>
      <c r="D33" s="50" t="s">
        <v>126</v>
      </c>
      <c r="E33" s="1">
        <v>852.57315000000006</v>
      </c>
      <c r="G33" s="84" t="s">
        <v>149</v>
      </c>
      <c r="H33" t="s">
        <v>158</v>
      </c>
    </row>
    <row r="34" spans="1:8" x14ac:dyDescent="0.3">
      <c r="A34" s="50" t="s">
        <v>127</v>
      </c>
      <c r="B34" s="1">
        <v>2826.2717999999986</v>
      </c>
      <c r="D34" s="50" t="s">
        <v>127</v>
      </c>
      <c r="E34" s="1">
        <v>492.10920000000004</v>
      </c>
      <c r="G34" s="50" t="s">
        <v>42</v>
      </c>
      <c r="H34" s="131">
        <v>177</v>
      </c>
    </row>
    <row r="35" spans="1:8" x14ac:dyDescent="0.3">
      <c r="A35" s="50" t="s">
        <v>128</v>
      </c>
      <c r="B35" s="1">
        <v>1688.6330999999998</v>
      </c>
      <c r="D35" s="50" t="s">
        <v>128</v>
      </c>
      <c r="E35" s="1">
        <v>1027.98135</v>
      </c>
      <c r="G35" s="50" t="s">
        <v>41</v>
      </c>
      <c r="H35" s="131">
        <v>203</v>
      </c>
    </row>
    <row r="36" spans="1:8" x14ac:dyDescent="0.3">
      <c r="A36" s="50" t="s">
        <v>129</v>
      </c>
      <c r="B36" s="1">
        <v>2282.1183000000001</v>
      </c>
      <c r="D36" s="50" t="s">
        <v>129</v>
      </c>
      <c r="E36" s="1">
        <v>786.3768</v>
      </c>
      <c r="G36" s="50" t="s">
        <v>39</v>
      </c>
      <c r="H36" s="131">
        <v>221</v>
      </c>
    </row>
    <row r="37" spans="1:8" x14ac:dyDescent="0.3">
      <c r="A37" s="50" t="s">
        <v>150</v>
      </c>
      <c r="B37" s="1">
        <v>11193.673549999998</v>
      </c>
      <c r="D37" s="50" t="s">
        <v>150</v>
      </c>
      <c r="E37" s="1">
        <v>3138.3148499999998</v>
      </c>
      <c r="G37" s="50" t="s">
        <v>40</v>
      </c>
      <c r="H37" s="131">
        <v>200</v>
      </c>
    </row>
    <row r="38" spans="1:8" x14ac:dyDescent="0.3">
      <c r="G38" s="50" t="s">
        <v>38</v>
      </c>
      <c r="H38" s="131">
        <v>199</v>
      </c>
    </row>
    <row r="39" spans="1:8" x14ac:dyDescent="0.3">
      <c r="G39" s="50" t="s">
        <v>150</v>
      </c>
      <c r="H39" s="131">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1"/>
  <sheetViews>
    <sheetView zoomScale="111" zoomScaleNormal="111" workbookViewId="0">
      <pane xSplit="1" ySplit="1" topLeftCell="R2" activePane="bottomRight" state="frozen"/>
      <selection pane="topRight" activeCell="B1" sqref="B1"/>
      <selection pane="bottomLeft" activeCell="A3" sqref="A3"/>
      <selection pane="bottomRight" sqref="A1:Y1"/>
    </sheetView>
  </sheetViews>
  <sheetFormatPr defaultRowHeight="14.4" x14ac:dyDescent="0.3"/>
  <cols>
    <col min="1" max="1" width="9.109375" customWidth="1"/>
    <col min="2" max="2" width="12" customWidth="1"/>
    <col min="3" max="3" width="14.5546875" customWidth="1"/>
    <col min="4" max="4" width="10.109375" customWidth="1"/>
    <col min="5" max="5" width="13" customWidth="1"/>
    <col min="6" max="6" width="18.33203125" bestFit="1" customWidth="1"/>
    <col min="7" max="7" width="12.21875" bestFit="1" customWidth="1"/>
    <col min="8" max="8" width="9.5546875" customWidth="1"/>
    <col min="9" max="9" width="20.77734375" bestFit="1" customWidth="1"/>
    <col min="10" max="10" width="17.33203125" bestFit="1" customWidth="1"/>
    <col min="11" max="11" width="13.77734375" customWidth="1"/>
    <col min="12" max="12" width="15.6640625" customWidth="1"/>
    <col min="13" max="13" width="17.21875" customWidth="1"/>
    <col min="14" max="14" width="17.33203125" customWidth="1"/>
    <col min="15" max="15" width="18.109375" customWidth="1"/>
    <col min="16" max="16" width="13" customWidth="1"/>
    <col min="17" max="17" width="17.88671875" customWidth="1"/>
    <col min="18" max="18" width="19.5546875" customWidth="1"/>
    <col min="19" max="19" width="24" customWidth="1"/>
    <col min="20" max="20" width="14.109375" customWidth="1"/>
    <col min="21" max="21" width="19.21875" customWidth="1"/>
    <col min="22" max="22" width="15.88671875" customWidth="1"/>
    <col min="23" max="23" width="13.33203125" customWidth="1"/>
    <col min="24" max="24" width="18.6640625" customWidth="1"/>
    <col min="25" max="25" width="10.88671875" bestFit="1" customWidth="1"/>
    <col min="26" max="26" width="11.21875" bestFit="1" customWidth="1"/>
  </cols>
  <sheetData>
    <row r="1" spans="1:28" s="3" customFormat="1" ht="15" thickBot="1" x14ac:dyDescent="0.35">
      <c r="A1" s="80" t="s">
        <v>0</v>
      </c>
      <c r="B1" s="81" t="s">
        <v>56</v>
      </c>
      <c r="C1" s="81" t="s">
        <v>60</v>
      </c>
      <c r="D1" s="81" t="s">
        <v>101</v>
      </c>
      <c r="E1" s="81" t="s">
        <v>61</v>
      </c>
      <c r="F1" s="82" t="s">
        <v>57</v>
      </c>
      <c r="G1" s="81" t="s">
        <v>55</v>
      </c>
      <c r="H1" s="81" t="s">
        <v>4</v>
      </c>
      <c r="I1" s="81" t="s">
        <v>2</v>
      </c>
      <c r="J1" s="81" t="s">
        <v>3</v>
      </c>
      <c r="K1" s="82" t="s">
        <v>62</v>
      </c>
      <c r="L1" s="81" t="s">
        <v>43</v>
      </c>
      <c r="M1" s="82" t="s">
        <v>35</v>
      </c>
      <c r="N1" s="81" t="s">
        <v>63</v>
      </c>
      <c r="O1" s="81" t="s">
        <v>64</v>
      </c>
      <c r="P1" s="81" t="s">
        <v>49</v>
      </c>
      <c r="Q1" s="81" t="s">
        <v>46</v>
      </c>
      <c r="R1" s="81" t="s">
        <v>65</v>
      </c>
      <c r="S1" s="81" t="s">
        <v>58</v>
      </c>
      <c r="T1" s="81" t="s">
        <v>66</v>
      </c>
      <c r="U1" s="81" t="s">
        <v>59</v>
      </c>
      <c r="V1" s="81" t="s">
        <v>50</v>
      </c>
      <c r="W1" s="81" t="s">
        <v>67</v>
      </c>
      <c r="X1" s="81" t="s">
        <v>68</v>
      </c>
      <c r="Y1" s="83" t="s">
        <v>69</v>
      </c>
      <c r="AB1" s="4"/>
    </row>
    <row r="2" spans="1:28" x14ac:dyDescent="0.3">
      <c r="A2" s="75">
        <v>1</v>
      </c>
      <c r="B2" s="17">
        <v>46081</v>
      </c>
      <c r="C2" s="17">
        <v>46085</v>
      </c>
      <c r="D2" s="17" t="str">
        <f>TEXT(C2,"mmmm")</f>
        <v>March</v>
      </c>
      <c r="E2" s="18" t="str">
        <f ca="1">"STU-"&amp;RANDBETWEEN(1,1000)</f>
        <v>STU-859</v>
      </c>
      <c r="F2" s="18" t="str">
        <f ca="1">IF(COUNTIF($E$2:E2,E2)=1,"New Customer","Returning Customer")</f>
        <v>New Customer</v>
      </c>
      <c r="G2" s="18" t="str">
        <f ca="1">CHOOSE(RANDBETWEEN(1,3),"Male","Female","Not specified")</f>
        <v>Male</v>
      </c>
      <c r="H2" s="18" t="s">
        <v>135</v>
      </c>
      <c r="I2" s="18" t="str" cm="1">
        <f t="array" aca="1" ref="I2" ca="1">INDEX(Courses!$B$9:$B$16,RANDBETWEEN(1,8))</f>
        <v>Tax Code</v>
      </c>
      <c r="J2" s="18" t="str">
        <f ca="1">VLOOKUP(I2,Courses!$B$9:$C$16,2,0)</f>
        <v>Finance &amp; Taxation</v>
      </c>
      <c r="K2" s="19">
        <f ca="1">VLOOKUP(I2,Courses!$B$9:$D$16,3,0)</f>
        <v>59</v>
      </c>
      <c r="L2" s="18" t="str">
        <f ca="1">IF(RAND()&lt;0.6,"Paid",IF(RAND()&lt;0.75,"Pending","Refunded"))</f>
        <v>Pending</v>
      </c>
      <c r="M2" s="20" t="str" cm="1">
        <f t="array" aca="1" ref="M2" ca="1">INDEX('Payment Method'!$A$8:$A$12,RANDBETWEEN(1,5))</f>
        <v>Bank Transfer</v>
      </c>
      <c r="N2" s="7">
        <f>IFERROR(SUMIF(Holiday!$A$8:$A$11,B2,Holiday!$C$8:$C$11),0)</f>
        <v>0</v>
      </c>
      <c r="O2" s="19">
        <f ca="1">K2-K2*N2</f>
        <v>59</v>
      </c>
      <c r="P2" s="19">
        <f ca="1">O2-S2</f>
        <v>59</v>
      </c>
      <c r="Q2" s="19">
        <f ca="1">IF(L2="pending",K2-N2,0)</f>
        <v>59</v>
      </c>
      <c r="R2" s="20">
        <f ca="1">VLOOKUP(M2,'Payment Method'!$A$8:$B$12,2,0)</f>
        <v>0</v>
      </c>
      <c r="S2" s="21">
        <f t="shared" ref="S2:S65" ca="1" si="0">O2-(O2-O2*R2)</f>
        <v>0</v>
      </c>
      <c r="T2" s="20">
        <v>0.01</v>
      </c>
      <c r="U2" s="21">
        <f t="shared" ref="U2:U65" ca="1" si="1">O2-S2-((O2-S2)-(O2-S2)*T2)</f>
        <v>0.59000000000000341</v>
      </c>
      <c r="V2" s="19">
        <f t="shared" ref="V2:V65" ca="1" si="2">IF(L2="refunded",(K2-K2*N2)-(K2-K2*N2)*R2-((K2-K2*N2)-(K2-K2*N2)*R2)*T2,0)</f>
        <v>0</v>
      </c>
      <c r="W2" s="7">
        <f t="shared" ref="W2:W65" ca="1" si="3">IF(L2="paid",(K2-K2*N2)-(K2-K2*N2)*R2-((K2-K2*N2)-(K2-K2*N2)*R2)*T2,0)</f>
        <v>0</v>
      </c>
      <c r="X2" s="18" t="str">
        <f ca="1">CHOOSE(RANDBETWEEN(1,3),"Facebook","Instagram","Tiktok")</f>
        <v>Instagram</v>
      </c>
      <c r="Y2" s="77" t="str">
        <f>IF(COUNTIF($C$1:C1,B1)=1,10,"")</f>
        <v/>
      </c>
    </row>
    <row r="3" spans="1:28" x14ac:dyDescent="0.3">
      <c r="A3" s="76">
        <v>2</v>
      </c>
      <c r="B3" s="6">
        <v>46198</v>
      </c>
      <c r="C3" s="6">
        <v>46202</v>
      </c>
      <c r="D3" s="17" t="str">
        <f t="shared" ref="D3:D66" si="4">TEXT(C3,"mmmm")</f>
        <v>June</v>
      </c>
      <c r="E3" s="5" t="str">
        <f t="shared" ref="E3:E66" ca="1" si="5">"STU-"&amp;RANDBETWEEN(1,1000)</f>
        <v>STU-494</v>
      </c>
      <c r="F3" s="5" t="str">
        <f ca="1">IF(COUNTIF($E$2:E3,E3)=1,"New Customer","Returning Customer")</f>
        <v>New Customer</v>
      </c>
      <c r="G3" s="5" t="str">
        <f t="shared" ref="G3:G66" ca="1" si="6">CHOOSE(RANDBETWEEN(1,3),"Male","Female","Not specified")</f>
        <v>Not specified</v>
      </c>
      <c r="H3" s="5" t="s">
        <v>136</v>
      </c>
      <c r="I3" s="5" t="str" cm="1">
        <f t="array" aca="1" ref="I3" ca="1">INDEX(Courses!$B$9:$B$16,RANDBETWEEN(1,8))</f>
        <v>Excel Basics</v>
      </c>
      <c r="J3" s="5" t="str">
        <f ca="1">VLOOKUP(I3,Courses!$B$9:$C$16,2,0)</f>
        <v>Microsoft Office</v>
      </c>
      <c r="K3" s="7">
        <f ca="1">VLOOKUP(I3,Courses!$B$9:$D$16,3,0)</f>
        <v>29</v>
      </c>
      <c r="L3" s="5" t="str">
        <f t="shared" ref="L3:L66" ca="1" si="7">IF(RAND()&lt;0.6,"Paid",IF(RAND()&lt;0.75,"Pending","Refunded"))</f>
        <v>Paid</v>
      </c>
      <c r="M3" s="8" t="str" cm="1">
        <f t="array" aca="1" ref="M3" ca="1">INDEX('Payment Method'!$A$8:$A$12,RANDBETWEEN(1,5))</f>
        <v>Visa Credit</v>
      </c>
      <c r="N3" s="7">
        <f>IFERROR(SUMIF(Holiday!$A$8:$A$11,B3,Holiday!$C$8:$C$11),0)</f>
        <v>0</v>
      </c>
      <c r="O3" s="7">
        <f t="shared" ref="O3:O66" ca="1" si="8">K3-K3*N3</f>
        <v>29</v>
      </c>
      <c r="P3" s="19">
        <f t="shared" ref="P3:P66" ca="1" si="9">O3-S3</f>
        <v>27.984999999999999</v>
      </c>
      <c r="Q3" s="7">
        <f t="shared" ref="Q3:Q66" ca="1" si="10">IF(L3="pending",(K3-K3*N3)-(K3-K3*N3)*R3-((K3-K3*N3)-(K3-K3*N3)*R3)*T3,0)</f>
        <v>0</v>
      </c>
      <c r="R3" s="8">
        <f ca="1">VLOOKUP(M3,'Payment Method'!$A$8:$B$12,2,0)</f>
        <v>3.5000000000000003E-2</v>
      </c>
      <c r="S3" s="9">
        <f t="shared" ca="1" si="0"/>
        <v>1.0150000000000006</v>
      </c>
      <c r="T3" s="8">
        <v>0.01</v>
      </c>
      <c r="U3" s="9">
        <f t="shared" ca="1" si="1"/>
        <v>0.27984999999999971</v>
      </c>
      <c r="V3" s="7">
        <f t="shared" ca="1" si="2"/>
        <v>0</v>
      </c>
      <c r="W3" s="7">
        <f t="shared" ca="1" si="3"/>
        <v>27.70515</v>
      </c>
      <c r="X3" s="5" t="str">
        <f t="shared" ref="X3:X66" ca="1" si="11">CHOOSE(RANDBETWEEN(1,3),"Facebook","Instagram","Tiktok")</f>
        <v>Tiktok</v>
      </c>
      <c r="Y3" s="78" t="str">
        <f>IF(COUNTIF($C$1:C2,B2)=1,10,"")</f>
        <v/>
      </c>
    </row>
    <row r="4" spans="1:28" x14ac:dyDescent="0.3">
      <c r="A4" s="75">
        <v>3</v>
      </c>
      <c r="B4" s="6">
        <v>46233</v>
      </c>
      <c r="C4" s="6">
        <v>46233</v>
      </c>
      <c r="D4" s="17" t="str">
        <f t="shared" si="4"/>
        <v>July</v>
      </c>
      <c r="E4" s="5" t="str">
        <f t="shared" ca="1" si="5"/>
        <v>STU-296</v>
      </c>
      <c r="F4" s="5" t="str">
        <f ca="1">IF(COUNTIF($E$2:E4,E4)=1,"New Customer","Returning Customer")</f>
        <v>New Customer</v>
      </c>
      <c r="G4" s="5" t="str">
        <f t="shared" ca="1" si="6"/>
        <v>Male</v>
      </c>
      <c r="H4" s="5" t="s">
        <v>137</v>
      </c>
      <c r="I4" s="5" t="str" cm="1">
        <f t="array" aca="1" ref="I4" ca="1">INDEX(Courses!$B$9:$B$16,RANDBETWEEN(1,8))</f>
        <v>Tax Code</v>
      </c>
      <c r="J4" s="5" t="str">
        <f ca="1">VLOOKUP(I4,Courses!$B$9:$C$16,2,0)</f>
        <v>Finance &amp; Taxation</v>
      </c>
      <c r="K4" s="7">
        <f ca="1">VLOOKUP(I4,Courses!$B$9:$D$16,3,0)</f>
        <v>59</v>
      </c>
      <c r="L4" s="5" t="str">
        <f t="shared" ca="1" si="7"/>
        <v>Pending</v>
      </c>
      <c r="M4" s="8" t="str" cm="1">
        <f t="array" aca="1" ref="M4" ca="1">INDEX('Payment Method'!$A$8:$A$12,RANDBETWEEN(1,5))</f>
        <v>Mastercard Credit</v>
      </c>
      <c r="N4" s="7">
        <f>IFERROR(SUMIF(Holiday!$A$8:$A$11,B4,Holiday!$C$8:$C$11),0)</f>
        <v>0</v>
      </c>
      <c r="O4" s="7">
        <f t="shared" ca="1" si="8"/>
        <v>59</v>
      </c>
      <c r="P4" s="19">
        <f t="shared" ca="1" si="9"/>
        <v>56.935000000000002</v>
      </c>
      <c r="Q4" s="7">
        <f t="shared" ca="1" si="10"/>
        <v>56.365650000000002</v>
      </c>
      <c r="R4" s="8">
        <f ca="1">VLOOKUP(M4,'Payment Method'!$A$8:$B$12,2,0)</f>
        <v>3.5000000000000003E-2</v>
      </c>
      <c r="S4" s="9">
        <f t="shared" ca="1" si="0"/>
        <v>2.0649999999999977</v>
      </c>
      <c r="T4" s="8">
        <v>0.01</v>
      </c>
      <c r="U4" s="9">
        <f t="shared" ca="1" si="1"/>
        <v>0.56935000000000002</v>
      </c>
      <c r="V4" s="7">
        <f t="shared" ca="1" si="2"/>
        <v>0</v>
      </c>
      <c r="W4" s="7">
        <f t="shared" ca="1" si="3"/>
        <v>0</v>
      </c>
      <c r="X4" s="5" t="str">
        <f t="shared" ca="1" si="11"/>
        <v>Instagram</v>
      </c>
      <c r="Y4" s="78" t="str">
        <f>IF(COUNTIF($C$1:C3,B3)=1,10,"")</f>
        <v/>
      </c>
    </row>
    <row r="5" spans="1:28" x14ac:dyDescent="0.3">
      <c r="A5" s="76">
        <v>4</v>
      </c>
      <c r="B5" s="6">
        <v>46159</v>
      </c>
      <c r="C5" s="6">
        <v>46163</v>
      </c>
      <c r="D5" s="17" t="str">
        <f t="shared" si="4"/>
        <v>May</v>
      </c>
      <c r="E5" s="5" t="str">
        <f t="shared" ca="1" si="5"/>
        <v>STU-531</v>
      </c>
      <c r="F5" s="5" t="str">
        <f ca="1">IF(COUNTIF($E$2:E5,E5)=1,"New Customer","Returning Customer")</f>
        <v>New Customer</v>
      </c>
      <c r="G5" s="5" t="str">
        <f t="shared" ca="1" si="6"/>
        <v>Not specified</v>
      </c>
      <c r="H5" s="5" t="s">
        <v>137</v>
      </c>
      <c r="I5" s="5" t="str" cm="1">
        <f t="array" aca="1" ref="I5" ca="1">INDEX(Courses!$B$9:$B$16,RANDBETWEEN(1,8))</f>
        <v>Microsoft Word</v>
      </c>
      <c r="J5" s="5" t="str">
        <f ca="1">VLOOKUP(I5,Courses!$B$9:$C$16,2,0)</f>
        <v>Microsoft Office</v>
      </c>
      <c r="K5" s="7">
        <f ca="1">VLOOKUP(I5,Courses!$B$9:$D$16,3,0)</f>
        <v>29</v>
      </c>
      <c r="L5" s="5" t="str">
        <f t="shared" ca="1" si="7"/>
        <v>Paid</v>
      </c>
      <c r="M5" s="8" t="str" cm="1">
        <f t="array" aca="1" ref="M5" ca="1">INDEX('Payment Method'!$A$8:$A$12,RANDBETWEEN(1,5))</f>
        <v>Visa Credit</v>
      </c>
      <c r="N5" s="7">
        <f>IFERROR(SUMIF(Holiday!$A$8:$A$11,B5,Holiday!$C$8:$C$11),0)</f>
        <v>0</v>
      </c>
      <c r="O5" s="7">
        <f t="shared" ca="1" si="8"/>
        <v>29</v>
      </c>
      <c r="P5" s="19">
        <f t="shared" ca="1" si="9"/>
        <v>27.984999999999999</v>
      </c>
      <c r="Q5" s="7">
        <f t="shared" ca="1" si="10"/>
        <v>0</v>
      </c>
      <c r="R5" s="8">
        <f ca="1">VLOOKUP(M5,'Payment Method'!$A$8:$B$12,2,0)</f>
        <v>3.5000000000000003E-2</v>
      </c>
      <c r="S5" s="9">
        <f t="shared" ca="1" si="0"/>
        <v>1.0150000000000006</v>
      </c>
      <c r="T5" s="8">
        <v>0.01</v>
      </c>
      <c r="U5" s="9">
        <f t="shared" ca="1" si="1"/>
        <v>0.27984999999999971</v>
      </c>
      <c r="V5" s="7">
        <f t="shared" ca="1" si="2"/>
        <v>0</v>
      </c>
      <c r="W5" s="7">
        <f t="shared" ca="1" si="3"/>
        <v>27.70515</v>
      </c>
      <c r="X5" s="5" t="str">
        <f t="shared" ca="1" si="11"/>
        <v>Tiktok</v>
      </c>
      <c r="Y5" s="78">
        <f>IF(COUNTIF($C$1:C4,B4)=1,10,"")</f>
        <v>10</v>
      </c>
    </row>
    <row r="6" spans="1:28" x14ac:dyDescent="0.3">
      <c r="A6" s="75">
        <v>5</v>
      </c>
      <c r="B6" s="6">
        <v>46031</v>
      </c>
      <c r="C6" s="6">
        <v>46035</v>
      </c>
      <c r="D6" s="17" t="str">
        <f t="shared" si="4"/>
        <v>January</v>
      </c>
      <c r="E6" s="5" t="str">
        <f t="shared" ca="1" si="5"/>
        <v>STU-831</v>
      </c>
      <c r="F6" s="5" t="str">
        <f ca="1">IF(COUNTIF($E$2:E6,E6)=1,"New Customer","Returning Customer")</f>
        <v>New Customer</v>
      </c>
      <c r="G6" s="5" t="str">
        <f t="shared" ca="1" si="6"/>
        <v>Male</v>
      </c>
      <c r="H6" s="5" t="s">
        <v>138</v>
      </c>
      <c r="I6" s="5" t="str" cm="1">
        <f t="array" aca="1" ref="I6" ca="1">INDEX(Courses!$B$9:$B$16,RANDBETWEEN(1,8))</f>
        <v>Tax Code</v>
      </c>
      <c r="J6" s="5" t="str">
        <f ca="1">VLOOKUP(I6,Courses!$B$9:$C$16,2,0)</f>
        <v>Finance &amp; Taxation</v>
      </c>
      <c r="K6" s="7">
        <f ca="1">VLOOKUP(I6,Courses!$B$9:$D$16,3,0)</f>
        <v>59</v>
      </c>
      <c r="L6" s="5" t="str">
        <f t="shared" ca="1" si="7"/>
        <v>Paid</v>
      </c>
      <c r="M6" s="8" t="str" cm="1">
        <f t="array" aca="1" ref="M6" ca="1">INDEX('Payment Method'!$A$8:$A$12,RANDBETWEEN(1,5))</f>
        <v>Bank Transfer</v>
      </c>
      <c r="N6" s="7">
        <f>IFERROR(SUMIF(Holiday!$A$8:$A$11,B6,Holiday!$C$8:$C$11),0)</f>
        <v>0</v>
      </c>
      <c r="O6" s="7">
        <f t="shared" ca="1" si="8"/>
        <v>59</v>
      </c>
      <c r="P6" s="19">
        <f t="shared" ca="1" si="9"/>
        <v>59</v>
      </c>
      <c r="Q6" s="7">
        <f t="shared" ca="1" si="10"/>
        <v>0</v>
      </c>
      <c r="R6" s="8">
        <f ca="1">VLOOKUP(M6,'Payment Method'!$A$8:$B$12,2,0)</f>
        <v>0</v>
      </c>
      <c r="S6" s="9">
        <f t="shared" ca="1" si="0"/>
        <v>0</v>
      </c>
      <c r="T6" s="8">
        <v>0.01</v>
      </c>
      <c r="U6" s="9">
        <f t="shared" ca="1" si="1"/>
        <v>0.59000000000000341</v>
      </c>
      <c r="V6" s="7">
        <f t="shared" ca="1" si="2"/>
        <v>0</v>
      </c>
      <c r="W6" s="7">
        <f t="shared" ca="1" si="3"/>
        <v>58.41</v>
      </c>
      <c r="X6" s="5" t="str">
        <f t="shared" ca="1" si="11"/>
        <v>Tiktok</v>
      </c>
      <c r="Y6" s="78" t="str">
        <f>IF(COUNTIF($C$1:C5,B5)=1,10,"")</f>
        <v/>
      </c>
    </row>
    <row r="7" spans="1:28" x14ac:dyDescent="0.3">
      <c r="A7" s="76">
        <v>6</v>
      </c>
      <c r="B7" s="6">
        <v>46126</v>
      </c>
      <c r="C7" s="6">
        <v>46126</v>
      </c>
      <c r="D7" s="17" t="str">
        <f t="shared" si="4"/>
        <v>April</v>
      </c>
      <c r="E7" s="5" t="str">
        <f t="shared" ca="1" si="5"/>
        <v>STU-631</v>
      </c>
      <c r="F7" s="5" t="str">
        <f ca="1">IF(COUNTIF($E$2:E7,E7)=1,"New Customer","Returning Customer")</f>
        <v>New Customer</v>
      </c>
      <c r="G7" s="5" t="str">
        <f t="shared" ca="1" si="6"/>
        <v>Female</v>
      </c>
      <c r="H7" s="5" t="s">
        <v>139</v>
      </c>
      <c r="I7" s="5" t="str" cm="1">
        <f t="array" aca="1" ref="I7" ca="1">INDEX(Courses!$B$9:$B$16,RANDBETWEEN(1,8))</f>
        <v>Excel Basics</v>
      </c>
      <c r="J7" s="5" t="str">
        <f ca="1">VLOOKUP(I7,Courses!$B$9:$C$16,2,0)</f>
        <v>Microsoft Office</v>
      </c>
      <c r="K7" s="7">
        <f ca="1">VLOOKUP(I7,Courses!$B$9:$D$16,3,0)</f>
        <v>29</v>
      </c>
      <c r="L7" s="5" t="str">
        <f t="shared" ca="1" si="7"/>
        <v>Pending</v>
      </c>
      <c r="M7" s="8" t="str" cm="1">
        <f t="array" aca="1" ref="M7" ca="1">INDEX('Payment Method'!$A$8:$A$12,RANDBETWEEN(1,5))</f>
        <v>Bank Transfer</v>
      </c>
      <c r="N7" s="7">
        <f>IFERROR(SUMIF(Holiday!$A$8:$A$11,B7,Holiday!$C$8:$C$11),0)</f>
        <v>0</v>
      </c>
      <c r="O7" s="7">
        <f t="shared" ca="1" si="8"/>
        <v>29</v>
      </c>
      <c r="P7" s="19">
        <f t="shared" ca="1" si="9"/>
        <v>29</v>
      </c>
      <c r="Q7" s="7">
        <f t="shared" ca="1" si="10"/>
        <v>28.71</v>
      </c>
      <c r="R7" s="8">
        <f ca="1">VLOOKUP(M7,'Payment Method'!$A$8:$B$12,2,0)</f>
        <v>0</v>
      </c>
      <c r="S7" s="9">
        <f t="shared" ca="1" si="0"/>
        <v>0</v>
      </c>
      <c r="T7" s="8">
        <v>0.01</v>
      </c>
      <c r="U7" s="9">
        <f t="shared" ca="1" si="1"/>
        <v>0.28999999999999915</v>
      </c>
      <c r="V7" s="7">
        <f t="shared" ca="1" si="2"/>
        <v>0</v>
      </c>
      <c r="W7" s="7">
        <f t="shared" ca="1" si="3"/>
        <v>0</v>
      </c>
      <c r="X7" s="5" t="str">
        <f t="shared" ca="1" si="11"/>
        <v>Tiktok</v>
      </c>
      <c r="Y7" s="78" t="str">
        <f>IF(COUNTIF($C$1:C6,B6)=1,10,"")</f>
        <v/>
      </c>
    </row>
    <row r="8" spans="1:28" x14ac:dyDescent="0.3">
      <c r="A8" s="75">
        <v>7</v>
      </c>
      <c r="B8" s="6">
        <v>46155</v>
      </c>
      <c r="C8" s="6">
        <v>46156</v>
      </c>
      <c r="D8" s="17" t="str">
        <f t="shared" si="4"/>
        <v>May</v>
      </c>
      <c r="E8" s="5" t="str">
        <f t="shared" ca="1" si="5"/>
        <v>STU-825</v>
      </c>
      <c r="F8" s="5" t="str">
        <f ca="1">IF(COUNTIF($E$2:E8,E8)=1,"New Customer","Returning Customer")</f>
        <v>New Customer</v>
      </c>
      <c r="G8" s="5" t="str">
        <f t="shared" ca="1" si="6"/>
        <v>Male</v>
      </c>
      <c r="H8" s="5" t="s">
        <v>138</v>
      </c>
      <c r="I8" s="5" t="str" cm="1">
        <f t="array" aca="1" ref="I8" ca="1">INDEX(Courses!$B$9:$B$16,RANDBETWEEN(1,8))</f>
        <v>SQL</v>
      </c>
      <c r="J8" s="5" t="str">
        <f ca="1">VLOOKUP(I8,Courses!$B$9:$C$16,2,0)</f>
        <v>Data Analytics</v>
      </c>
      <c r="K8" s="7">
        <f ca="1">VLOOKUP(I8,Courses!$B$9:$D$16,3,0)</f>
        <v>99</v>
      </c>
      <c r="L8" s="5" t="str">
        <f t="shared" ca="1" si="7"/>
        <v>Pending</v>
      </c>
      <c r="M8" s="8" t="str" cm="1">
        <f t="array" aca="1" ref="M8" ca="1">INDEX('Payment Method'!$A$8:$A$12,RANDBETWEEN(1,5))</f>
        <v>Visa Credit</v>
      </c>
      <c r="N8" s="7">
        <f>IFERROR(SUMIF(Holiday!$A$8:$A$11,B8,Holiday!$C$8:$C$11),0)</f>
        <v>0</v>
      </c>
      <c r="O8" s="7">
        <f t="shared" ca="1" si="8"/>
        <v>99</v>
      </c>
      <c r="P8" s="19">
        <f t="shared" ca="1" si="9"/>
        <v>95.534999999999997</v>
      </c>
      <c r="Q8" s="7">
        <f t="shared" ca="1" si="10"/>
        <v>94.579650000000001</v>
      </c>
      <c r="R8" s="8">
        <f ca="1">VLOOKUP(M8,'Payment Method'!$A$8:$B$12,2,0)</f>
        <v>3.5000000000000003E-2</v>
      </c>
      <c r="S8" s="9">
        <f t="shared" ca="1" si="0"/>
        <v>3.4650000000000034</v>
      </c>
      <c r="T8" s="8">
        <v>0.01</v>
      </c>
      <c r="U8" s="9">
        <f t="shared" ca="1" si="1"/>
        <v>0.9553499999999957</v>
      </c>
      <c r="V8" s="7">
        <f t="shared" ca="1" si="2"/>
        <v>0</v>
      </c>
      <c r="W8" s="7">
        <f t="shared" ca="1" si="3"/>
        <v>0</v>
      </c>
      <c r="X8" s="5" t="str">
        <f t="shared" ca="1" si="11"/>
        <v>Instagram</v>
      </c>
      <c r="Y8" s="78">
        <f>IF(COUNTIF($C$1:C7,B7)=1,10,"")</f>
        <v>10</v>
      </c>
    </row>
    <row r="9" spans="1:28" x14ac:dyDescent="0.3">
      <c r="A9" s="76">
        <v>8</v>
      </c>
      <c r="B9" s="6">
        <v>46039</v>
      </c>
      <c r="C9" s="6">
        <v>46040</v>
      </c>
      <c r="D9" s="17" t="str">
        <f t="shared" si="4"/>
        <v>January</v>
      </c>
      <c r="E9" s="5" t="str">
        <f t="shared" ca="1" si="5"/>
        <v>STU-36</v>
      </c>
      <c r="F9" s="5" t="str">
        <f ca="1">IF(COUNTIF($E$2:E9,E9)=1,"New Customer","Returning Customer")</f>
        <v>New Customer</v>
      </c>
      <c r="G9" s="5" t="str">
        <f t="shared" ca="1" si="6"/>
        <v>Male</v>
      </c>
      <c r="H9" s="5" t="s">
        <v>140</v>
      </c>
      <c r="I9" s="5" t="str" cm="1">
        <f t="array" aca="1" ref="I9" ca="1">INDEX(Courses!$B$9:$B$16,RANDBETWEEN(1,8))</f>
        <v>PowerPoint</v>
      </c>
      <c r="J9" s="5" t="str">
        <f ca="1">VLOOKUP(I9,Courses!$B$9:$C$16,2,0)</f>
        <v>Microsoft Office</v>
      </c>
      <c r="K9" s="7">
        <f ca="1">VLOOKUP(I9,Courses!$B$9:$D$16,3,0)</f>
        <v>29</v>
      </c>
      <c r="L9" s="5" t="str">
        <f t="shared" ca="1" si="7"/>
        <v>Paid</v>
      </c>
      <c r="M9" s="8" t="str" cm="1">
        <f t="array" aca="1" ref="M9" ca="1">INDEX('Payment Method'!$A$8:$A$12,RANDBETWEEN(1,5))</f>
        <v>Bank Transfer</v>
      </c>
      <c r="N9" s="7">
        <f>IFERROR(SUMIF(Holiday!$A$8:$A$11,B9,Holiday!$C$8:$C$11),0)</f>
        <v>0</v>
      </c>
      <c r="O9" s="7">
        <f t="shared" ca="1" si="8"/>
        <v>29</v>
      </c>
      <c r="P9" s="19">
        <f t="shared" ca="1" si="9"/>
        <v>29</v>
      </c>
      <c r="Q9" s="7">
        <f t="shared" ca="1" si="10"/>
        <v>0</v>
      </c>
      <c r="R9" s="8">
        <f ca="1">VLOOKUP(M9,'Payment Method'!$A$8:$B$12,2,0)</f>
        <v>0</v>
      </c>
      <c r="S9" s="9">
        <f t="shared" ca="1" si="0"/>
        <v>0</v>
      </c>
      <c r="T9" s="8">
        <v>0.01</v>
      </c>
      <c r="U9" s="9">
        <f t="shared" ca="1" si="1"/>
        <v>0.28999999999999915</v>
      </c>
      <c r="V9" s="7">
        <f t="shared" ca="1" si="2"/>
        <v>0</v>
      </c>
      <c r="W9" s="7">
        <f t="shared" ca="1" si="3"/>
        <v>28.71</v>
      </c>
      <c r="X9" s="5" t="str">
        <f t="shared" ca="1" si="11"/>
        <v>Instagram</v>
      </c>
      <c r="Y9" s="78" t="str">
        <f>IF(COUNTIF($C$1:C8,B8)=1,10,"")</f>
        <v/>
      </c>
    </row>
    <row r="10" spans="1:28" x14ac:dyDescent="0.3">
      <c r="A10" s="75">
        <v>9</v>
      </c>
      <c r="B10" s="6">
        <v>46178</v>
      </c>
      <c r="C10" s="6">
        <v>46180</v>
      </c>
      <c r="D10" s="17" t="str">
        <f t="shared" si="4"/>
        <v>June</v>
      </c>
      <c r="E10" s="5" t="str">
        <f t="shared" ca="1" si="5"/>
        <v>STU-653</v>
      </c>
      <c r="F10" s="5" t="str">
        <f ca="1">IF(COUNTIF($E$2:E10,E10)=1,"New Customer","Returning Customer")</f>
        <v>New Customer</v>
      </c>
      <c r="G10" s="5" t="str">
        <f t="shared" ca="1" si="6"/>
        <v>Not specified</v>
      </c>
      <c r="H10" s="5" t="s">
        <v>135</v>
      </c>
      <c r="I10" s="5" t="str" cm="1">
        <f t="array" aca="1" ref="I10" ca="1">INDEX(Courses!$B$9:$B$16,RANDBETWEEN(1,8))</f>
        <v>SQL</v>
      </c>
      <c r="J10" s="5" t="str">
        <f ca="1">VLOOKUP(I10,Courses!$B$9:$C$16,2,0)</f>
        <v>Data Analytics</v>
      </c>
      <c r="K10" s="7">
        <f ca="1">VLOOKUP(I10,Courses!$B$9:$D$16,3,0)</f>
        <v>99</v>
      </c>
      <c r="L10" s="5" t="str">
        <f t="shared" ca="1" si="7"/>
        <v>Pending</v>
      </c>
      <c r="M10" s="8" t="str" cm="1">
        <f t="array" aca="1" ref="M10" ca="1">INDEX('Payment Method'!$A$8:$A$12,RANDBETWEEN(1,5))</f>
        <v>Mastercard Debit</v>
      </c>
      <c r="N10" s="7">
        <f>IFERROR(SUMIF(Holiday!$A$8:$A$11,B10,Holiday!$C$8:$C$11),0)</f>
        <v>0</v>
      </c>
      <c r="O10" s="7">
        <f t="shared" ca="1" si="8"/>
        <v>99</v>
      </c>
      <c r="P10" s="19">
        <f t="shared" ca="1" si="9"/>
        <v>97.02</v>
      </c>
      <c r="Q10" s="7">
        <f t="shared" ca="1" si="10"/>
        <v>96.049799999999991</v>
      </c>
      <c r="R10" s="8">
        <f ca="1">VLOOKUP(M10,'Payment Method'!$A$8:$B$12,2,0)</f>
        <v>0.02</v>
      </c>
      <c r="S10" s="9">
        <f t="shared" ca="1" si="0"/>
        <v>1.980000000000004</v>
      </c>
      <c r="T10" s="8">
        <v>0.01</v>
      </c>
      <c r="U10" s="9">
        <f t="shared" ca="1" si="1"/>
        <v>0.9702000000000055</v>
      </c>
      <c r="V10" s="7">
        <f t="shared" ca="1" si="2"/>
        <v>0</v>
      </c>
      <c r="W10" s="7">
        <f t="shared" ca="1" si="3"/>
        <v>0</v>
      </c>
      <c r="X10" s="5" t="str">
        <f t="shared" ca="1" si="11"/>
        <v>Facebook</v>
      </c>
      <c r="Y10" s="78" t="str">
        <f>IF(COUNTIF($C$1:C9,B9)=1,10,"")</f>
        <v/>
      </c>
    </row>
    <row r="11" spans="1:28" x14ac:dyDescent="0.3">
      <c r="A11" s="76">
        <v>10</v>
      </c>
      <c r="B11" s="6">
        <v>46037</v>
      </c>
      <c r="C11" s="6">
        <v>46042</v>
      </c>
      <c r="D11" s="17" t="str">
        <f t="shared" si="4"/>
        <v>January</v>
      </c>
      <c r="E11" s="5" t="str">
        <f t="shared" ca="1" si="5"/>
        <v>STU-8</v>
      </c>
      <c r="F11" s="5" t="str">
        <f ca="1">IF(COUNTIF($E$2:E11,E11)=1,"New Customer","Returning Customer")</f>
        <v>New Customer</v>
      </c>
      <c r="G11" s="5" t="str">
        <f t="shared" ca="1" si="6"/>
        <v>Male</v>
      </c>
      <c r="H11" s="5" t="s">
        <v>136</v>
      </c>
      <c r="I11" s="5" t="str" cm="1">
        <f t="array" aca="1" ref="I11" ca="1">INDEX(Courses!$B$9:$B$16,RANDBETWEEN(1,8))</f>
        <v>Complete Excel Course</v>
      </c>
      <c r="J11" s="5" t="str">
        <f ca="1">VLOOKUP(I11,Courses!$B$9:$C$16,2,0)</f>
        <v>Microsoft Office</v>
      </c>
      <c r="K11" s="7">
        <f ca="1">VLOOKUP(I11,Courses!$B$9:$D$16,3,0)</f>
        <v>59</v>
      </c>
      <c r="L11" s="5" t="str">
        <f t="shared" ca="1" si="7"/>
        <v>Paid</v>
      </c>
      <c r="M11" s="8" t="str" cm="1">
        <f t="array" aca="1" ref="M11" ca="1">INDEX('Payment Method'!$A$8:$A$12,RANDBETWEEN(1,5))</f>
        <v>Visa Debit</v>
      </c>
      <c r="N11" s="7">
        <f>IFERROR(SUMIF(Holiday!$A$8:$A$11,B11,Holiday!$C$8:$C$11),0)</f>
        <v>0</v>
      </c>
      <c r="O11" s="7">
        <f t="shared" ca="1" si="8"/>
        <v>59</v>
      </c>
      <c r="P11" s="19">
        <f t="shared" ca="1" si="9"/>
        <v>57.82</v>
      </c>
      <c r="Q11" s="7">
        <f t="shared" ca="1" si="10"/>
        <v>0</v>
      </c>
      <c r="R11" s="8">
        <f ca="1">VLOOKUP(M11,'Payment Method'!$A$8:$B$12,2,0)</f>
        <v>0.02</v>
      </c>
      <c r="S11" s="9">
        <f t="shared" ca="1" si="0"/>
        <v>1.1799999999999997</v>
      </c>
      <c r="T11" s="8">
        <v>0.01</v>
      </c>
      <c r="U11" s="9">
        <f t="shared" ca="1" si="1"/>
        <v>0.57820000000000249</v>
      </c>
      <c r="V11" s="7">
        <f t="shared" ca="1" si="2"/>
        <v>0</v>
      </c>
      <c r="W11" s="7">
        <f t="shared" ca="1" si="3"/>
        <v>57.241799999999998</v>
      </c>
      <c r="X11" s="5" t="str">
        <f t="shared" ca="1" si="11"/>
        <v>Instagram</v>
      </c>
      <c r="Y11" s="78" t="str">
        <f>IF(COUNTIF($C$1:C10,B10)=1,10,"")</f>
        <v/>
      </c>
    </row>
    <row r="12" spans="1:28" x14ac:dyDescent="0.3">
      <c r="A12" s="75">
        <v>11</v>
      </c>
      <c r="B12" s="6">
        <v>46228</v>
      </c>
      <c r="C12" s="6">
        <v>46231</v>
      </c>
      <c r="D12" s="17" t="str">
        <f t="shared" si="4"/>
        <v>July</v>
      </c>
      <c r="E12" s="5" t="str">
        <f t="shared" ca="1" si="5"/>
        <v>STU-930</v>
      </c>
      <c r="F12" s="5" t="str">
        <f ca="1">IF(COUNTIF($E$2:E12,E12)=1,"New Customer","Returning Customer")</f>
        <v>New Customer</v>
      </c>
      <c r="G12" s="5" t="str">
        <f t="shared" ca="1" si="6"/>
        <v>Female</v>
      </c>
      <c r="H12" s="5" t="s">
        <v>137</v>
      </c>
      <c r="I12" s="5" t="str" cm="1">
        <f t="array" aca="1" ref="I12" ca="1">INDEX(Courses!$B$9:$B$16,RANDBETWEEN(1,8))</f>
        <v>Adolescent Psychology</v>
      </c>
      <c r="J12" s="5" t="str">
        <f ca="1">VLOOKUP(I12,Courses!$B$9:$C$16,2,0)</f>
        <v>Psychology</v>
      </c>
      <c r="K12" s="7">
        <f ca="1">VLOOKUP(I12,Courses!$B$9:$D$16,3,0)</f>
        <v>29</v>
      </c>
      <c r="L12" s="5" t="str">
        <f t="shared" ca="1" si="7"/>
        <v>Paid</v>
      </c>
      <c r="M12" s="8" t="str" cm="1">
        <f t="array" aca="1" ref="M12" ca="1">INDEX('Payment Method'!$A$8:$A$12,RANDBETWEEN(1,5))</f>
        <v>Mastercard Credit</v>
      </c>
      <c r="N12" s="7">
        <f>IFERROR(SUMIF(Holiday!$A$8:$A$11,B12,Holiday!$C$8:$C$11),0)</f>
        <v>0</v>
      </c>
      <c r="O12" s="7">
        <f t="shared" ca="1" si="8"/>
        <v>29</v>
      </c>
      <c r="P12" s="19">
        <f t="shared" ca="1" si="9"/>
        <v>27.984999999999999</v>
      </c>
      <c r="Q12" s="7">
        <f t="shared" ca="1" si="10"/>
        <v>0</v>
      </c>
      <c r="R12" s="8">
        <f ca="1">VLOOKUP(M12,'Payment Method'!$A$8:$B$12,2,0)</f>
        <v>3.5000000000000003E-2</v>
      </c>
      <c r="S12" s="9">
        <f t="shared" ca="1" si="0"/>
        <v>1.0150000000000006</v>
      </c>
      <c r="T12" s="8">
        <v>0.01</v>
      </c>
      <c r="U12" s="9">
        <f t="shared" ca="1" si="1"/>
        <v>0.27984999999999971</v>
      </c>
      <c r="V12" s="7">
        <f t="shared" ca="1" si="2"/>
        <v>0</v>
      </c>
      <c r="W12" s="7">
        <f t="shared" ca="1" si="3"/>
        <v>27.70515</v>
      </c>
      <c r="X12" s="5" t="str">
        <f t="shared" ca="1" si="11"/>
        <v>Tiktok</v>
      </c>
      <c r="Y12" s="78" t="str">
        <f>IF(COUNTIF($C$1:C11,B11)=1,10,"")</f>
        <v/>
      </c>
    </row>
    <row r="13" spans="1:28" x14ac:dyDescent="0.3">
      <c r="A13" s="76">
        <v>12</v>
      </c>
      <c r="B13" s="6">
        <v>46116</v>
      </c>
      <c r="C13" s="6">
        <v>46116</v>
      </c>
      <c r="D13" s="17" t="str">
        <f t="shared" si="4"/>
        <v>April</v>
      </c>
      <c r="E13" s="5" t="str">
        <f t="shared" ca="1" si="5"/>
        <v>STU-994</v>
      </c>
      <c r="F13" s="5" t="str">
        <f ca="1">IF(COUNTIF($E$2:E13,E13)=1,"New Customer","Returning Customer")</f>
        <v>New Customer</v>
      </c>
      <c r="G13" s="5" t="str">
        <f t="shared" ca="1" si="6"/>
        <v>Female</v>
      </c>
      <c r="H13" s="5" t="s">
        <v>138</v>
      </c>
      <c r="I13" s="5" t="str" cm="1">
        <f t="array" aca="1" ref="I13" ca="1">INDEX(Courses!$B$9:$B$16,RANDBETWEEN(1,8))</f>
        <v>Complete Excel Course</v>
      </c>
      <c r="J13" s="5" t="str">
        <f ca="1">VLOOKUP(I13,Courses!$B$9:$C$16,2,0)</f>
        <v>Microsoft Office</v>
      </c>
      <c r="K13" s="7">
        <f ca="1">VLOOKUP(I13,Courses!$B$9:$D$16,3,0)</f>
        <v>59</v>
      </c>
      <c r="L13" s="5" t="str">
        <f t="shared" ca="1" si="7"/>
        <v>Pending</v>
      </c>
      <c r="M13" s="8" t="str" cm="1">
        <f t="array" aca="1" ref="M13" ca="1">INDEX('Payment Method'!$A$8:$A$12,RANDBETWEEN(1,5))</f>
        <v>Mastercard Credit</v>
      </c>
      <c r="N13" s="7">
        <f>IFERROR(SUMIF(Holiday!$A$8:$A$11,B13,Holiday!$C$8:$C$11),0)</f>
        <v>0</v>
      </c>
      <c r="O13" s="7">
        <f t="shared" ca="1" si="8"/>
        <v>59</v>
      </c>
      <c r="P13" s="19">
        <f t="shared" ca="1" si="9"/>
        <v>56.935000000000002</v>
      </c>
      <c r="Q13" s="7">
        <f t="shared" ca="1" si="10"/>
        <v>56.365650000000002</v>
      </c>
      <c r="R13" s="8">
        <f ca="1">VLOOKUP(M13,'Payment Method'!$A$8:$B$12,2,0)</f>
        <v>3.5000000000000003E-2</v>
      </c>
      <c r="S13" s="9">
        <f t="shared" ca="1" si="0"/>
        <v>2.0649999999999977</v>
      </c>
      <c r="T13" s="8">
        <v>0.01</v>
      </c>
      <c r="U13" s="9">
        <f t="shared" ca="1" si="1"/>
        <v>0.56935000000000002</v>
      </c>
      <c r="V13" s="7">
        <f t="shared" ca="1" si="2"/>
        <v>0</v>
      </c>
      <c r="W13" s="7">
        <f t="shared" ca="1" si="3"/>
        <v>0</v>
      </c>
      <c r="X13" s="5" t="str">
        <f t="shared" ca="1" si="11"/>
        <v>Facebook</v>
      </c>
      <c r="Y13" s="78" t="str">
        <f>IF(COUNTIF($C$1:C12,B12)=1,10,"")</f>
        <v/>
      </c>
    </row>
    <row r="14" spans="1:28" x14ac:dyDescent="0.3">
      <c r="A14" s="75">
        <v>13</v>
      </c>
      <c r="B14" s="6">
        <v>46179</v>
      </c>
      <c r="C14" s="6">
        <v>46181</v>
      </c>
      <c r="D14" s="17" t="str">
        <f t="shared" si="4"/>
        <v>June</v>
      </c>
      <c r="E14" s="5" t="str">
        <f t="shared" ca="1" si="5"/>
        <v>STU-220</v>
      </c>
      <c r="F14" s="5" t="str">
        <f ca="1">IF(COUNTIF($E$2:E14,E14)=1,"New Customer","Returning Customer")</f>
        <v>New Customer</v>
      </c>
      <c r="G14" s="5" t="str">
        <f t="shared" ca="1" si="6"/>
        <v>Female</v>
      </c>
      <c r="H14" s="5" t="s">
        <v>137</v>
      </c>
      <c r="I14" s="5" t="str" cm="1">
        <f t="array" aca="1" ref="I14" ca="1">INDEX(Courses!$B$9:$B$16,RANDBETWEEN(1,8))</f>
        <v>Excel Basics</v>
      </c>
      <c r="J14" s="5" t="str">
        <f ca="1">VLOOKUP(I14,Courses!$B$9:$C$16,2,0)</f>
        <v>Microsoft Office</v>
      </c>
      <c r="K14" s="7">
        <f ca="1">VLOOKUP(I14,Courses!$B$9:$D$16,3,0)</f>
        <v>29</v>
      </c>
      <c r="L14" s="5" t="str">
        <f t="shared" ca="1" si="7"/>
        <v>Paid</v>
      </c>
      <c r="M14" s="8" t="str" cm="1">
        <f t="array" aca="1" ref="M14" ca="1">INDEX('Payment Method'!$A$8:$A$12,RANDBETWEEN(1,5))</f>
        <v>Mastercard Debit</v>
      </c>
      <c r="N14" s="7">
        <f>IFERROR(SUMIF(Holiday!$A$8:$A$11,B14,Holiday!$C$8:$C$11),0)</f>
        <v>0</v>
      </c>
      <c r="O14" s="7">
        <f t="shared" ca="1" si="8"/>
        <v>29</v>
      </c>
      <c r="P14" s="19">
        <f t="shared" ca="1" si="9"/>
        <v>28.42</v>
      </c>
      <c r="Q14" s="7">
        <f t="shared" ca="1" si="10"/>
        <v>0</v>
      </c>
      <c r="R14" s="8">
        <f ca="1">VLOOKUP(M14,'Payment Method'!$A$8:$B$12,2,0)</f>
        <v>0.02</v>
      </c>
      <c r="S14" s="9">
        <f t="shared" ca="1" si="0"/>
        <v>0.57999999999999829</v>
      </c>
      <c r="T14" s="8">
        <v>0.01</v>
      </c>
      <c r="U14" s="9">
        <f t="shared" ca="1" si="1"/>
        <v>0.28419999999999845</v>
      </c>
      <c r="V14" s="7">
        <f t="shared" ca="1" si="2"/>
        <v>0</v>
      </c>
      <c r="W14" s="7">
        <f t="shared" ca="1" si="3"/>
        <v>28.135800000000003</v>
      </c>
      <c r="X14" s="5" t="str">
        <f t="shared" ca="1" si="11"/>
        <v>Instagram</v>
      </c>
      <c r="Y14" s="78">
        <f>IF(COUNTIF($C$1:C13,B13)=1,10,"")</f>
        <v>10</v>
      </c>
    </row>
    <row r="15" spans="1:28" x14ac:dyDescent="0.3">
      <c r="A15" s="76">
        <v>14</v>
      </c>
      <c r="B15" s="6">
        <v>46137</v>
      </c>
      <c r="C15" s="6">
        <v>46139</v>
      </c>
      <c r="D15" s="17" t="str">
        <f t="shared" si="4"/>
        <v>April</v>
      </c>
      <c r="E15" s="5" t="str">
        <f t="shared" ca="1" si="5"/>
        <v>STU-669</v>
      </c>
      <c r="F15" s="5" t="str">
        <f ca="1">IF(COUNTIF($E$2:E15,E15)=1,"New Customer","Returning Customer")</f>
        <v>New Customer</v>
      </c>
      <c r="G15" s="5" t="str">
        <f t="shared" ca="1" si="6"/>
        <v>Male</v>
      </c>
      <c r="H15" s="5" t="s">
        <v>139</v>
      </c>
      <c r="I15" s="5" t="str" cm="1">
        <f t="array" aca="1" ref="I15" ca="1">INDEX(Courses!$B$9:$B$16,RANDBETWEEN(1,8))</f>
        <v>Microsoft Word</v>
      </c>
      <c r="J15" s="5" t="str">
        <f ca="1">VLOOKUP(I15,Courses!$B$9:$C$16,2,0)</f>
        <v>Microsoft Office</v>
      </c>
      <c r="K15" s="7">
        <f ca="1">VLOOKUP(I15,Courses!$B$9:$D$16,3,0)</f>
        <v>29</v>
      </c>
      <c r="L15" s="5" t="str">
        <f t="shared" ca="1" si="7"/>
        <v>Refunded</v>
      </c>
      <c r="M15" s="8" t="str" cm="1">
        <f t="array" aca="1" ref="M15" ca="1">INDEX('Payment Method'!$A$8:$A$12,RANDBETWEEN(1,5))</f>
        <v>Mastercard Credit</v>
      </c>
      <c r="N15" s="7">
        <f>IFERROR(SUMIF(Holiday!$A$8:$A$11,B15,Holiday!$C$8:$C$11),0)</f>
        <v>0</v>
      </c>
      <c r="O15" s="7">
        <f t="shared" ca="1" si="8"/>
        <v>29</v>
      </c>
      <c r="P15" s="19">
        <f t="shared" ca="1" si="9"/>
        <v>27.984999999999999</v>
      </c>
      <c r="Q15" s="7">
        <f t="shared" ca="1" si="10"/>
        <v>0</v>
      </c>
      <c r="R15" s="8">
        <f ca="1">VLOOKUP(M15,'Payment Method'!$A$8:$B$12,2,0)</f>
        <v>3.5000000000000003E-2</v>
      </c>
      <c r="S15" s="9">
        <f t="shared" ca="1" si="0"/>
        <v>1.0150000000000006</v>
      </c>
      <c r="T15" s="8">
        <v>0.01</v>
      </c>
      <c r="U15" s="9">
        <f t="shared" ca="1" si="1"/>
        <v>0.27984999999999971</v>
      </c>
      <c r="V15" s="7">
        <f t="shared" ca="1" si="2"/>
        <v>27.70515</v>
      </c>
      <c r="W15" s="7">
        <f t="shared" ca="1" si="3"/>
        <v>0</v>
      </c>
      <c r="X15" s="5" t="str">
        <f t="shared" ca="1" si="11"/>
        <v>Instagram</v>
      </c>
      <c r="Y15" s="78" t="str">
        <f>IF(COUNTIF($C$1:C14,B14)=1,10,"")</f>
        <v/>
      </c>
    </row>
    <row r="16" spans="1:28" x14ac:dyDescent="0.3">
      <c r="A16" s="75">
        <v>15</v>
      </c>
      <c r="B16" s="6">
        <v>46121</v>
      </c>
      <c r="C16" s="6">
        <v>46121</v>
      </c>
      <c r="D16" s="17" t="str">
        <f t="shared" si="4"/>
        <v>April</v>
      </c>
      <c r="E16" s="5" t="str">
        <f t="shared" ca="1" si="5"/>
        <v>STU-977</v>
      </c>
      <c r="F16" s="5" t="str">
        <f ca="1">IF(COUNTIF($E$2:E16,E16)=1,"New Customer","Returning Customer")</f>
        <v>New Customer</v>
      </c>
      <c r="G16" s="5" t="str">
        <f t="shared" ca="1" si="6"/>
        <v>Male</v>
      </c>
      <c r="H16" s="5" t="s">
        <v>135</v>
      </c>
      <c r="I16" s="5" t="str" cm="1">
        <f t="array" aca="1" ref="I16" ca="1">INDEX(Courses!$B$9:$B$16,RANDBETWEEN(1,8))</f>
        <v>Adolescent Psychology</v>
      </c>
      <c r="J16" s="5" t="str">
        <f ca="1">VLOOKUP(I16,Courses!$B$9:$C$16,2,0)</f>
        <v>Psychology</v>
      </c>
      <c r="K16" s="7">
        <f ca="1">VLOOKUP(I16,Courses!$B$9:$D$16,3,0)</f>
        <v>29</v>
      </c>
      <c r="L16" s="5" t="str">
        <f t="shared" ca="1" si="7"/>
        <v>Pending</v>
      </c>
      <c r="M16" s="8" t="str" cm="1">
        <f t="array" aca="1" ref="M16" ca="1">INDEX('Payment Method'!$A$8:$A$12,RANDBETWEEN(1,5))</f>
        <v>Mastercard Debit</v>
      </c>
      <c r="N16" s="7">
        <f>IFERROR(SUMIF(Holiday!$A$8:$A$11,B16,Holiday!$C$8:$C$11),0)</f>
        <v>0</v>
      </c>
      <c r="O16" s="7">
        <f t="shared" ca="1" si="8"/>
        <v>29</v>
      </c>
      <c r="P16" s="19">
        <f t="shared" ca="1" si="9"/>
        <v>28.42</v>
      </c>
      <c r="Q16" s="7">
        <f t="shared" ca="1" si="10"/>
        <v>28.135800000000003</v>
      </c>
      <c r="R16" s="8">
        <f ca="1">VLOOKUP(M16,'Payment Method'!$A$8:$B$12,2,0)</f>
        <v>0.02</v>
      </c>
      <c r="S16" s="9">
        <f t="shared" ca="1" si="0"/>
        <v>0.57999999999999829</v>
      </c>
      <c r="T16" s="8">
        <v>0.01</v>
      </c>
      <c r="U16" s="9">
        <f t="shared" ca="1" si="1"/>
        <v>0.28419999999999845</v>
      </c>
      <c r="V16" s="7">
        <f t="shared" ca="1" si="2"/>
        <v>0</v>
      </c>
      <c r="W16" s="7">
        <f t="shared" ca="1" si="3"/>
        <v>0</v>
      </c>
      <c r="X16" s="5" t="str">
        <f t="shared" ca="1" si="11"/>
        <v>Tiktok</v>
      </c>
      <c r="Y16" s="78" t="str">
        <f>IF(COUNTIF($C$1:C15,B15)=1,10,"")</f>
        <v/>
      </c>
    </row>
    <row r="17" spans="1:25" x14ac:dyDescent="0.3">
      <c r="A17" s="76">
        <v>16</v>
      </c>
      <c r="B17" s="6">
        <v>46145</v>
      </c>
      <c r="C17" s="6">
        <v>46148</v>
      </c>
      <c r="D17" s="17" t="str">
        <f t="shared" si="4"/>
        <v>May</v>
      </c>
      <c r="E17" s="5" t="str">
        <f t="shared" ca="1" si="5"/>
        <v>STU-899</v>
      </c>
      <c r="F17" s="5" t="str">
        <f ca="1">IF(COUNTIF($E$2:E17,E17)=1,"New Customer","Returning Customer")</f>
        <v>New Customer</v>
      </c>
      <c r="G17" s="5" t="str">
        <f t="shared" ca="1" si="6"/>
        <v>Male</v>
      </c>
      <c r="H17" s="5" t="s">
        <v>141</v>
      </c>
      <c r="I17" s="5" t="str" cm="1">
        <f t="array" aca="1" ref="I17" ca="1">INDEX(Courses!$B$9:$B$16,RANDBETWEEN(1,8))</f>
        <v>PowerPoint</v>
      </c>
      <c r="J17" s="5" t="str">
        <f ca="1">VLOOKUP(I17,Courses!$B$9:$C$16,2,0)</f>
        <v>Microsoft Office</v>
      </c>
      <c r="K17" s="7">
        <f ca="1">VLOOKUP(I17,Courses!$B$9:$D$16,3,0)</f>
        <v>29</v>
      </c>
      <c r="L17" s="5" t="str">
        <f t="shared" ca="1" si="7"/>
        <v>Pending</v>
      </c>
      <c r="M17" s="8" t="str" cm="1">
        <f t="array" aca="1" ref="M17" ca="1">INDEX('Payment Method'!$A$8:$A$12,RANDBETWEEN(1,5))</f>
        <v>Mastercard Debit</v>
      </c>
      <c r="N17" s="7">
        <f>IFERROR(SUMIF(Holiday!$A$8:$A$11,B17,Holiday!$C$8:$C$11),0)</f>
        <v>0</v>
      </c>
      <c r="O17" s="7">
        <f t="shared" ca="1" si="8"/>
        <v>29</v>
      </c>
      <c r="P17" s="19">
        <f t="shared" ca="1" si="9"/>
        <v>28.42</v>
      </c>
      <c r="Q17" s="7">
        <f t="shared" ca="1" si="10"/>
        <v>28.135800000000003</v>
      </c>
      <c r="R17" s="8">
        <f ca="1">VLOOKUP(M17,'Payment Method'!$A$8:$B$12,2,0)</f>
        <v>0.02</v>
      </c>
      <c r="S17" s="9">
        <f t="shared" ca="1" si="0"/>
        <v>0.57999999999999829</v>
      </c>
      <c r="T17" s="8">
        <v>0.01</v>
      </c>
      <c r="U17" s="9">
        <f t="shared" ca="1" si="1"/>
        <v>0.28419999999999845</v>
      </c>
      <c r="V17" s="7">
        <f t="shared" ca="1" si="2"/>
        <v>0</v>
      </c>
      <c r="W17" s="7">
        <f t="shared" ca="1" si="3"/>
        <v>0</v>
      </c>
      <c r="X17" s="5" t="str">
        <f t="shared" ca="1" si="11"/>
        <v>Facebook</v>
      </c>
      <c r="Y17" s="78">
        <f>IF(COUNTIF($C$1:C16,B16)=1,10,"")</f>
        <v>10</v>
      </c>
    </row>
    <row r="18" spans="1:25" x14ac:dyDescent="0.3">
      <c r="A18" s="75">
        <v>17</v>
      </c>
      <c r="B18" s="6">
        <v>46172</v>
      </c>
      <c r="C18" s="6">
        <v>46175</v>
      </c>
      <c r="D18" s="17" t="str">
        <f t="shared" si="4"/>
        <v>June</v>
      </c>
      <c r="E18" s="5" t="str">
        <f t="shared" ca="1" si="5"/>
        <v>STU-324</v>
      </c>
      <c r="F18" s="5" t="str">
        <f ca="1">IF(COUNTIF($E$2:E18,E18)=1,"New Customer","Returning Customer")</f>
        <v>New Customer</v>
      </c>
      <c r="G18" s="5" t="str">
        <f t="shared" ca="1" si="6"/>
        <v>Not specified</v>
      </c>
      <c r="H18" s="5" t="s">
        <v>138</v>
      </c>
      <c r="I18" s="5" t="str" cm="1">
        <f t="array" aca="1" ref="I18" ca="1">INDEX(Courses!$B$9:$B$16,RANDBETWEEN(1,8))</f>
        <v>PowerPoint</v>
      </c>
      <c r="J18" s="5" t="str">
        <f ca="1">VLOOKUP(I18,Courses!$B$9:$C$16,2,0)</f>
        <v>Microsoft Office</v>
      </c>
      <c r="K18" s="7">
        <f ca="1">VLOOKUP(I18,Courses!$B$9:$D$16,3,0)</f>
        <v>29</v>
      </c>
      <c r="L18" s="5" t="str">
        <f t="shared" ca="1" si="7"/>
        <v>Paid</v>
      </c>
      <c r="M18" s="8" t="str" cm="1">
        <f t="array" aca="1" ref="M18" ca="1">INDEX('Payment Method'!$A$8:$A$12,RANDBETWEEN(1,5))</f>
        <v>Visa Credit</v>
      </c>
      <c r="N18" s="7">
        <f>IFERROR(SUMIF(Holiday!$A$8:$A$11,B18,Holiday!$C$8:$C$11),0)</f>
        <v>0</v>
      </c>
      <c r="O18" s="7">
        <f t="shared" ca="1" si="8"/>
        <v>29</v>
      </c>
      <c r="P18" s="19">
        <f t="shared" ca="1" si="9"/>
        <v>27.984999999999999</v>
      </c>
      <c r="Q18" s="7">
        <f t="shared" ca="1" si="10"/>
        <v>0</v>
      </c>
      <c r="R18" s="8">
        <f ca="1">VLOOKUP(M18,'Payment Method'!$A$8:$B$12,2,0)</f>
        <v>3.5000000000000003E-2</v>
      </c>
      <c r="S18" s="9">
        <f t="shared" ca="1" si="0"/>
        <v>1.0150000000000006</v>
      </c>
      <c r="T18" s="8">
        <v>0.01</v>
      </c>
      <c r="U18" s="9">
        <f t="shared" ca="1" si="1"/>
        <v>0.27984999999999971</v>
      </c>
      <c r="V18" s="7">
        <f t="shared" ca="1" si="2"/>
        <v>0</v>
      </c>
      <c r="W18" s="7">
        <f t="shared" ca="1" si="3"/>
        <v>27.70515</v>
      </c>
      <c r="X18" s="5" t="str">
        <f t="shared" ca="1" si="11"/>
        <v>Tiktok</v>
      </c>
      <c r="Y18" s="78" t="str">
        <f>IF(COUNTIF($C$1:C17,B17)=1,10,"")</f>
        <v/>
      </c>
    </row>
    <row r="19" spans="1:25" x14ac:dyDescent="0.3">
      <c r="A19" s="76">
        <v>18</v>
      </c>
      <c r="B19" s="6">
        <v>46083</v>
      </c>
      <c r="C19" s="6">
        <v>46088</v>
      </c>
      <c r="D19" s="17" t="str">
        <f t="shared" si="4"/>
        <v>March</v>
      </c>
      <c r="E19" s="5" t="str">
        <f t="shared" ca="1" si="5"/>
        <v>STU-59</v>
      </c>
      <c r="F19" s="5" t="str">
        <f ca="1">IF(COUNTIF($E$2:E19,E19)=1,"New Customer","Returning Customer")</f>
        <v>New Customer</v>
      </c>
      <c r="G19" s="5" t="str">
        <f t="shared" ca="1" si="6"/>
        <v>Male</v>
      </c>
      <c r="H19" s="5" t="s">
        <v>141</v>
      </c>
      <c r="I19" s="5" t="str" cm="1">
        <f t="array" aca="1" ref="I19" ca="1">INDEX(Courses!$B$9:$B$16,RANDBETWEEN(1,8))</f>
        <v>Tax Code</v>
      </c>
      <c r="J19" s="5" t="str">
        <f ca="1">VLOOKUP(I19,Courses!$B$9:$C$16,2,0)</f>
        <v>Finance &amp; Taxation</v>
      </c>
      <c r="K19" s="7">
        <f ca="1">VLOOKUP(I19,Courses!$B$9:$D$16,3,0)</f>
        <v>59</v>
      </c>
      <c r="L19" s="5" t="str">
        <f t="shared" ca="1" si="7"/>
        <v>Paid</v>
      </c>
      <c r="M19" s="8" t="str" cm="1">
        <f t="array" aca="1" ref="M19" ca="1">INDEX('Payment Method'!$A$8:$A$12,RANDBETWEEN(1,5))</f>
        <v>Visa Credit</v>
      </c>
      <c r="N19" s="7">
        <f>IFERROR(SUMIF(Holiday!$A$8:$A$11,B19,Holiday!$C$8:$C$11),0)</f>
        <v>0</v>
      </c>
      <c r="O19" s="7">
        <f t="shared" ca="1" si="8"/>
        <v>59</v>
      </c>
      <c r="P19" s="19">
        <f t="shared" ca="1" si="9"/>
        <v>56.935000000000002</v>
      </c>
      <c r="Q19" s="7">
        <f t="shared" ca="1" si="10"/>
        <v>0</v>
      </c>
      <c r="R19" s="8">
        <f ca="1">VLOOKUP(M19,'Payment Method'!$A$8:$B$12,2,0)</f>
        <v>3.5000000000000003E-2</v>
      </c>
      <c r="S19" s="9">
        <f t="shared" ca="1" si="0"/>
        <v>2.0649999999999977</v>
      </c>
      <c r="T19" s="8">
        <v>0.01</v>
      </c>
      <c r="U19" s="9">
        <f t="shared" ca="1" si="1"/>
        <v>0.56935000000000002</v>
      </c>
      <c r="V19" s="7">
        <f t="shared" ca="1" si="2"/>
        <v>0</v>
      </c>
      <c r="W19" s="7">
        <f t="shared" ca="1" si="3"/>
        <v>56.365650000000002</v>
      </c>
      <c r="X19" s="5" t="str">
        <f t="shared" ca="1" si="11"/>
        <v>Facebook</v>
      </c>
      <c r="Y19" s="78" t="str">
        <f>IF(COUNTIF($C$1:C18,B18)=1,10,"")</f>
        <v/>
      </c>
    </row>
    <row r="20" spans="1:25" x14ac:dyDescent="0.3">
      <c r="A20" s="75">
        <v>19</v>
      </c>
      <c r="B20" s="6">
        <v>46086</v>
      </c>
      <c r="C20" s="6">
        <v>46087</v>
      </c>
      <c r="D20" s="17" t="str">
        <f t="shared" si="4"/>
        <v>March</v>
      </c>
      <c r="E20" s="5" t="str">
        <f t="shared" ca="1" si="5"/>
        <v>STU-871</v>
      </c>
      <c r="F20" s="5" t="str">
        <f ca="1">IF(COUNTIF($E$2:E20,E20)=1,"New Customer","Returning Customer")</f>
        <v>New Customer</v>
      </c>
      <c r="G20" s="5" t="str">
        <f t="shared" ca="1" si="6"/>
        <v>Male</v>
      </c>
      <c r="H20" s="5" t="s">
        <v>135</v>
      </c>
      <c r="I20" s="5" t="str" cm="1">
        <f t="array" aca="1" ref="I20" ca="1">INDEX(Courses!$B$9:$B$16,RANDBETWEEN(1,8))</f>
        <v>Tax Code</v>
      </c>
      <c r="J20" s="5" t="str">
        <f ca="1">VLOOKUP(I20,Courses!$B$9:$C$16,2,0)</f>
        <v>Finance &amp; Taxation</v>
      </c>
      <c r="K20" s="7">
        <f ca="1">VLOOKUP(I20,Courses!$B$9:$D$16,3,0)</f>
        <v>59</v>
      </c>
      <c r="L20" s="5" t="str">
        <f t="shared" ca="1" si="7"/>
        <v>Pending</v>
      </c>
      <c r="M20" s="8" t="str" cm="1">
        <f t="array" aca="1" ref="M20" ca="1">INDEX('Payment Method'!$A$8:$A$12,RANDBETWEEN(1,5))</f>
        <v>Mastercard Credit</v>
      </c>
      <c r="N20" s="7">
        <f>IFERROR(SUMIF(Holiday!$A$8:$A$11,B20,Holiday!$C$8:$C$11),0)</f>
        <v>0</v>
      </c>
      <c r="O20" s="7">
        <f t="shared" ca="1" si="8"/>
        <v>59</v>
      </c>
      <c r="P20" s="19">
        <f t="shared" ca="1" si="9"/>
        <v>56.935000000000002</v>
      </c>
      <c r="Q20" s="7">
        <f t="shared" ca="1" si="10"/>
        <v>56.365650000000002</v>
      </c>
      <c r="R20" s="8">
        <f ca="1">VLOOKUP(M20,'Payment Method'!$A$8:$B$12,2,0)</f>
        <v>3.5000000000000003E-2</v>
      </c>
      <c r="S20" s="9">
        <f t="shared" ca="1" si="0"/>
        <v>2.0649999999999977</v>
      </c>
      <c r="T20" s="8">
        <v>0.01</v>
      </c>
      <c r="U20" s="9">
        <f t="shared" ca="1" si="1"/>
        <v>0.56935000000000002</v>
      </c>
      <c r="V20" s="7">
        <f t="shared" ca="1" si="2"/>
        <v>0</v>
      </c>
      <c r="W20" s="7">
        <f t="shared" ca="1" si="3"/>
        <v>0</v>
      </c>
      <c r="X20" s="5" t="str">
        <f t="shared" ca="1" si="11"/>
        <v>Instagram</v>
      </c>
      <c r="Y20" s="78" t="str">
        <f>IF(COUNTIF($C$1:C19,B19)=1,10,"")</f>
        <v/>
      </c>
    </row>
    <row r="21" spans="1:25" x14ac:dyDescent="0.3">
      <c r="A21" s="76">
        <v>20</v>
      </c>
      <c r="B21" s="6">
        <v>46058</v>
      </c>
      <c r="C21" s="6">
        <v>46059</v>
      </c>
      <c r="D21" s="17" t="str">
        <f t="shared" si="4"/>
        <v>February</v>
      </c>
      <c r="E21" s="5" t="str">
        <f t="shared" ca="1" si="5"/>
        <v>STU-304</v>
      </c>
      <c r="F21" s="5" t="str">
        <f ca="1">IF(COUNTIF($E$2:E21,E21)=1,"New Customer","Returning Customer")</f>
        <v>New Customer</v>
      </c>
      <c r="G21" s="5" t="str">
        <f t="shared" ca="1" si="6"/>
        <v>Male</v>
      </c>
      <c r="H21" s="5" t="s">
        <v>135</v>
      </c>
      <c r="I21" s="5" t="str" cm="1">
        <f t="array" aca="1" ref="I21" ca="1">INDEX(Courses!$B$9:$B$16,RANDBETWEEN(1,8))</f>
        <v>Complete Excel Course</v>
      </c>
      <c r="J21" s="5" t="str">
        <f ca="1">VLOOKUP(I21,Courses!$B$9:$C$16,2,0)</f>
        <v>Microsoft Office</v>
      </c>
      <c r="K21" s="7">
        <f ca="1">VLOOKUP(I21,Courses!$B$9:$D$16,3,0)</f>
        <v>59</v>
      </c>
      <c r="L21" s="5" t="str">
        <f t="shared" ca="1" si="7"/>
        <v>Refunded</v>
      </c>
      <c r="M21" s="8" t="str" cm="1">
        <f t="array" aca="1" ref="M21" ca="1">INDEX('Payment Method'!$A$8:$A$12,RANDBETWEEN(1,5))</f>
        <v>Bank Transfer</v>
      </c>
      <c r="N21" s="7">
        <f>IFERROR(SUMIF(Holiday!$A$8:$A$11,B21,Holiday!$C$8:$C$11),0)</f>
        <v>0</v>
      </c>
      <c r="O21" s="7">
        <f t="shared" ca="1" si="8"/>
        <v>59</v>
      </c>
      <c r="P21" s="19">
        <f t="shared" ca="1" si="9"/>
        <v>59</v>
      </c>
      <c r="Q21" s="7">
        <f t="shared" ca="1" si="10"/>
        <v>0</v>
      </c>
      <c r="R21" s="8">
        <f ca="1">VLOOKUP(M21,'Payment Method'!$A$8:$B$12,2,0)</f>
        <v>0</v>
      </c>
      <c r="S21" s="9">
        <f t="shared" ca="1" si="0"/>
        <v>0</v>
      </c>
      <c r="T21" s="8">
        <v>0.01</v>
      </c>
      <c r="U21" s="9">
        <f t="shared" ca="1" si="1"/>
        <v>0.59000000000000341</v>
      </c>
      <c r="V21" s="7">
        <f t="shared" ca="1" si="2"/>
        <v>58.41</v>
      </c>
      <c r="W21" s="7">
        <f t="shared" ca="1" si="3"/>
        <v>0</v>
      </c>
      <c r="X21" s="5" t="str">
        <f t="shared" ca="1" si="11"/>
        <v>Facebook</v>
      </c>
      <c r="Y21" s="78" t="str">
        <f>IF(COUNTIF($C$1:C20,B20)=1,10,"")</f>
        <v/>
      </c>
    </row>
    <row r="22" spans="1:25" x14ac:dyDescent="0.3">
      <c r="A22" s="75">
        <v>21</v>
      </c>
      <c r="B22" s="6">
        <v>46027</v>
      </c>
      <c r="C22" s="6">
        <v>46032</v>
      </c>
      <c r="D22" s="17" t="str">
        <f t="shared" si="4"/>
        <v>January</v>
      </c>
      <c r="E22" s="5" t="str">
        <f t="shared" ca="1" si="5"/>
        <v>STU-448</v>
      </c>
      <c r="F22" s="5" t="str">
        <f ca="1">IF(COUNTIF($E$2:E22,E22)=1,"New Customer","Returning Customer")</f>
        <v>New Customer</v>
      </c>
      <c r="G22" s="5" t="str">
        <f t="shared" ca="1" si="6"/>
        <v>Female</v>
      </c>
      <c r="H22" s="5" t="s">
        <v>139</v>
      </c>
      <c r="I22" s="5" t="str" cm="1">
        <f t="array" aca="1" ref="I22" ca="1">INDEX(Courses!$B$9:$B$16,RANDBETWEEN(1,8))</f>
        <v>Power BI</v>
      </c>
      <c r="J22" s="5" t="str">
        <f ca="1">VLOOKUP(I22,Courses!$B$9:$C$16,2,0)</f>
        <v>Data Analytics</v>
      </c>
      <c r="K22" s="7">
        <f ca="1">VLOOKUP(I22,Courses!$B$9:$D$16,3,0)</f>
        <v>59</v>
      </c>
      <c r="L22" s="5" t="str">
        <f t="shared" ca="1" si="7"/>
        <v>Paid</v>
      </c>
      <c r="M22" s="8" t="str" cm="1">
        <f t="array" aca="1" ref="M22" ca="1">INDEX('Payment Method'!$A$8:$A$12,RANDBETWEEN(1,5))</f>
        <v>Bank Transfer</v>
      </c>
      <c r="N22" s="7">
        <f>IFERROR(SUMIF(Holiday!$A$8:$A$11,B22,Holiday!$C$8:$C$11),0)</f>
        <v>0</v>
      </c>
      <c r="O22" s="7">
        <f t="shared" ca="1" si="8"/>
        <v>59</v>
      </c>
      <c r="P22" s="19">
        <f t="shared" ca="1" si="9"/>
        <v>59</v>
      </c>
      <c r="Q22" s="7">
        <f t="shared" ca="1" si="10"/>
        <v>0</v>
      </c>
      <c r="R22" s="8">
        <f ca="1">VLOOKUP(M22,'Payment Method'!$A$8:$B$12,2,0)</f>
        <v>0</v>
      </c>
      <c r="S22" s="9">
        <f t="shared" ca="1" si="0"/>
        <v>0</v>
      </c>
      <c r="T22" s="8">
        <v>0.01</v>
      </c>
      <c r="U22" s="9">
        <f t="shared" ca="1" si="1"/>
        <v>0.59000000000000341</v>
      </c>
      <c r="V22" s="7">
        <f t="shared" ca="1" si="2"/>
        <v>0</v>
      </c>
      <c r="W22" s="7">
        <f t="shared" ca="1" si="3"/>
        <v>58.41</v>
      </c>
      <c r="X22" s="5" t="str">
        <f t="shared" ca="1" si="11"/>
        <v>Tiktok</v>
      </c>
      <c r="Y22" s="78" t="str">
        <f>IF(COUNTIF($C$1:C21,B21)=1,10,"")</f>
        <v/>
      </c>
    </row>
    <row r="23" spans="1:25" x14ac:dyDescent="0.3">
      <c r="A23" s="76">
        <v>22</v>
      </c>
      <c r="B23" s="6">
        <v>46170</v>
      </c>
      <c r="C23" s="6">
        <v>46174</v>
      </c>
      <c r="D23" s="17" t="str">
        <f t="shared" si="4"/>
        <v>June</v>
      </c>
      <c r="E23" s="5" t="str">
        <f t="shared" ca="1" si="5"/>
        <v>STU-297</v>
      </c>
      <c r="F23" s="5" t="str">
        <f ca="1">IF(COUNTIF($E$2:E23,E23)=1,"New Customer","Returning Customer")</f>
        <v>New Customer</v>
      </c>
      <c r="G23" s="5" t="str">
        <f t="shared" ca="1" si="6"/>
        <v>Female</v>
      </c>
      <c r="H23" s="5" t="s">
        <v>138</v>
      </c>
      <c r="I23" s="5" t="str" cm="1">
        <f t="array" aca="1" ref="I23" ca="1">INDEX(Courses!$B$9:$B$16,RANDBETWEEN(1,8))</f>
        <v>Tax Code</v>
      </c>
      <c r="J23" s="5" t="str">
        <f ca="1">VLOOKUP(I23,Courses!$B$9:$C$16,2,0)</f>
        <v>Finance &amp; Taxation</v>
      </c>
      <c r="K23" s="7">
        <f ca="1">VLOOKUP(I23,Courses!$B$9:$D$16,3,0)</f>
        <v>59</v>
      </c>
      <c r="L23" s="5" t="str">
        <f t="shared" ca="1" si="7"/>
        <v>Refunded</v>
      </c>
      <c r="M23" s="8" t="str" cm="1">
        <f t="array" aca="1" ref="M23" ca="1">INDEX('Payment Method'!$A$8:$A$12,RANDBETWEEN(1,5))</f>
        <v>Visa Debit</v>
      </c>
      <c r="N23" s="7">
        <f>IFERROR(SUMIF(Holiday!$A$8:$A$11,B23,Holiday!$C$8:$C$11),0)</f>
        <v>0</v>
      </c>
      <c r="O23" s="7">
        <f t="shared" ca="1" si="8"/>
        <v>59</v>
      </c>
      <c r="P23" s="19">
        <f t="shared" ca="1" si="9"/>
        <v>57.82</v>
      </c>
      <c r="Q23" s="7">
        <f t="shared" ca="1" si="10"/>
        <v>0</v>
      </c>
      <c r="R23" s="8">
        <f ca="1">VLOOKUP(M23,'Payment Method'!$A$8:$B$12,2,0)</f>
        <v>0.02</v>
      </c>
      <c r="S23" s="9">
        <f t="shared" ca="1" si="0"/>
        <v>1.1799999999999997</v>
      </c>
      <c r="T23" s="8">
        <v>0.01</v>
      </c>
      <c r="U23" s="9">
        <f t="shared" ca="1" si="1"/>
        <v>0.57820000000000249</v>
      </c>
      <c r="V23" s="7">
        <f t="shared" ca="1" si="2"/>
        <v>57.241799999999998</v>
      </c>
      <c r="W23" s="7">
        <f t="shared" ca="1" si="3"/>
        <v>0</v>
      </c>
      <c r="X23" s="5" t="str">
        <f t="shared" ca="1" si="11"/>
        <v>Facebook</v>
      </c>
      <c r="Y23" s="78" t="str">
        <f>IF(COUNTIF($C$1:C22,B22)=1,10,"")</f>
        <v/>
      </c>
    </row>
    <row r="24" spans="1:25" x14ac:dyDescent="0.3">
      <c r="A24" s="75">
        <v>23</v>
      </c>
      <c r="B24" s="6">
        <v>46200</v>
      </c>
      <c r="C24" s="6">
        <v>46200</v>
      </c>
      <c r="D24" s="17" t="str">
        <f t="shared" si="4"/>
        <v>June</v>
      </c>
      <c r="E24" s="5" t="str">
        <f t="shared" ca="1" si="5"/>
        <v>STU-824</v>
      </c>
      <c r="F24" s="5" t="str">
        <f ca="1">IF(COUNTIF($E$2:E24,E24)=1,"New Customer","Returning Customer")</f>
        <v>New Customer</v>
      </c>
      <c r="G24" s="5" t="str">
        <f t="shared" ca="1" si="6"/>
        <v>Male</v>
      </c>
      <c r="H24" s="5" t="s">
        <v>142</v>
      </c>
      <c r="I24" s="5" t="str" cm="1">
        <f t="array" aca="1" ref="I24" ca="1">INDEX(Courses!$B$9:$B$16,RANDBETWEEN(1,8))</f>
        <v>SQL</v>
      </c>
      <c r="J24" s="5" t="str">
        <f ca="1">VLOOKUP(I24,Courses!$B$9:$C$16,2,0)</f>
        <v>Data Analytics</v>
      </c>
      <c r="K24" s="7">
        <f ca="1">VLOOKUP(I24,Courses!$B$9:$D$16,3,0)</f>
        <v>99</v>
      </c>
      <c r="L24" s="5" t="str">
        <f t="shared" ca="1" si="7"/>
        <v>Paid</v>
      </c>
      <c r="M24" s="8" t="str" cm="1">
        <f t="array" aca="1" ref="M24" ca="1">INDEX('Payment Method'!$A$8:$A$12,RANDBETWEEN(1,5))</f>
        <v>Mastercard Debit</v>
      </c>
      <c r="N24" s="7">
        <f>IFERROR(SUMIF(Holiday!$A$8:$A$11,B24,Holiday!$C$8:$C$11),0)</f>
        <v>0</v>
      </c>
      <c r="O24" s="7">
        <f t="shared" ca="1" si="8"/>
        <v>99</v>
      </c>
      <c r="P24" s="19">
        <f t="shared" ca="1" si="9"/>
        <v>97.02</v>
      </c>
      <c r="Q24" s="7">
        <f t="shared" ca="1" si="10"/>
        <v>0</v>
      </c>
      <c r="R24" s="8">
        <f ca="1">VLOOKUP(M24,'Payment Method'!$A$8:$B$12,2,0)</f>
        <v>0.02</v>
      </c>
      <c r="S24" s="9">
        <f t="shared" ca="1" si="0"/>
        <v>1.980000000000004</v>
      </c>
      <c r="T24" s="8">
        <v>0.01</v>
      </c>
      <c r="U24" s="9">
        <f t="shared" ca="1" si="1"/>
        <v>0.9702000000000055</v>
      </c>
      <c r="V24" s="7">
        <f t="shared" ca="1" si="2"/>
        <v>0</v>
      </c>
      <c r="W24" s="7">
        <f t="shared" ca="1" si="3"/>
        <v>96.049799999999991</v>
      </c>
      <c r="X24" s="5" t="str">
        <f t="shared" ca="1" si="11"/>
        <v>Facebook</v>
      </c>
      <c r="Y24" s="78" t="str">
        <f>IF(COUNTIF($C$1:C23,B23)=1,10,"")</f>
        <v/>
      </c>
    </row>
    <row r="25" spans="1:25" x14ac:dyDescent="0.3">
      <c r="A25" s="76">
        <v>24</v>
      </c>
      <c r="B25" s="6">
        <v>46201</v>
      </c>
      <c r="C25" s="6">
        <v>46203</v>
      </c>
      <c r="D25" s="17" t="str">
        <f t="shared" si="4"/>
        <v>June</v>
      </c>
      <c r="E25" s="5" t="str">
        <f t="shared" ca="1" si="5"/>
        <v>STU-261</v>
      </c>
      <c r="F25" s="5" t="str">
        <f ca="1">IF(COUNTIF($E$2:E25,E25)=1,"New Customer","Returning Customer")</f>
        <v>New Customer</v>
      </c>
      <c r="G25" s="5" t="str">
        <f t="shared" ca="1" si="6"/>
        <v>Female</v>
      </c>
      <c r="H25" s="5" t="s">
        <v>135</v>
      </c>
      <c r="I25" s="5" t="str" cm="1">
        <f t="array" aca="1" ref="I25" ca="1">INDEX(Courses!$B$9:$B$16,RANDBETWEEN(1,8))</f>
        <v>PowerPoint</v>
      </c>
      <c r="J25" s="5" t="str">
        <f ca="1">VLOOKUP(I25,Courses!$B$9:$C$16,2,0)</f>
        <v>Microsoft Office</v>
      </c>
      <c r="K25" s="7">
        <f ca="1">VLOOKUP(I25,Courses!$B$9:$D$16,3,0)</f>
        <v>29</v>
      </c>
      <c r="L25" s="5" t="str">
        <f t="shared" ca="1" si="7"/>
        <v>Pending</v>
      </c>
      <c r="M25" s="8" t="str" cm="1">
        <f t="array" aca="1" ref="M25" ca="1">INDEX('Payment Method'!$A$8:$A$12,RANDBETWEEN(1,5))</f>
        <v>Visa Credit</v>
      </c>
      <c r="N25" s="7">
        <f>IFERROR(SUMIF(Holiday!$A$8:$A$11,B25,Holiday!$C$8:$C$11),0)</f>
        <v>0</v>
      </c>
      <c r="O25" s="7">
        <f t="shared" ca="1" si="8"/>
        <v>29</v>
      </c>
      <c r="P25" s="19">
        <f t="shared" ca="1" si="9"/>
        <v>27.984999999999999</v>
      </c>
      <c r="Q25" s="7">
        <f t="shared" ca="1" si="10"/>
        <v>27.70515</v>
      </c>
      <c r="R25" s="8">
        <f ca="1">VLOOKUP(M25,'Payment Method'!$A$8:$B$12,2,0)</f>
        <v>3.5000000000000003E-2</v>
      </c>
      <c r="S25" s="9">
        <f t="shared" ca="1" si="0"/>
        <v>1.0150000000000006</v>
      </c>
      <c r="T25" s="8">
        <v>0.01</v>
      </c>
      <c r="U25" s="9">
        <f t="shared" ca="1" si="1"/>
        <v>0.27984999999999971</v>
      </c>
      <c r="V25" s="7">
        <f t="shared" ca="1" si="2"/>
        <v>0</v>
      </c>
      <c r="W25" s="7">
        <f t="shared" ca="1" si="3"/>
        <v>0</v>
      </c>
      <c r="X25" s="5" t="str">
        <f t="shared" ca="1" si="11"/>
        <v>Tiktok</v>
      </c>
      <c r="Y25" s="78">
        <f>IF(COUNTIF($C$1:C24,B24)=1,10,"")</f>
        <v>10</v>
      </c>
    </row>
    <row r="26" spans="1:25" x14ac:dyDescent="0.3">
      <c r="A26" s="75">
        <v>25</v>
      </c>
      <c r="B26" s="6">
        <v>46232</v>
      </c>
      <c r="C26" s="6">
        <v>46232</v>
      </c>
      <c r="D26" s="17" t="str">
        <f t="shared" si="4"/>
        <v>July</v>
      </c>
      <c r="E26" s="5" t="str">
        <f t="shared" ca="1" si="5"/>
        <v>STU-205</v>
      </c>
      <c r="F26" s="5" t="str">
        <f ca="1">IF(COUNTIF($E$2:E26,E26)=1,"New Customer","Returning Customer")</f>
        <v>New Customer</v>
      </c>
      <c r="G26" s="5" t="str">
        <f t="shared" ca="1" si="6"/>
        <v>Not specified</v>
      </c>
      <c r="H26" s="5" t="s">
        <v>141</v>
      </c>
      <c r="I26" s="5" t="str" cm="1">
        <f t="array" aca="1" ref="I26" ca="1">INDEX(Courses!$B$9:$B$16,RANDBETWEEN(1,8))</f>
        <v>Complete Excel Course</v>
      </c>
      <c r="J26" s="5" t="str">
        <f ca="1">VLOOKUP(I26,Courses!$B$9:$C$16,2,0)</f>
        <v>Microsoft Office</v>
      </c>
      <c r="K26" s="7">
        <f ca="1">VLOOKUP(I26,Courses!$B$9:$D$16,3,0)</f>
        <v>59</v>
      </c>
      <c r="L26" s="5" t="str">
        <f t="shared" ca="1" si="7"/>
        <v>Pending</v>
      </c>
      <c r="M26" s="8" t="str" cm="1">
        <f t="array" aca="1" ref="M26" ca="1">INDEX('Payment Method'!$A$8:$A$12,RANDBETWEEN(1,5))</f>
        <v>Visa Debit</v>
      </c>
      <c r="N26" s="7">
        <f>IFERROR(SUMIF(Holiday!$A$8:$A$11,B26,Holiday!$C$8:$C$11),0)</f>
        <v>0</v>
      </c>
      <c r="O26" s="7">
        <f t="shared" ca="1" si="8"/>
        <v>59</v>
      </c>
      <c r="P26" s="19">
        <f t="shared" ca="1" si="9"/>
        <v>57.82</v>
      </c>
      <c r="Q26" s="7">
        <f t="shared" ca="1" si="10"/>
        <v>57.241799999999998</v>
      </c>
      <c r="R26" s="8">
        <f ca="1">VLOOKUP(M26,'Payment Method'!$A$8:$B$12,2,0)</f>
        <v>0.02</v>
      </c>
      <c r="S26" s="9">
        <f t="shared" ca="1" si="0"/>
        <v>1.1799999999999997</v>
      </c>
      <c r="T26" s="8">
        <v>0.01</v>
      </c>
      <c r="U26" s="9">
        <f t="shared" ca="1" si="1"/>
        <v>0.57820000000000249</v>
      </c>
      <c r="V26" s="7">
        <f t="shared" ca="1" si="2"/>
        <v>0</v>
      </c>
      <c r="W26" s="7">
        <f t="shared" ca="1" si="3"/>
        <v>0</v>
      </c>
      <c r="X26" s="5" t="str">
        <f t="shared" ca="1" si="11"/>
        <v>Instagram</v>
      </c>
      <c r="Y26" s="78" t="str">
        <f>IF(COUNTIF($C$1:C25,B25)=1,10,"")</f>
        <v/>
      </c>
    </row>
    <row r="27" spans="1:25" x14ac:dyDescent="0.3">
      <c r="A27" s="76">
        <v>26</v>
      </c>
      <c r="B27" s="6">
        <v>46078</v>
      </c>
      <c r="C27" s="6">
        <v>46081</v>
      </c>
      <c r="D27" s="17" t="str">
        <f t="shared" si="4"/>
        <v>February</v>
      </c>
      <c r="E27" s="5" t="str">
        <f t="shared" ca="1" si="5"/>
        <v>STU-794</v>
      </c>
      <c r="F27" s="5" t="str">
        <f ca="1">IF(COUNTIF($E$2:E27,E27)=1,"New Customer","Returning Customer")</f>
        <v>New Customer</v>
      </c>
      <c r="G27" s="5" t="str">
        <f t="shared" ca="1" si="6"/>
        <v>Not specified</v>
      </c>
      <c r="H27" s="5" t="s">
        <v>136</v>
      </c>
      <c r="I27" s="5" t="str" cm="1">
        <f t="array" aca="1" ref="I27" ca="1">INDEX(Courses!$B$9:$B$16,RANDBETWEEN(1,8))</f>
        <v>Complete Excel Course</v>
      </c>
      <c r="J27" s="5" t="str">
        <f ca="1">VLOOKUP(I27,Courses!$B$9:$C$16,2,0)</f>
        <v>Microsoft Office</v>
      </c>
      <c r="K27" s="7">
        <f ca="1">VLOOKUP(I27,Courses!$B$9:$D$16,3,0)</f>
        <v>59</v>
      </c>
      <c r="L27" s="5" t="str">
        <f t="shared" ca="1" si="7"/>
        <v>Paid</v>
      </c>
      <c r="M27" s="8" t="str" cm="1">
        <f t="array" aca="1" ref="M27" ca="1">INDEX('Payment Method'!$A$8:$A$12,RANDBETWEEN(1,5))</f>
        <v>Bank Transfer</v>
      </c>
      <c r="N27" s="7">
        <f>IFERROR(SUMIF(Holiday!$A$8:$A$11,B27,Holiday!$C$8:$C$11),0)</f>
        <v>0</v>
      </c>
      <c r="O27" s="7">
        <f t="shared" ca="1" si="8"/>
        <v>59</v>
      </c>
      <c r="P27" s="19">
        <f t="shared" ca="1" si="9"/>
        <v>59</v>
      </c>
      <c r="Q27" s="7">
        <f t="shared" ca="1" si="10"/>
        <v>0</v>
      </c>
      <c r="R27" s="8">
        <f ca="1">VLOOKUP(M27,'Payment Method'!$A$8:$B$12,2,0)</f>
        <v>0</v>
      </c>
      <c r="S27" s="9">
        <f t="shared" ca="1" si="0"/>
        <v>0</v>
      </c>
      <c r="T27" s="8">
        <v>0.01</v>
      </c>
      <c r="U27" s="9">
        <f t="shared" ca="1" si="1"/>
        <v>0.59000000000000341</v>
      </c>
      <c r="V27" s="7">
        <f t="shared" ca="1" si="2"/>
        <v>0</v>
      </c>
      <c r="W27" s="7">
        <f t="shared" ca="1" si="3"/>
        <v>58.41</v>
      </c>
      <c r="X27" s="5" t="str">
        <f t="shared" ca="1" si="11"/>
        <v>Tiktok</v>
      </c>
      <c r="Y27" s="78">
        <f>IF(COUNTIF($C$1:C26,B26)=1,10,"")</f>
        <v>10</v>
      </c>
    </row>
    <row r="28" spans="1:25" x14ac:dyDescent="0.3">
      <c r="A28" s="75">
        <v>27</v>
      </c>
      <c r="B28" s="6">
        <v>46215</v>
      </c>
      <c r="C28" s="6">
        <v>46216</v>
      </c>
      <c r="D28" s="17" t="str">
        <f t="shared" si="4"/>
        <v>July</v>
      </c>
      <c r="E28" s="5" t="str">
        <f t="shared" ca="1" si="5"/>
        <v>STU-982</v>
      </c>
      <c r="F28" s="5" t="str">
        <f ca="1">IF(COUNTIF($E$2:E28,E28)=1,"New Customer","Returning Customer")</f>
        <v>New Customer</v>
      </c>
      <c r="G28" s="5" t="str">
        <f t="shared" ca="1" si="6"/>
        <v>Not specified</v>
      </c>
      <c r="H28" s="5" t="s">
        <v>140</v>
      </c>
      <c r="I28" s="5" t="str" cm="1">
        <f t="array" aca="1" ref="I28" ca="1">INDEX(Courses!$B$9:$B$16,RANDBETWEEN(1,8))</f>
        <v>Tax Code</v>
      </c>
      <c r="J28" s="5" t="str">
        <f ca="1">VLOOKUP(I28,Courses!$B$9:$C$16,2,0)</f>
        <v>Finance &amp; Taxation</v>
      </c>
      <c r="K28" s="7">
        <f ca="1">VLOOKUP(I28,Courses!$B$9:$D$16,3,0)</f>
        <v>59</v>
      </c>
      <c r="L28" s="5" t="str">
        <f t="shared" ca="1" si="7"/>
        <v>Paid</v>
      </c>
      <c r="M28" s="8" t="str" cm="1">
        <f t="array" aca="1" ref="M28" ca="1">INDEX('Payment Method'!$A$8:$A$12,RANDBETWEEN(1,5))</f>
        <v>Bank Transfer</v>
      </c>
      <c r="N28" s="7">
        <f>IFERROR(SUMIF(Holiday!$A$8:$A$11,B28,Holiday!$C$8:$C$11),0)</f>
        <v>0</v>
      </c>
      <c r="O28" s="7">
        <f t="shared" ca="1" si="8"/>
        <v>59</v>
      </c>
      <c r="P28" s="19">
        <f t="shared" ca="1" si="9"/>
        <v>59</v>
      </c>
      <c r="Q28" s="7">
        <f t="shared" ca="1" si="10"/>
        <v>0</v>
      </c>
      <c r="R28" s="8">
        <f ca="1">VLOOKUP(M28,'Payment Method'!$A$8:$B$12,2,0)</f>
        <v>0</v>
      </c>
      <c r="S28" s="9">
        <f t="shared" ca="1" si="0"/>
        <v>0</v>
      </c>
      <c r="T28" s="8">
        <v>0.01</v>
      </c>
      <c r="U28" s="9">
        <f t="shared" ca="1" si="1"/>
        <v>0.59000000000000341</v>
      </c>
      <c r="V28" s="7">
        <f t="shared" ca="1" si="2"/>
        <v>0</v>
      </c>
      <c r="W28" s="7">
        <f t="shared" ca="1" si="3"/>
        <v>58.41</v>
      </c>
      <c r="X28" s="5" t="str">
        <f t="shared" ca="1" si="11"/>
        <v>Facebook</v>
      </c>
      <c r="Y28" s="78" t="str">
        <f>IF(COUNTIF($C$1:C27,B27)=1,10,"")</f>
        <v/>
      </c>
    </row>
    <row r="29" spans="1:25" x14ac:dyDescent="0.3">
      <c r="A29" s="76">
        <v>28</v>
      </c>
      <c r="B29" s="6">
        <v>46213</v>
      </c>
      <c r="C29" s="6">
        <v>46213</v>
      </c>
      <c r="D29" s="17" t="str">
        <f t="shared" si="4"/>
        <v>July</v>
      </c>
      <c r="E29" s="5" t="str">
        <f t="shared" ca="1" si="5"/>
        <v>STU-376</v>
      </c>
      <c r="F29" s="5" t="str">
        <f ca="1">IF(COUNTIF($E$2:E29,E29)=1,"New Customer","Returning Customer")</f>
        <v>New Customer</v>
      </c>
      <c r="G29" s="5" t="str">
        <f t="shared" ca="1" si="6"/>
        <v>Female</v>
      </c>
      <c r="H29" s="5" t="s">
        <v>139</v>
      </c>
      <c r="I29" s="5" t="str" cm="1">
        <f t="array" aca="1" ref="I29" ca="1">INDEX(Courses!$B$9:$B$16,RANDBETWEEN(1,8))</f>
        <v>Microsoft Word</v>
      </c>
      <c r="J29" s="5" t="str">
        <f ca="1">VLOOKUP(I29,Courses!$B$9:$C$16,2,0)</f>
        <v>Microsoft Office</v>
      </c>
      <c r="K29" s="7">
        <f ca="1">VLOOKUP(I29,Courses!$B$9:$D$16,3,0)</f>
        <v>29</v>
      </c>
      <c r="L29" s="5" t="str">
        <f t="shared" ca="1" si="7"/>
        <v>Paid</v>
      </c>
      <c r="M29" s="8" t="str" cm="1">
        <f t="array" aca="1" ref="M29" ca="1">INDEX('Payment Method'!$A$8:$A$12,RANDBETWEEN(1,5))</f>
        <v>Mastercard Debit</v>
      </c>
      <c r="N29" s="7">
        <f>IFERROR(SUMIF(Holiday!$A$8:$A$11,B29,Holiday!$C$8:$C$11),0)</f>
        <v>0</v>
      </c>
      <c r="O29" s="7">
        <f t="shared" ca="1" si="8"/>
        <v>29</v>
      </c>
      <c r="P29" s="19">
        <f t="shared" ca="1" si="9"/>
        <v>28.42</v>
      </c>
      <c r="Q29" s="7">
        <f t="shared" ca="1" si="10"/>
        <v>0</v>
      </c>
      <c r="R29" s="8">
        <f ca="1">VLOOKUP(M29,'Payment Method'!$A$8:$B$12,2,0)</f>
        <v>0.02</v>
      </c>
      <c r="S29" s="9">
        <f t="shared" ca="1" si="0"/>
        <v>0.57999999999999829</v>
      </c>
      <c r="T29" s="8">
        <v>0.01</v>
      </c>
      <c r="U29" s="9">
        <f t="shared" ca="1" si="1"/>
        <v>0.28419999999999845</v>
      </c>
      <c r="V29" s="7">
        <f t="shared" ca="1" si="2"/>
        <v>0</v>
      </c>
      <c r="W29" s="7">
        <f t="shared" ca="1" si="3"/>
        <v>28.135800000000003</v>
      </c>
      <c r="X29" s="5" t="str">
        <f t="shared" ca="1" si="11"/>
        <v>Facebook</v>
      </c>
      <c r="Y29" s="78" t="str">
        <f>IF(COUNTIF($C$1:C28,B28)=1,10,"")</f>
        <v/>
      </c>
    </row>
    <row r="30" spans="1:25" x14ac:dyDescent="0.3">
      <c r="A30" s="75">
        <v>29</v>
      </c>
      <c r="B30" s="6">
        <v>46099</v>
      </c>
      <c r="C30" s="6">
        <v>46099</v>
      </c>
      <c r="D30" s="17" t="str">
        <f t="shared" si="4"/>
        <v>March</v>
      </c>
      <c r="E30" s="5" t="str">
        <f t="shared" ca="1" si="5"/>
        <v>STU-591</v>
      </c>
      <c r="F30" s="5" t="str">
        <f ca="1">IF(COUNTIF($E$2:E30,E30)=1,"New Customer","Returning Customer")</f>
        <v>New Customer</v>
      </c>
      <c r="G30" s="5" t="str">
        <f t="shared" ca="1" si="6"/>
        <v>Male</v>
      </c>
      <c r="H30" s="5" t="s">
        <v>135</v>
      </c>
      <c r="I30" s="5" t="str" cm="1">
        <f t="array" aca="1" ref="I30" ca="1">INDEX(Courses!$B$9:$B$16,RANDBETWEEN(1,8))</f>
        <v>Power BI</v>
      </c>
      <c r="J30" s="5" t="str">
        <f ca="1">VLOOKUP(I30,Courses!$B$9:$C$16,2,0)</f>
        <v>Data Analytics</v>
      </c>
      <c r="K30" s="7">
        <f ca="1">VLOOKUP(I30,Courses!$B$9:$D$16,3,0)</f>
        <v>59</v>
      </c>
      <c r="L30" s="5" t="str">
        <f t="shared" ca="1" si="7"/>
        <v>Paid</v>
      </c>
      <c r="M30" s="8" t="str" cm="1">
        <f t="array" aca="1" ref="M30" ca="1">INDEX('Payment Method'!$A$8:$A$12,RANDBETWEEN(1,5))</f>
        <v>Visa Credit</v>
      </c>
      <c r="N30" s="7">
        <f>IFERROR(SUMIF(Holiday!$A$8:$A$11,B30,Holiday!$C$8:$C$11),0)</f>
        <v>0</v>
      </c>
      <c r="O30" s="7">
        <f t="shared" ca="1" si="8"/>
        <v>59</v>
      </c>
      <c r="P30" s="19">
        <f t="shared" ca="1" si="9"/>
        <v>56.935000000000002</v>
      </c>
      <c r="Q30" s="7">
        <f t="shared" ca="1" si="10"/>
        <v>0</v>
      </c>
      <c r="R30" s="8">
        <f ca="1">VLOOKUP(M30,'Payment Method'!$A$8:$B$12,2,0)</f>
        <v>3.5000000000000003E-2</v>
      </c>
      <c r="S30" s="9">
        <f t="shared" ca="1" si="0"/>
        <v>2.0649999999999977</v>
      </c>
      <c r="T30" s="8">
        <v>0.01</v>
      </c>
      <c r="U30" s="9">
        <f t="shared" ca="1" si="1"/>
        <v>0.56935000000000002</v>
      </c>
      <c r="V30" s="7">
        <f t="shared" ca="1" si="2"/>
        <v>0</v>
      </c>
      <c r="W30" s="7">
        <f t="shared" ca="1" si="3"/>
        <v>56.365650000000002</v>
      </c>
      <c r="X30" s="5" t="str">
        <f t="shared" ca="1" si="11"/>
        <v>Instagram</v>
      </c>
      <c r="Y30" s="78">
        <f>IF(COUNTIF($C$1:C29,B29)=1,10,"")</f>
        <v>10</v>
      </c>
    </row>
    <row r="31" spans="1:25" x14ac:dyDescent="0.3">
      <c r="A31" s="76">
        <v>30</v>
      </c>
      <c r="B31" s="6">
        <v>46053</v>
      </c>
      <c r="C31" s="6">
        <v>46056</v>
      </c>
      <c r="D31" s="17" t="str">
        <f t="shared" si="4"/>
        <v>February</v>
      </c>
      <c r="E31" s="5" t="str">
        <f t="shared" ca="1" si="5"/>
        <v>STU-990</v>
      </c>
      <c r="F31" s="5" t="str">
        <f ca="1">IF(COUNTIF($E$2:E31,E31)=1,"New Customer","Returning Customer")</f>
        <v>New Customer</v>
      </c>
      <c r="G31" s="5" t="str">
        <f t="shared" ca="1" si="6"/>
        <v>Not specified</v>
      </c>
      <c r="H31" s="5" t="s">
        <v>137</v>
      </c>
      <c r="I31" s="5" t="str" cm="1">
        <f t="array" aca="1" ref="I31" ca="1">INDEX(Courses!$B$9:$B$16,RANDBETWEEN(1,8))</f>
        <v>Excel Basics</v>
      </c>
      <c r="J31" s="5" t="str">
        <f ca="1">VLOOKUP(I31,Courses!$B$9:$C$16,2,0)</f>
        <v>Microsoft Office</v>
      </c>
      <c r="K31" s="7">
        <f ca="1">VLOOKUP(I31,Courses!$B$9:$D$16,3,0)</f>
        <v>29</v>
      </c>
      <c r="L31" s="5" t="str">
        <f t="shared" ca="1" si="7"/>
        <v>Paid</v>
      </c>
      <c r="M31" s="8" t="str" cm="1">
        <f t="array" aca="1" ref="M31" ca="1">INDEX('Payment Method'!$A$8:$A$12,RANDBETWEEN(1,5))</f>
        <v>Visa Credit</v>
      </c>
      <c r="N31" s="7">
        <f>IFERROR(SUMIF(Holiday!$A$8:$A$11,B31,Holiday!$C$8:$C$11),0)</f>
        <v>0</v>
      </c>
      <c r="O31" s="7">
        <f t="shared" ca="1" si="8"/>
        <v>29</v>
      </c>
      <c r="P31" s="19">
        <f t="shared" ca="1" si="9"/>
        <v>27.984999999999999</v>
      </c>
      <c r="Q31" s="7">
        <f t="shared" ca="1" si="10"/>
        <v>0</v>
      </c>
      <c r="R31" s="8">
        <f ca="1">VLOOKUP(M31,'Payment Method'!$A$8:$B$12,2,0)</f>
        <v>3.5000000000000003E-2</v>
      </c>
      <c r="S31" s="9">
        <f t="shared" ca="1" si="0"/>
        <v>1.0150000000000006</v>
      </c>
      <c r="T31" s="8">
        <v>0.01</v>
      </c>
      <c r="U31" s="9">
        <f t="shared" ca="1" si="1"/>
        <v>0.27984999999999971</v>
      </c>
      <c r="V31" s="7">
        <f t="shared" ca="1" si="2"/>
        <v>0</v>
      </c>
      <c r="W31" s="7">
        <f t="shared" ca="1" si="3"/>
        <v>27.70515</v>
      </c>
      <c r="X31" s="5" t="str">
        <f t="shared" ca="1" si="11"/>
        <v>Instagram</v>
      </c>
      <c r="Y31" s="78">
        <f>IF(COUNTIF($C$1:C30,B30)=1,10,"")</f>
        <v>10</v>
      </c>
    </row>
    <row r="32" spans="1:25" x14ac:dyDescent="0.3">
      <c r="A32" s="75">
        <v>31</v>
      </c>
      <c r="B32" s="6">
        <v>46179</v>
      </c>
      <c r="C32" s="6">
        <v>46180</v>
      </c>
      <c r="D32" s="17" t="str">
        <f t="shared" si="4"/>
        <v>June</v>
      </c>
      <c r="E32" s="5" t="str">
        <f t="shared" ca="1" si="5"/>
        <v>STU-68</v>
      </c>
      <c r="F32" s="5" t="str">
        <f ca="1">IF(COUNTIF($E$2:E32,E32)=1,"New Customer","Returning Customer")</f>
        <v>New Customer</v>
      </c>
      <c r="G32" s="5" t="str">
        <f t="shared" ca="1" si="6"/>
        <v>Female</v>
      </c>
      <c r="H32" s="5" t="s">
        <v>137</v>
      </c>
      <c r="I32" s="5" t="str" cm="1">
        <f t="array" aca="1" ref="I32" ca="1">INDEX(Courses!$B$9:$B$16,RANDBETWEEN(1,8))</f>
        <v>Power BI</v>
      </c>
      <c r="J32" s="5" t="str">
        <f ca="1">VLOOKUP(I32,Courses!$B$9:$C$16,2,0)</f>
        <v>Data Analytics</v>
      </c>
      <c r="K32" s="7">
        <f ca="1">VLOOKUP(I32,Courses!$B$9:$D$16,3,0)</f>
        <v>59</v>
      </c>
      <c r="L32" s="5" t="str">
        <f t="shared" ca="1" si="7"/>
        <v>Pending</v>
      </c>
      <c r="M32" s="8" t="str" cm="1">
        <f t="array" aca="1" ref="M32" ca="1">INDEX('Payment Method'!$A$8:$A$12,RANDBETWEEN(1,5))</f>
        <v>Mastercard Credit</v>
      </c>
      <c r="N32" s="7">
        <f>IFERROR(SUMIF(Holiday!$A$8:$A$11,B32,Holiday!$C$8:$C$11),0)</f>
        <v>0</v>
      </c>
      <c r="O32" s="7">
        <f t="shared" ca="1" si="8"/>
        <v>59</v>
      </c>
      <c r="P32" s="19">
        <f t="shared" ca="1" si="9"/>
        <v>56.935000000000002</v>
      </c>
      <c r="Q32" s="7">
        <f t="shared" ca="1" si="10"/>
        <v>56.365650000000002</v>
      </c>
      <c r="R32" s="8">
        <f ca="1">VLOOKUP(M32,'Payment Method'!$A$8:$B$12,2,0)</f>
        <v>3.5000000000000003E-2</v>
      </c>
      <c r="S32" s="9">
        <f t="shared" ca="1" si="0"/>
        <v>2.0649999999999977</v>
      </c>
      <c r="T32" s="8">
        <v>0.01</v>
      </c>
      <c r="U32" s="9">
        <f t="shared" ca="1" si="1"/>
        <v>0.56935000000000002</v>
      </c>
      <c r="V32" s="7">
        <f t="shared" ca="1" si="2"/>
        <v>0</v>
      </c>
      <c r="W32" s="7">
        <f t="shared" ca="1" si="3"/>
        <v>0</v>
      </c>
      <c r="X32" s="5" t="str">
        <f t="shared" ca="1" si="11"/>
        <v>Tiktok</v>
      </c>
      <c r="Y32" s="78" t="str">
        <f>IF(COUNTIF($C$1:C31,B31)=1,10,"")</f>
        <v/>
      </c>
    </row>
    <row r="33" spans="1:25" x14ac:dyDescent="0.3">
      <c r="A33" s="76">
        <v>32</v>
      </c>
      <c r="B33" s="6">
        <v>46118</v>
      </c>
      <c r="C33" s="6">
        <v>46118</v>
      </c>
      <c r="D33" s="17" t="str">
        <f t="shared" si="4"/>
        <v>April</v>
      </c>
      <c r="E33" s="5" t="str">
        <f t="shared" ca="1" si="5"/>
        <v>STU-397</v>
      </c>
      <c r="F33" s="5" t="str">
        <f ca="1">IF(COUNTIF($E$2:E33,E33)=1,"New Customer","Returning Customer")</f>
        <v>New Customer</v>
      </c>
      <c r="G33" s="5" t="str">
        <f t="shared" ca="1" si="6"/>
        <v>Not specified</v>
      </c>
      <c r="H33" s="5" t="s">
        <v>138</v>
      </c>
      <c r="I33" s="5" t="str" cm="1">
        <f t="array" aca="1" ref="I33" ca="1">INDEX(Courses!$B$9:$B$16,RANDBETWEEN(1,8))</f>
        <v>Adolescent Psychology</v>
      </c>
      <c r="J33" s="5" t="str">
        <f ca="1">VLOOKUP(I33,Courses!$B$9:$C$16,2,0)</f>
        <v>Psychology</v>
      </c>
      <c r="K33" s="7">
        <f ca="1">VLOOKUP(I33,Courses!$B$9:$D$16,3,0)</f>
        <v>29</v>
      </c>
      <c r="L33" s="5" t="str">
        <f t="shared" ca="1" si="7"/>
        <v>Pending</v>
      </c>
      <c r="M33" s="8" t="str" cm="1">
        <f t="array" aca="1" ref="M33" ca="1">INDEX('Payment Method'!$A$8:$A$12,RANDBETWEEN(1,5))</f>
        <v>Bank Transfer</v>
      </c>
      <c r="N33" s="7">
        <f>IFERROR(SUMIF(Holiday!$A$8:$A$11,B33,Holiday!$C$8:$C$11),0)</f>
        <v>0</v>
      </c>
      <c r="O33" s="7">
        <f t="shared" ca="1" si="8"/>
        <v>29</v>
      </c>
      <c r="P33" s="19">
        <f t="shared" ca="1" si="9"/>
        <v>29</v>
      </c>
      <c r="Q33" s="7">
        <f t="shared" ca="1" si="10"/>
        <v>28.71</v>
      </c>
      <c r="R33" s="8">
        <f ca="1">VLOOKUP(M33,'Payment Method'!$A$8:$B$12,2,0)</f>
        <v>0</v>
      </c>
      <c r="S33" s="9">
        <f t="shared" ca="1" si="0"/>
        <v>0</v>
      </c>
      <c r="T33" s="8">
        <v>0.01</v>
      </c>
      <c r="U33" s="9">
        <f t="shared" ca="1" si="1"/>
        <v>0.28999999999999915</v>
      </c>
      <c r="V33" s="7">
        <f t="shared" ca="1" si="2"/>
        <v>0</v>
      </c>
      <c r="W33" s="7">
        <f t="shared" ca="1" si="3"/>
        <v>0</v>
      </c>
      <c r="X33" s="5" t="str">
        <f t="shared" ca="1" si="11"/>
        <v>Instagram</v>
      </c>
      <c r="Y33" s="78" t="str">
        <f>IF(COUNTIF($C$1:C32,B32)=1,10,"")</f>
        <v/>
      </c>
    </row>
    <row r="34" spans="1:25" x14ac:dyDescent="0.3">
      <c r="A34" s="75">
        <v>33</v>
      </c>
      <c r="B34" s="6">
        <v>46092</v>
      </c>
      <c r="C34" s="6">
        <v>46097</v>
      </c>
      <c r="D34" s="17" t="str">
        <f t="shared" si="4"/>
        <v>March</v>
      </c>
      <c r="E34" s="5" t="str">
        <f t="shared" ca="1" si="5"/>
        <v>STU-159</v>
      </c>
      <c r="F34" s="5" t="str">
        <f ca="1">IF(COUNTIF($E$2:E34,E34)=1,"New Customer","Returning Customer")</f>
        <v>New Customer</v>
      </c>
      <c r="G34" s="5" t="str">
        <f t="shared" ca="1" si="6"/>
        <v>Not specified</v>
      </c>
      <c r="H34" s="5" t="s">
        <v>142</v>
      </c>
      <c r="I34" s="5" t="str" cm="1">
        <f t="array" aca="1" ref="I34" ca="1">INDEX(Courses!$B$9:$B$16,RANDBETWEEN(1,8))</f>
        <v>SQL</v>
      </c>
      <c r="J34" s="5" t="str">
        <f ca="1">VLOOKUP(I34,Courses!$B$9:$C$16,2,0)</f>
        <v>Data Analytics</v>
      </c>
      <c r="K34" s="7">
        <f ca="1">VLOOKUP(I34,Courses!$B$9:$D$16,3,0)</f>
        <v>99</v>
      </c>
      <c r="L34" s="5" t="str">
        <f t="shared" ca="1" si="7"/>
        <v>Pending</v>
      </c>
      <c r="M34" s="8" t="str" cm="1">
        <f t="array" aca="1" ref="M34" ca="1">INDEX('Payment Method'!$A$8:$A$12,RANDBETWEEN(1,5))</f>
        <v>Visa Debit</v>
      </c>
      <c r="N34" s="7">
        <f>IFERROR(SUMIF(Holiday!$A$8:$A$11,B34,Holiday!$C$8:$C$11),0)</f>
        <v>0</v>
      </c>
      <c r="O34" s="7">
        <f t="shared" ca="1" si="8"/>
        <v>99</v>
      </c>
      <c r="P34" s="19">
        <f t="shared" ca="1" si="9"/>
        <v>97.02</v>
      </c>
      <c r="Q34" s="7">
        <f t="shared" ca="1" si="10"/>
        <v>96.049799999999991</v>
      </c>
      <c r="R34" s="8">
        <f ca="1">VLOOKUP(M34,'Payment Method'!$A$8:$B$12,2,0)</f>
        <v>0.02</v>
      </c>
      <c r="S34" s="9">
        <f t="shared" ca="1" si="0"/>
        <v>1.980000000000004</v>
      </c>
      <c r="T34" s="8">
        <v>0.01</v>
      </c>
      <c r="U34" s="9">
        <f t="shared" ca="1" si="1"/>
        <v>0.9702000000000055</v>
      </c>
      <c r="V34" s="7">
        <f t="shared" ca="1" si="2"/>
        <v>0</v>
      </c>
      <c r="W34" s="7">
        <f t="shared" ca="1" si="3"/>
        <v>0</v>
      </c>
      <c r="X34" s="5" t="str">
        <f t="shared" ca="1" si="11"/>
        <v>Facebook</v>
      </c>
      <c r="Y34" s="78">
        <f>IF(COUNTIF($C$1:C33,B33)=1,10,"")</f>
        <v>10</v>
      </c>
    </row>
    <row r="35" spans="1:25" x14ac:dyDescent="0.3">
      <c r="A35" s="76">
        <v>34</v>
      </c>
      <c r="B35" s="6">
        <v>46157</v>
      </c>
      <c r="C35" s="6">
        <v>46157</v>
      </c>
      <c r="D35" s="17" t="str">
        <f t="shared" si="4"/>
        <v>May</v>
      </c>
      <c r="E35" s="5" t="str">
        <f t="shared" ca="1" si="5"/>
        <v>STU-931</v>
      </c>
      <c r="F35" s="5" t="str">
        <f ca="1">IF(COUNTIF($E$2:E35,E35)=1,"New Customer","Returning Customer")</f>
        <v>New Customer</v>
      </c>
      <c r="G35" s="5" t="str">
        <f t="shared" ca="1" si="6"/>
        <v>Female</v>
      </c>
      <c r="H35" s="5" t="s">
        <v>137</v>
      </c>
      <c r="I35" s="5" t="str" cm="1">
        <f t="array" aca="1" ref="I35" ca="1">INDEX(Courses!$B$9:$B$16,RANDBETWEEN(1,8))</f>
        <v>PowerPoint</v>
      </c>
      <c r="J35" s="5" t="str">
        <f ca="1">VLOOKUP(I35,Courses!$B$9:$C$16,2,0)</f>
        <v>Microsoft Office</v>
      </c>
      <c r="K35" s="7">
        <f ca="1">VLOOKUP(I35,Courses!$B$9:$D$16,3,0)</f>
        <v>29</v>
      </c>
      <c r="L35" s="5" t="str">
        <f t="shared" ca="1" si="7"/>
        <v>Pending</v>
      </c>
      <c r="M35" s="8" t="str" cm="1">
        <f t="array" aca="1" ref="M35" ca="1">INDEX('Payment Method'!$A$8:$A$12,RANDBETWEEN(1,5))</f>
        <v>Bank Transfer</v>
      </c>
      <c r="N35" s="7">
        <f>IFERROR(SUMIF(Holiday!$A$8:$A$11,B35,Holiday!$C$8:$C$11),0)</f>
        <v>0</v>
      </c>
      <c r="O35" s="7">
        <f t="shared" ca="1" si="8"/>
        <v>29</v>
      </c>
      <c r="P35" s="19">
        <f t="shared" ca="1" si="9"/>
        <v>29</v>
      </c>
      <c r="Q35" s="7">
        <f t="shared" ca="1" si="10"/>
        <v>28.71</v>
      </c>
      <c r="R35" s="8">
        <f ca="1">VLOOKUP(M35,'Payment Method'!$A$8:$B$12,2,0)</f>
        <v>0</v>
      </c>
      <c r="S35" s="9">
        <f t="shared" ca="1" si="0"/>
        <v>0</v>
      </c>
      <c r="T35" s="8">
        <v>0.01</v>
      </c>
      <c r="U35" s="9">
        <f t="shared" ca="1" si="1"/>
        <v>0.28999999999999915</v>
      </c>
      <c r="V35" s="7">
        <f t="shared" ca="1" si="2"/>
        <v>0</v>
      </c>
      <c r="W35" s="7">
        <f t="shared" ca="1" si="3"/>
        <v>0</v>
      </c>
      <c r="X35" s="5" t="str">
        <f t="shared" ca="1" si="11"/>
        <v>Facebook</v>
      </c>
      <c r="Y35" s="78" t="str">
        <f>IF(COUNTIF($C$1:C34,B34)=1,10,"")</f>
        <v/>
      </c>
    </row>
    <row r="36" spans="1:25" x14ac:dyDescent="0.3">
      <c r="A36" s="75">
        <v>35</v>
      </c>
      <c r="B36" s="6">
        <v>46048</v>
      </c>
      <c r="C36" s="6">
        <v>46051</v>
      </c>
      <c r="D36" s="17" t="str">
        <f t="shared" si="4"/>
        <v>January</v>
      </c>
      <c r="E36" s="5" t="str">
        <f t="shared" ca="1" si="5"/>
        <v>STU-217</v>
      </c>
      <c r="F36" s="5" t="str">
        <f ca="1">IF(COUNTIF($E$2:E36,E36)=1,"New Customer","Returning Customer")</f>
        <v>New Customer</v>
      </c>
      <c r="G36" s="5" t="str">
        <f t="shared" ca="1" si="6"/>
        <v>Male</v>
      </c>
      <c r="H36" s="5" t="s">
        <v>135</v>
      </c>
      <c r="I36" s="5" t="str" cm="1">
        <f t="array" aca="1" ref="I36" ca="1">INDEX(Courses!$B$9:$B$16,RANDBETWEEN(1,8))</f>
        <v>SQL</v>
      </c>
      <c r="J36" s="5" t="str">
        <f ca="1">VLOOKUP(I36,Courses!$B$9:$C$16,2,0)</f>
        <v>Data Analytics</v>
      </c>
      <c r="K36" s="7">
        <f ca="1">VLOOKUP(I36,Courses!$B$9:$D$16,3,0)</f>
        <v>99</v>
      </c>
      <c r="L36" s="5" t="str">
        <f t="shared" ca="1" si="7"/>
        <v>Paid</v>
      </c>
      <c r="M36" s="8" t="str" cm="1">
        <f t="array" aca="1" ref="M36" ca="1">INDEX('Payment Method'!$A$8:$A$12,RANDBETWEEN(1,5))</f>
        <v>Mastercard Debit</v>
      </c>
      <c r="N36" s="7">
        <f>IFERROR(SUMIF(Holiday!$A$8:$A$11,B36,Holiday!$C$8:$C$11),0)</f>
        <v>0</v>
      </c>
      <c r="O36" s="7">
        <f t="shared" ca="1" si="8"/>
        <v>99</v>
      </c>
      <c r="P36" s="19">
        <f t="shared" ca="1" si="9"/>
        <v>97.02</v>
      </c>
      <c r="Q36" s="7">
        <f t="shared" ca="1" si="10"/>
        <v>0</v>
      </c>
      <c r="R36" s="8">
        <f ca="1">VLOOKUP(M36,'Payment Method'!$A$8:$B$12,2,0)</f>
        <v>0.02</v>
      </c>
      <c r="S36" s="9">
        <f t="shared" ca="1" si="0"/>
        <v>1.980000000000004</v>
      </c>
      <c r="T36" s="8">
        <v>0.01</v>
      </c>
      <c r="U36" s="9">
        <f t="shared" ca="1" si="1"/>
        <v>0.9702000000000055</v>
      </c>
      <c r="V36" s="7">
        <f t="shared" ca="1" si="2"/>
        <v>0</v>
      </c>
      <c r="W36" s="7">
        <f t="shared" ca="1" si="3"/>
        <v>96.049799999999991</v>
      </c>
      <c r="X36" s="5" t="str">
        <f t="shared" ca="1" si="11"/>
        <v>Tiktok</v>
      </c>
      <c r="Y36" s="78">
        <f>IF(COUNTIF($C$1:C35,B35)=1,10,"")</f>
        <v>10</v>
      </c>
    </row>
    <row r="37" spans="1:25" x14ac:dyDescent="0.3">
      <c r="A37" s="76">
        <v>36</v>
      </c>
      <c r="B37" s="6">
        <v>46206</v>
      </c>
      <c r="C37" s="6">
        <v>46209</v>
      </c>
      <c r="D37" s="17" t="str">
        <f t="shared" si="4"/>
        <v>July</v>
      </c>
      <c r="E37" s="5" t="str">
        <f t="shared" ca="1" si="5"/>
        <v>STU-978</v>
      </c>
      <c r="F37" s="5" t="str">
        <f ca="1">IF(COUNTIF($E$2:E37,E37)=1,"New Customer","Returning Customer")</f>
        <v>New Customer</v>
      </c>
      <c r="G37" s="5" t="str">
        <f t="shared" ca="1" si="6"/>
        <v>Female</v>
      </c>
      <c r="H37" s="5" t="s">
        <v>141</v>
      </c>
      <c r="I37" s="5" t="str" cm="1">
        <f t="array" aca="1" ref="I37" ca="1">INDEX(Courses!$B$9:$B$16,RANDBETWEEN(1,8))</f>
        <v>Microsoft Word</v>
      </c>
      <c r="J37" s="5" t="str">
        <f ca="1">VLOOKUP(I37,Courses!$B$9:$C$16,2,0)</f>
        <v>Microsoft Office</v>
      </c>
      <c r="K37" s="7">
        <f ca="1">VLOOKUP(I37,Courses!$B$9:$D$16,3,0)</f>
        <v>29</v>
      </c>
      <c r="L37" s="5" t="str">
        <f t="shared" ca="1" si="7"/>
        <v>Paid</v>
      </c>
      <c r="M37" s="8" t="str" cm="1">
        <f t="array" aca="1" ref="M37" ca="1">INDEX('Payment Method'!$A$8:$A$12,RANDBETWEEN(1,5))</f>
        <v>Mastercard Credit</v>
      </c>
      <c r="N37" s="7">
        <f>IFERROR(SUMIF(Holiday!$A$8:$A$11,B37,Holiday!$C$8:$C$11),0)</f>
        <v>0</v>
      </c>
      <c r="O37" s="7">
        <f t="shared" ca="1" si="8"/>
        <v>29</v>
      </c>
      <c r="P37" s="19">
        <f t="shared" ca="1" si="9"/>
        <v>27.984999999999999</v>
      </c>
      <c r="Q37" s="7">
        <f t="shared" ca="1" si="10"/>
        <v>0</v>
      </c>
      <c r="R37" s="8">
        <f ca="1">VLOOKUP(M37,'Payment Method'!$A$8:$B$12,2,0)</f>
        <v>3.5000000000000003E-2</v>
      </c>
      <c r="S37" s="9">
        <f t="shared" ca="1" si="0"/>
        <v>1.0150000000000006</v>
      </c>
      <c r="T37" s="8">
        <v>0.01</v>
      </c>
      <c r="U37" s="9">
        <f t="shared" ca="1" si="1"/>
        <v>0.27984999999999971</v>
      </c>
      <c r="V37" s="7">
        <f t="shared" ca="1" si="2"/>
        <v>0</v>
      </c>
      <c r="W37" s="7">
        <f t="shared" ca="1" si="3"/>
        <v>27.70515</v>
      </c>
      <c r="X37" s="5" t="str">
        <f t="shared" ca="1" si="11"/>
        <v>Tiktok</v>
      </c>
      <c r="Y37" s="78" t="str">
        <f>IF(COUNTIF($C$1:C36,B36)=1,10,"")</f>
        <v/>
      </c>
    </row>
    <row r="38" spans="1:25" x14ac:dyDescent="0.3">
      <c r="A38" s="75">
        <v>37</v>
      </c>
      <c r="B38" s="6">
        <v>46171</v>
      </c>
      <c r="C38" s="6">
        <v>46176</v>
      </c>
      <c r="D38" s="17" t="str">
        <f t="shared" si="4"/>
        <v>June</v>
      </c>
      <c r="E38" s="5" t="str">
        <f t="shared" ca="1" si="5"/>
        <v>STU-325</v>
      </c>
      <c r="F38" s="5" t="str">
        <f ca="1">IF(COUNTIF($E$2:E38,E38)=1,"New Customer","Returning Customer")</f>
        <v>New Customer</v>
      </c>
      <c r="G38" s="5" t="str">
        <f t="shared" ca="1" si="6"/>
        <v>Female</v>
      </c>
      <c r="H38" s="5" t="s">
        <v>142</v>
      </c>
      <c r="I38" s="5" t="str" cm="1">
        <f t="array" aca="1" ref="I38" ca="1">INDEX(Courses!$B$9:$B$16,RANDBETWEEN(1,8))</f>
        <v>Tax Code</v>
      </c>
      <c r="J38" s="5" t="str">
        <f ca="1">VLOOKUP(I38,Courses!$B$9:$C$16,2,0)</f>
        <v>Finance &amp; Taxation</v>
      </c>
      <c r="K38" s="7">
        <f ca="1">VLOOKUP(I38,Courses!$B$9:$D$16,3,0)</f>
        <v>59</v>
      </c>
      <c r="L38" s="5" t="str">
        <f t="shared" ca="1" si="7"/>
        <v>Pending</v>
      </c>
      <c r="M38" s="8" t="str" cm="1">
        <f t="array" aca="1" ref="M38" ca="1">INDEX('Payment Method'!$A$8:$A$12,RANDBETWEEN(1,5))</f>
        <v>Mastercard Debit</v>
      </c>
      <c r="N38" s="7">
        <f>IFERROR(SUMIF(Holiday!$A$8:$A$11,B38,Holiday!$C$8:$C$11),0)</f>
        <v>0</v>
      </c>
      <c r="O38" s="7">
        <f t="shared" ca="1" si="8"/>
        <v>59</v>
      </c>
      <c r="P38" s="19">
        <f t="shared" ca="1" si="9"/>
        <v>57.82</v>
      </c>
      <c r="Q38" s="7">
        <f t="shared" ca="1" si="10"/>
        <v>57.241799999999998</v>
      </c>
      <c r="R38" s="8">
        <f ca="1">VLOOKUP(M38,'Payment Method'!$A$8:$B$12,2,0)</f>
        <v>0.02</v>
      </c>
      <c r="S38" s="9">
        <f t="shared" ca="1" si="0"/>
        <v>1.1799999999999997</v>
      </c>
      <c r="T38" s="8">
        <v>0.01</v>
      </c>
      <c r="U38" s="9">
        <f t="shared" ca="1" si="1"/>
        <v>0.57820000000000249</v>
      </c>
      <c r="V38" s="7">
        <f t="shared" ca="1" si="2"/>
        <v>0</v>
      </c>
      <c r="W38" s="7">
        <f t="shared" ca="1" si="3"/>
        <v>0</v>
      </c>
      <c r="X38" s="5" t="str">
        <f t="shared" ca="1" si="11"/>
        <v>Instagram</v>
      </c>
      <c r="Y38" s="78" t="str">
        <f>IF(COUNTIF($C$1:C37,B37)=1,10,"")</f>
        <v/>
      </c>
    </row>
    <row r="39" spans="1:25" x14ac:dyDescent="0.3">
      <c r="A39" s="76">
        <v>38</v>
      </c>
      <c r="B39" s="6">
        <v>46201</v>
      </c>
      <c r="C39" s="6">
        <v>46205</v>
      </c>
      <c r="D39" s="17" t="str">
        <f t="shared" si="4"/>
        <v>July</v>
      </c>
      <c r="E39" s="5" t="str">
        <f t="shared" ca="1" si="5"/>
        <v>STU-106</v>
      </c>
      <c r="F39" s="5" t="str">
        <f ca="1">IF(COUNTIF($E$2:E39,E39)=1,"New Customer","Returning Customer")</f>
        <v>New Customer</v>
      </c>
      <c r="G39" s="5" t="str">
        <f t="shared" ca="1" si="6"/>
        <v>Male</v>
      </c>
      <c r="H39" s="5" t="s">
        <v>141</v>
      </c>
      <c r="I39" s="5" t="str" cm="1">
        <f t="array" aca="1" ref="I39" ca="1">INDEX(Courses!$B$9:$B$16,RANDBETWEEN(1,8))</f>
        <v>Microsoft Word</v>
      </c>
      <c r="J39" s="5" t="str">
        <f ca="1">VLOOKUP(I39,Courses!$B$9:$C$16,2,0)</f>
        <v>Microsoft Office</v>
      </c>
      <c r="K39" s="7">
        <f ca="1">VLOOKUP(I39,Courses!$B$9:$D$16,3,0)</f>
        <v>29</v>
      </c>
      <c r="L39" s="5" t="str">
        <f t="shared" ca="1" si="7"/>
        <v>Pending</v>
      </c>
      <c r="M39" s="8" t="str" cm="1">
        <f t="array" aca="1" ref="M39" ca="1">INDEX('Payment Method'!$A$8:$A$12,RANDBETWEEN(1,5))</f>
        <v>Visa Credit</v>
      </c>
      <c r="N39" s="7">
        <f>IFERROR(SUMIF(Holiday!$A$8:$A$11,B39,Holiday!$C$8:$C$11),0)</f>
        <v>0</v>
      </c>
      <c r="O39" s="7">
        <f t="shared" ca="1" si="8"/>
        <v>29</v>
      </c>
      <c r="P39" s="19">
        <f t="shared" ca="1" si="9"/>
        <v>27.984999999999999</v>
      </c>
      <c r="Q39" s="7">
        <f t="shared" ca="1" si="10"/>
        <v>27.70515</v>
      </c>
      <c r="R39" s="8">
        <f ca="1">VLOOKUP(M39,'Payment Method'!$A$8:$B$12,2,0)</f>
        <v>3.5000000000000003E-2</v>
      </c>
      <c r="S39" s="9">
        <f t="shared" ca="1" si="0"/>
        <v>1.0150000000000006</v>
      </c>
      <c r="T39" s="8">
        <v>0.01</v>
      </c>
      <c r="U39" s="9">
        <f t="shared" ca="1" si="1"/>
        <v>0.27984999999999971</v>
      </c>
      <c r="V39" s="7">
        <f t="shared" ca="1" si="2"/>
        <v>0</v>
      </c>
      <c r="W39" s="7">
        <f t="shared" ca="1" si="3"/>
        <v>0</v>
      </c>
      <c r="X39" s="5" t="str">
        <f t="shared" ca="1" si="11"/>
        <v>Tiktok</v>
      </c>
      <c r="Y39" s="78" t="str">
        <f>IF(COUNTIF($C$1:C38,B38)=1,10,"")</f>
        <v/>
      </c>
    </row>
    <row r="40" spans="1:25" x14ac:dyDescent="0.3">
      <c r="A40" s="75">
        <v>39</v>
      </c>
      <c r="B40" s="6">
        <v>46184</v>
      </c>
      <c r="C40" s="6">
        <v>46188</v>
      </c>
      <c r="D40" s="17" t="str">
        <f t="shared" si="4"/>
        <v>June</v>
      </c>
      <c r="E40" s="5" t="str">
        <f t="shared" ca="1" si="5"/>
        <v>STU-851</v>
      </c>
      <c r="F40" s="5" t="str">
        <f ca="1">IF(COUNTIF($E$2:E40,E40)=1,"New Customer","Returning Customer")</f>
        <v>New Customer</v>
      </c>
      <c r="G40" s="5" t="str">
        <f t="shared" ca="1" si="6"/>
        <v>Male</v>
      </c>
      <c r="H40" s="5" t="s">
        <v>142</v>
      </c>
      <c r="I40" s="5" t="str" cm="1">
        <f t="array" aca="1" ref="I40" ca="1">INDEX(Courses!$B$9:$B$16,RANDBETWEEN(1,8))</f>
        <v>Power BI</v>
      </c>
      <c r="J40" s="5" t="str">
        <f ca="1">VLOOKUP(I40,Courses!$B$9:$C$16,2,0)</f>
        <v>Data Analytics</v>
      </c>
      <c r="K40" s="7">
        <f ca="1">VLOOKUP(I40,Courses!$B$9:$D$16,3,0)</f>
        <v>59</v>
      </c>
      <c r="L40" s="5" t="str">
        <f t="shared" ca="1" si="7"/>
        <v>Paid</v>
      </c>
      <c r="M40" s="8" t="str" cm="1">
        <f t="array" aca="1" ref="M40" ca="1">INDEX('Payment Method'!$A$8:$A$12,RANDBETWEEN(1,5))</f>
        <v>Visa Credit</v>
      </c>
      <c r="N40" s="7">
        <f>IFERROR(SUMIF(Holiday!$A$8:$A$11,B40,Holiday!$C$8:$C$11),0)</f>
        <v>0</v>
      </c>
      <c r="O40" s="7">
        <f t="shared" ca="1" si="8"/>
        <v>59</v>
      </c>
      <c r="P40" s="19">
        <f t="shared" ca="1" si="9"/>
        <v>56.935000000000002</v>
      </c>
      <c r="Q40" s="7">
        <f t="shared" ca="1" si="10"/>
        <v>0</v>
      </c>
      <c r="R40" s="8">
        <f ca="1">VLOOKUP(M40,'Payment Method'!$A$8:$B$12,2,0)</f>
        <v>3.5000000000000003E-2</v>
      </c>
      <c r="S40" s="9">
        <f t="shared" ca="1" si="0"/>
        <v>2.0649999999999977</v>
      </c>
      <c r="T40" s="8">
        <v>0.01</v>
      </c>
      <c r="U40" s="9">
        <f t="shared" ca="1" si="1"/>
        <v>0.56935000000000002</v>
      </c>
      <c r="V40" s="7">
        <f t="shared" ca="1" si="2"/>
        <v>0</v>
      </c>
      <c r="W40" s="7">
        <f t="shared" ca="1" si="3"/>
        <v>56.365650000000002</v>
      </c>
      <c r="X40" s="5" t="str">
        <f t="shared" ca="1" si="11"/>
        <v>Facebook</v>
      </c>
      <c r="Y40" s="78" t="str">
        <f>IF(COUNTIF($C$1:C39,B39)=1,10,"")</f>
        <v/>
      </c>
    </row>
    <row r="41" spans="1:25" x14ac:dyDescent="0.3">
      <c r="A41" s="76">
        <v>40</v>
      </c>
      <c r="B41" s="6">
        <v>46059</v>
      </c>
      <c r="C41" s="6">
        <v>46063</v>
      </c>
      <c r="D41" s="17" t="str">
        <f t="shared" si="4"/>
        <v>February</v>
      </c>
      <c r="E41" s="5" t="str">
        <f t="shared" ca="1" si="5"/>
        <v>STU-246</v>
      </c>
      <c r="F41" s="5" t="str">
        <f ca="1">IF(COUNTIF($E$2:E41,E41)=1,"New Customer","Returning Customer")</f>
        <v>New Customer</v>
      </c>
      <c r="G41" s="5" t="str">
        <f t="shared" ca="1" si="6"/>
        <v>Male</v>
      </c>
      <c r="H41" s="5" t="s">
        <v>138</v>
      </c>
      <c r="I41" s="5" t="str" cm="1">
        <f t="array" aca="1" ref="I41" ca="1">INDEX(Courses!$B$9:$B$16,RANDBETWEEN(1,8))</f>
        <v>Excel Basics</v>
      </c>
      <c r="J41" s="5" t="str">
        <f ca="1">VLOOKUP(I41,Courses!$B$9:$C$16,2,0)</f>
        <v>Microsoft Office</v>
      </c>
      <c r="K41" s="7">
        <f ca="1">VLOOKUP(I41,Courses!$B$9:$D$16,3,0)</f>
        <v>29</v>
      </c>
      <c r="L41" s="5" t="str">
        <f t="shared" ca="1" si="7"/>
        <v>Refunded</v>
      </c>
      <c r="M41" s="8" t="str" cm="1">
        <f t="array" aca="1" ref="M41" ca="1">INDEX('Payment Method'!$A$8:$A$12,RANDBETWEEN(1,5))</f>
        <v>Mastercard Debit</v>
      </c>
      <c r="N41" s="7">
        <f>IFERROR(SUMIF(Holiday!$A$8:$A$11,B41,Holiday!$C$8:$C$11),0)</f>
        <v>0</v>
      </c>
      <c r="O41" s="7">
        <f t="shared" ca="1" si="8"/>
        <v>29</v>
      </c>
      <c r="P41" s="19">
        <f t="shared" ca="1" si="9"/>
        <v>28.42</v>
      </c>
      <c r="Q41" s="7">
        <f t="shared" ca="1" si="10"/>
        <v>0</v>
      </c>
      <c r="R41" s="8">
        <f ca="1">VLOOKUP(M41,'Payment Method'!$A$8:$B$12,2,0)</f>
        <v>0.02</v>
      </c>
      <c r="S41" s="9">
        <f t="shared" ca="1" si="0"/>
        <v>0.57999999999999829</v>
      </c>
      <c r="T41" s="8">
        <v>0.01</v>
      </c>
      <c r="U41" s="9">
        <f t="shared" ca="1" si="1"/>
        <v>0.28419999999999845</v>
      </c>
      <c r="V41" s="7">
        <f t="shared" ca="1" si="2"/>
        <v>28.135800000000003</v>
      </c>
      <c r="W41" s="7">
        <f t="shared" ca="1" si="3"/>
        <v>0</v>
      </c>
      <c r="X41" s="5" t="str">
        <f t="shared" ca="1" si="11"/>
        <v>Tiktok</v>
      </c>
      <c r="Y41" s="78" t="str">
        <f>IF(COUNTIF($C$1:C40,B40)=1,10,"")</f>
        <v/>
      </c>
    </row>
    <row r="42" spans="1:25" x14ac:dyDescent="0.3">
      <c r="A42" s="75">
        <v>41</v>
      </c>
      <c r="B42" s="6">
        <v>46125</v>
      </c>
      <c r="C42" s="6">
        <v>46127</v>
      </c>
      <c r="D42" s="17" t="str">
        <f t="shared" si="4"/>
        <v>April</v>
      </c>
      <c r="E42" s="5" t="str">
        <f t="shared" ca="1" si="5"/>
        <v>STU-29</v>
      </c>
      <c r="F42" s="5" t="str">
        <f ca="1">IF(COUNTIF($E$2:E42,E42)=1,"New Customer","Returning Customer")</f>
        <v>New Customer</v>
      </c>
      <c r="G42" s="5" t="str">
        <f t="shared" ca="1" si="6"/>
        <v>Male</v>
      </c>
      <c r="H42" s="5" t="s">
        <v>138</v>
      </c>
      <c r="I42" s="5" t="str" cm="1">
        <f t="array" aca="1" ref="I42" ca="1">INDEX(Courses!$B$9:$B$16,RANDBETWEEN(1,8))</f>
        <v>Complete Excel Course</v>
      </c>
      <c r="J42" s="5" t="str">
        <f ca="1">VLOOKUP(I42,Courses!$B$9:$C$16,2,0)</f>
        <v>Microsoft Office</v>
      </c>
      <c r="K42" s="7">
        <f ca="1">VLOOKUP(I42,Courses!$B$9:$D$16,3,0)</f>
        <v>59</v>
      </c>
      <c r="L42" s="5" t="str">
        <f t="shared" ca="1" si="7"/>
        <v>Paid</v>
      </c>
      <c r="M42" s="8" t="str" cm="1">
        <f t="array" aca="1" ref="M42" ca="1">INDEX('Payment Method'!$A$8:$A$12,RANDBETWEEN(1,5))</f>
        <v>Visa Debit</v>
      </c>
      <c r="N42" s="7">
        <f>IFERROR(SUMIF(Holiday!$A$8:$A$11,B42,Holiday!$C$8:$C$11),0)</f>
        <v>0</v>
      </c>
      <c r="O42" s="7">
        <f t="shared" ca="1" si="8"/>
        <v>59</v>
      </c>
      <c r="P42" s="19">
        <f t="shared" ca="1" si="9"/>
        <v>57.82</v>
      </c>
      <c r="Q42" s="7">
        <f t="shared" ca="1" si="10"/>
        <v>0</v>
      </c>
      <c r="R42" s="8">
        <f ca="1">VLOOKUP(M42,'Payment Method'!$A$8:$B$12,2,0)</f>
        <v>0.02</v>
      </c>
      <c r="S42" s="9">
        <f t="shared" ca="1" si="0"/>
        <v>1.1799999999999997</v>
      </c>
      <c r="T42" s="8">
        <v>0.01</v>
      </c>
      <c r="U42" s="9">
        <f t="shared" ca="1" si="1"/>
        <v>0.57820000000000249</v>
      </c>
      <c r="V42" s="7">
        <f t="shared" ca="1" si="2"/>
        <v>0</v>
      </c>
      <c r="W42" s="7">
        <f t="shared" ca="1" si="3"/>
        <v>57.241799999999998</v>
      </c>
      <c r="X42" s="5" t="str">
        <f t="shared" ca="1" si="11"/>
        <v>Tiktok</v>
      </c>
      <c r="Y42" s="78">
        <f>IF(COUNTIF($C$1:C41,B41)=1,10,"")</f>
        <v>10</v>
      </c>
    </row>
    <row r="43" spans="1:25" x14ac:dyDescent="0.3">
      <c r="A43" s="76">
        <v>42</v>
      </c>
      <c r="B43" s="6">
        <v>46182</v>
      </c>
      <c r="C43" s="6">
        <v>46182</v>
      </c>
      <c r="D43" s="17" t="str">
        <f t="shared" si="4"/>
        <v>June</v>
      </c>
      <c r="E43" s="5" t="str">
        <f t="shared" ca="1" si="5"/>
        <v>STU-622</v>
      </c>
      <c r="F43" s="5" t="str">
        <f ca="1">IF(COUNTIF($E$2:E43,E43)=1,"New Customer","Returning Customer")</f>
        <v>New Customer</v>
      </c>
      <c r="G43" s="5" t="str">
        <f t="shared" ca="1" si="6"/>
        <v>Female</v>
      </c>
      <c r="H43" s="5" t="s">
        <v>137</v>
      </c>
      <c r="I43" s="5" t="str" cm="1">
        <f t="array" aca="1" ref="I43" ca="1">INDEX(Courses!$B$9:$B$16,RANDBETWEEN(1,8))</f>
        <v>Adolescent Psychology</v>
      </c>
      <c r="J43" s="5" t="str">
        <f ca="1">VLOOKUP(I43,Courses!$B$9:$C$16,2,0)</f>
        <v>Psychology</v>
      </c>
      <c r="K43" s="7">
        <f ca="1">VLOOKUP(I43,Courses!$B$9:$D$16,3,0)</f>
        <v>29</v>
      </c>
      <c r="L43" s="5" t="str">
        <f t="shared" ca="1" si="7"/>
        <v>Paid</v>
      </c>
      <c r="M43" s="8" t="str" cm="1">
        <f t="array" aca="1" ref="M43" ca="1">INDEX('Payment Method'!$A$8:$A$12,RANDBETWEEN(1,5))</f>
        <v>Mastercard Credit</v>
      </c>
      <c r="N43" s="7">
        <f>IFERROR(SUMIF(Holiday!$A$8:$A$11,B43,Holiday!$C$8:$C$11),0)</f>
        <v>0</v>
      </c>
      <c r="O43" s="7">
        <f t="shared" ca="1" si="8"/>
        <v>29</v>
      </c>
      <c r="P43" s="19">
        <f t="shared" ca="1" si="9"/>
        <v>27.984999999999999</v>
      </c>
      <c r="Q43" s="7">
        <f t="shared" ca="1" si="10"/>
        <v>0</v>
      </c>
      <c r="R43" s="8">
        <f ca="1">VLOOKUP(M43,'Payment Method'!$A$8:$B$12,2,0)</f>
        <v>3.5000000000000003E-2</v>
      </c>
      <c r="S43" s="9">
        <f t="shared" ca="1" si="0"/>
        <v>1.0150000000000006</v>
      </c>
      <c r="T43" s="8">
        <v>0.01</v>
      </c>
      <c r="U43" s="9">
        <f t="shared" ca="1" si="1"/>
        <v>0.27984999999999971</v>
      </c>
      <c r="V43" s="7">
        <f t="shared" ca="1" si="2"/>
        <v>0</v>
      </c>
      <c r="W43" s="7">
        <f t="shared" ca="1" si="3"/>
        <v>27.70515</v>
      </c>
      <c r="X43" s="5" t="str">
        <f t="shared" ca="1" si="11"/>
        <v>Facebook</v>
      </c>
      <c r="Y43" s="78" t="str">
        <f>IF(COUNTIF($C$1:C42,B42)=1,10,"")</f>
        <v/>
      </c>
    </row>
    <row r="44" spans="1:25" x14ac:dyDescent="0.3">
      <c r="A44" s="75">
        <v>43</v>
      </c>
      <c r="B44" s="6">
        <v>46087</v>
      </c>
      <c r="C44" s="6">
        <v>46090</v>
      </c>
      <c r="D44" s="17" t="str">
        <f t="shared" si="4"/>
        <v>March</v>
      </c>
      <c r="E44" s="5" t="str">
        <f t="shared" ca="1" si="5"/>
        <v>STU-361</v>
      </c>
      <c r="F44" s="5" t="str">
        <f ca="1">IF(COUNTIF($E$2:E44,E44)=1,"New Customer","Returning Customer")</f>
        <v>New Customer</v>
      </c>
      <c r="G44" s="5" t="str">
        <f t="shared" ca="1" si="6"/>
        <v>Not specified</v>
      </c>
      <c r="H44" s="5" t="s">
        <v>137</v>
      </c>
      <c r="I44" s="5" t="str" cm="1">
        <f t="array" aca="1" ref="I44" ca="1">INDEX(Courses!$B$9:$B$16,RANDBETWEEN(1,8))</f>
        <v>Tax Code</v>
      </c>
      <c r="J44" s="5" t="str">
        <f ca="1">VLOOKUP(I44,Courses!$B$9:$C$16,2,0)</f>
        <v>Finance &amp; Taxation</v>
      </c>
      <c r="K44" s="7">
        <f ca="1">VLOOKUP(I44,Courses!$B$9:$D$16,3,0)</f>
        <v>59</v>
      </c>
      <c r="L44" s="5" t="str">
        <f t="shared" ca="1" si="7"/>
        <v>Paid</v>
      </c>
      <c r="M44" s="8" t="str" cm="1">
        <f t="array" aca="1" ref="M44" ca="1">INDEX('Payment Method'!$A$8:$A$12,RANDBETWEEN(1,5))</f>
        <v>Visa Credit</v>
      </c>
      <c r="N44" s="7">
        <f>IFERROR(SUMIF(Holiday!$A$8:$A$11,B44,Holiday!$C$8:$C$11),0)</f>
        <v>0</v>
      </c>
      <c r="O44" s="7">
        <f t="shared" ca="1" si="8"/>
        <v>59</v>
      </c>
      <c r="P44" s="19">
        <f t="shared" ca="1" si="9"/>
        <v>56.935000000000002</v>
      </c>
      <c r="Q44" s="7">
        <f t="shared" ca="1" si="10"/>
        <v>0</v>
      </c>
      <c r="R44" s="8">
        <f ca="1">VLOOKUP(M44,'Payment Method'!$A$8:$B$12,2,0)</f>
        <v>3.5000000000000003E-2</v>
      </c>
      <c r="S44" s="9">
        <f t="shared" ca="1" si="0"/>
        <v>2.0649999999999977</v>
      </c>
      <c r="T44" s="8">
        <v>0.01</v>
      </c>
      <c r="U44" s="9">
        <f t="shared" ca="1" si="1"/>
        <v>0.56935000000000002</v>
      </c>
      <c r="V44" s="7">
        <f t="shared" ca="1" si="2"/>
        <v>0</v>
      </c>
      <c r="W44" s="7">
        <f t="shared" ca="1" si="3"/>
        <v>56.365650000000002</v>
      </c>
      <c r="X44" s="5" t="str">
        <f t="shared" ca="1" si="11"/>
        <v>Tiktok</v>
      </c>
      <c r="Y44" s="78">
        <f>IF(COUNTIF($C$1:C43,B43)=1,10,"")</f>
        <v>10</v>
      </c>
    </row>
    <row r="45" spans="1:25" x14ac:dyDescent="0.3">
      <c r="A45" s="76">
        <v>44</v>
      </c>
      <c r="B45" s="6">
        <v>46178</v>
      </c>
      <c r="C45" s="6">
        <v>46183</v>
      </c>
      <c r="D45" s="17" t="str">
        <f t="shared" si="4"/>
        <v>June</v>
      </c>
      <c r="E45" s="5" t="str">
        <f t="shared" ca="1" si="5"/>
        <v>STU-464</v>
      </c>
      <c r="F45" s="5" t="str">
        <f ca="1">IF(COUNTIF($E$2:E45,E45)=1,"New Customer","Returning Customer")</f>
        <v>New Customer</v>
      </c>
      <c r="G45" s="5" t="str">
        <f t="shared" ca="1" si="6"/>
        <v>Not specified</v>
      </c>
      <c r="H45" s="5" t="s">
        <v>138</v>
      </c>
      <c r="I45" s="5" t="str" cm="1">
        <f t="array" aca="1" ref="I45" ca="1">INDEX(Courses!$B$9:$B$16,RANDBETWEEN(1,8))</f>
        <v>SQL</v>
      </c>
      <c r="J45" s="5" t="str">
        <f ca="1">VLOOKUP(I45,Courses!$B$9:$C$16,2,0)</f>
        <v>Data Analytics</v>
      </c>
      <c r="K45" s="7">
        <f ca="1">VLOOKUP(I45,Courses!$B$9:$D$16,3,0)</f>
        <v>99</v>
      </c>
      <c r="L45" s="5" t="str">
        <f t="shared" ca="1" si="7"/>
        <v>Refunded</v>
      </c>
      <c r="M45" s="8" t="str" cm="1">
        <f t="array" aca="1" ref="M45" ca="1">INDEX('Payment Method'!$A$8:$A$12,RANDBETWEEN(1,5))</f>
        <v>Visa Debit</v>
      </c>
      <c r="N45" s="7">
        <f>IFERROR(SUMIF(Holiday!$A$8:$A$11,B45,Holiday!$C$8:$C$11),0)</f>
        <v>0</v>
      </c>
      <c r="O45" s="7">
        <f t="shared" ca="1" si="8"/>
        <v>99</v>
      </c>
      <c r="P45" s="19">
        <f t="shared" ca="1" si="9"/>
        <v>97.02</v>
      </c>
      <c r="Q45" s="7">
        <f t="shared" ca="1" si="10"/>
        <v>0</v>
      </c>
      <c r="R45" s="8">
        <f ca="1">VLOOKUP(M45,'Payment Method'!$A$8:$B$12,2,0)</f>
        <v>0.02</v>
      </c>
      <c r="S45" s="9">
        <f t="shared" ca="1" si="0"/>
        <v>1.980000000000004</v>
      </c>
      <c r="T45" s="8">
        <v>0.01</v>
      </c>
      <c r="U45" s="9">
        <f t="shared" ca="1" si="1"/>
        <v>0.9702000000000055</v>
      </c>
      <c r="V45" s="7">
        <f t="shared" ca="1" si="2"/>
        <v>96.049799999999991</v>
      </c>
      <c r="W45" s="7">
        <f t="shared" ca="1" si="3"/>
        <v>0</v>
      </c>
      <c r="X45" s="5" t="str">
        <f t="shared" ca="1" si="11"/>
        <v>Instagram</v>
      </c>
      <c r="Y45" s="78">
        <f>IF(COUNTIF($C$1:C44,B44)=1,10,"")</f>
        <v>10</v>
      </c>
    </row>
    <row r="46" spans="1:25" x14ac:dyDescent="0.3">
      <c r="A46" s="75">
        <v>45</v>
      </c>
      <c r="B46" s="6">
        <v>46190</v>
      </c>
      <c r="C46" s="6">
        <v>46190</v>
      </c>
      <c r="D46" s="17" t="str">
        <f t="shared" si="4"/>
        <v>June</v>
      </c>
      <c r="E46" s="5" t="str">
        <f t="shared" ca="1" si="5"/>
        <v>STU-660</v>
      </c>
      <c r="F46" s="5" t="str">
        <f ca="1">IF(COUNTIF($E$2:E46,E46)=1,"New Customer","Returning Customer")</f>
        <v>New Customer</v>
      </c>
      <c r="G46" s="5" t="str">
        <f t="shared" ca="1" si="6"/>
        <v>Not specified</v>
      </c>
      <c r="H46" s="5" t="s">
        <v>137</v>
      </c>
      <c r="I46" s="5" t="str" cm="1">
        <f t="array" aca="1" ref="I46" ca="1">INDEX(Courses!$B$9:$B$16,RANDBETWEEN(1,8))</f>
        <v>SQL</v>
      </c>
      <c r="J46" s="5" t="str">
        <f ca="1">VLOOKUP(I46,Courses!$B$9:$C$16,2,0)</f>
        <v>Data Analytics</v>
      </c>
      <c r="K46" s="7">
        <f ca="1">VLOOKUP(I46,Courses!$B$9:$D$16,3,0)</f>
        <v>99</v>
      </c>
      <c r="L46" s="5" t="str">
        <f t="shared" ca="1" si="7"/>
        <v>Paid</v>
      </c>
      <c r="M46" s="8" t="str" cm="1">
        <f t="array" aca="1" ref="M46" ca="1">INDEX('Payment Method'!$A$8:$A$12,RANDBETWEEN(1,5))</f>
        <v>Visa Debit</v>
      </c>
      <c r="N46" s="7">
        <f>IFERROR(SUMIF(Holiday!$A$8:$A$11,B46,Holiday!$C$8:$C$11),0)</f>
        <v>0</v>
      </c>
      <c r="O46" s="7">
        <f t="shared" ca="1" si="8"/>
        <v>99</v>
      </c>
      <c r="P46" s="19">
        <f t="shared" ca="1" si="9"/>
        <v>97.02</v>
      </c>
      <c r="Q46" s="7">
        <f t="shared" ca="1" si="10"/>
        <v>0</v>
      </c>
      <c r="R46" s="8">
        <f ca="1">VLOOKUP(M46,'Payment Method'!$A$8:$B$12,2,0)</f>
        <v>0.02</v>
      </c>
      <c r="S46" s="9">
        <f t="shared" ca="1" si="0"/>
        <v>1.980000000000004</v>
      </c>
      <c r="T46" s="8">
        <v>0.01</v>
      </c>
      <c r="U46" s="9">
        <f t="shared" ca="1" si="1"/>
        <v>0.9702000000000055</v>
      </c>
      <c r="V46" s="7">
        <f t="shared" ca="1" si="2"/>
        <v>0</v>
      </c>
      <c r="W46" s="7">
        <f t="shared" ca="1" si="3"/>
        <v>96.049799999999991</v>
      </c>
      <c r="X46" s="5" t="str">
        <f t="shared" ca="1" si="11"/>
        <v>Facebook</v>
      </c>
      <c r="Y46" s="78" t="str">
        <f>IF(COUNTIF($C$1:C45,B45)=1,10,"")</f>
        <v/>
      </c>
    </row>
    <row r="47" spans="1:25" x14ac:dyDescent="0.3">
      <c r="A47" s="76">
        <v>46</v>
      </c>
      <c r="B47" s="6">
        <v>46031</v>
      </c>
      <c r="C47" s="6">
        <v>46032</v>
      </c>
      <c r="D47" s="17" t="str">
        <f t="shared" si="4"/>
        <v>January</v>
      </c>
      <c r="E47" s="5" t="str">
        <f t="shared" ca="1" si="5"/>
        <v>STU-421</v>
      </c>
      <c r="F47" s="5" t="str">
        <f ca="1">IF(COUNTIF($E$2:E47,E47)=1,"New Customer","Returning Customer")</f>
        <v>New Customer</v>
      </c>
      <c r="G47" s="5" t="str">
        <f t="shared" ca="1" si="6"/>
        <v>Not specified</v>
      </c>
      <c r="H47" s="5" t="s">
        <v>142</v>
      </c>
      <c r="I47" s="5" t="str" cm="1">
        <f t="array" aca="1" ref="I47" ca="1">INDEX(Courses!$B$9:$B$16,RANDBETWEEN(1,8))</f>
        <v>Adolescent Psychology</v>
      </c>
      <c r="J47" s="5" t="str">
        <f ca="1">VLOOKUP(I47,Courses!$B$9:$C$16,2,0)</f>
        <v>Psychology</v>
      </c>
      <c r="K47" s="7">
        <f ca="1">VLOOKUP(I47,Courses!$B$9:$D$16,3,0)</f>
        <v>29</v>
      </c>
      <c r="L47" s="5" t="str">
        <f t="shared" ca="1" si="7"/>
        <v>Paid</v>
      </c>
      <c r="M47" s="8" t="str" cm="1">
        <f t="array" aca="1" ref="M47" ca="1">INDEX('Payment Method'!$A$8:$A$12,RANDBETWEEN(1,5))</f>
        <v>Bank Transfer</v>
      </c>
      <c r="N47" s="7">
        <f>IFERROR(SUMIF(Holiday!$A$8:$A$11,B47,Holiday!$C$8:$C$11),0)</f>
        <v>0</v>
      </c>
      <c r="O47" s="7">
        <f t="shared" ca="1" si="8"/>
        <v>29</v>
      </c>
      <c r="P47" s="19">
        <f t="shared" ca="1" si="9"/>
        <v>29</v>
      </c>
      <c r="Q47" s="7">
        <f t="shared" ca="1" si="10"/>
        <v>0</v>
      </c>
      <c r="R47" s="8">
        <f ca="1">VLOOKUP(M47,'Payment Method'!$A$8:$B$12,2,0)</f>
        <v>0</v>
      </c>
      <c r="S47" s="9">
        <f t="shared" ca="1" si="0"/>
        <v>0</v>
      </c>
      <c r="T47" s="8">
        <v>0.01</v>
      </c>
      <c r="U47" s="9">
        <f t="shared" ca="1" si="1"/>
        <v>0.28999999999999915</v>
      </c>
      <c r="V47" s="7">
        <f t="shared" ca="1" si="2"/>
        <v>0</v>
      </c>
      <c r="W47" s="7">
        <f t="shared" ca="1" si="3"/>
        <v>28.71</v>
      </c>
      <c r="X47" s="5" t="str">
        <f t="shared" ca="1" si="11"/>
        <v>Tiktok</v>
      </c>
      <c r="Y47" s="78">
        <f>IF(COUNTIF($C$1:C46,B46)=1,10,"")</f>
        <v>10</v>
      </c>
    </row>
    <row r="48" spans="1:25" x14ac:dyDescent="0.3">
      <c r="A48" s="75">
        <v>47</v>
      </c>
      <c r="B48" s="6">
        <v>46121</v>
      </c>
      <c r="C48" s="6">
        <v>46123</v>
      </c>
      <c r="D48" s="17" t="str">
        <f t="shared" si="4"/>
        <v>April</v>
      </c>
      <c r="E48" s="5" t="str">
        <f t="shared" ca="1" si="5"/>
        <v>STU-957</v>
      </c>
      <c r="F48" s="5" t="str">
        <f ca="1">IF(COUNTIF($E$2:E48,E48)=1,"New Customer","Returning Customer")</f>
        <v>New Customer</v>
      </c>
      <c r="G48" s="5" t="str">
        <f t="shared" ca="1" si="6"/>
        <v>Female</v>
      </c>
      <c r="H48" s="5" t="s">
        <v>140</v>
      </c>
      <c r="I48" s="5" t="str" cm="1">
        <f t="array" aca="1" ref="I48" ca="1">INDEX(Courses!$B$9:$B$16,RANDBETWEEN(1,8))</f>
        <v>SQL</v>
      </c>
      <c r="J48" s="5" t="str">
        <f ca="1">VLOOKUP(I48,Courses!$B$9:$C$16,2,0)</f>
        <v>Data Analytics</v>
      </c>
      <c r="K48" s="7">
        <f ca="1">VLOOKUP(I48,Courses!$B$9:$D$16,3,0)</f>
        <v>99</v>
      </c>
      <c r="L48" s="5" t="str">
        <f t="shared" ca="1" si="7"/>
        <v>Paid</v>
      </c>
      <c r="M48" s="8" t="str" cm="1">
        <f t="array" aca="1" ref="M48" ca="1">INDEX('Payment Method'!$A$8:$A$12,RANDBETWEEN(1,5))</f>
        <v>Mastercard Debit</v>
      </c>
      <c r="N48" s="7">
        <f>IFERROR(SUMIF(Holiday!$A$8:$A$11,B48,Holiday!$C$8:$C$11),0)</f>
        <v>0</v>
      </c>
      <c r="O48" s="7">
        <f t="shared" ca="1" si="8"/>
        <v>99</v>
      </c>
      <c r="P48" s="19">
        <f t="shared" ca="1" si="9"/>
        <v>97.02</v>
      </c>
      <c r="Q48" s="7">
        <f t="shared" ca="1" si="10"/>
        <v>0</v>
      </c>
      <c r="R48" s="8">
        <f ca="1">VLOOKUP(M48,'Payment Method'!$A$8:$B$12,2,0)</f>
        <v>0.02</v>
      </c>
      <c r="S48" s="9">
        <f t="shared" ca="1" si="0"/>
        <v>1.980000000000004</v>
      </c>
      <c r="T48" s="8">
        <v>0.01</v>
      </c>
      <c r="U48" s="9">
        <f t="shared" ca="1" si="1"/>
        <v>0.9702000000000055</v>
      </c>
      <c r="V48" s="7">
        <f t="shared" ca="1" si="2"/>
        <v>0</v>
      </c>
      <c r="W48" s="7">
        <f t="shared" ca="1" si="3"/>
        <v>96.049799999999991</v>
      </c>
      <c r="X48" s="5" t="str">
        <f t="shared" ca="1" si="11"/>
        <v>Instagram</v>
      </c>
      <c r="Y48" s="78" t="str">
        <f>IF(COUNTIF($C$1:C47,B47)=1,10,"")</f>
        <v/>
      </c>
    </row>
    <row r="49" spans="1:25" x14ac:dyDescent="0.3">
      <c r="A49" s="76">
        <v>48</v>
      </c>
      <c r="B49" s="6">
        <v>46103</v>
      </c>
      <c r="C49" s="6">
        <v>46103</v>
      </c>
      <c r="D49" s="17" t="str">
        <f t="shared" si="4"/>
        <v>March</v>
      </c>
      <c r="E49" s="5" t="str">
        <f t="shared" ca="1" si="5"/>
        <v>STU-862</v>
      </c>
      <c r="F49" s="5" t="str">
        <f ca="1">IF(COUNTIF($E$2:E49,E49)=1,"New Customer","Returning Customer")</f>
        <v>New Customer</v>
      </c>
      <c r="G49" s="5" t="str">
        <f t="shared" ca="1" si="6"/>
        <v>Not specified</v>
      </c>
      <c r="H49" s="5" t="s">
        <v>135</v>
      </c>
      <c r="I49" s="5" t="str" cm="1">
        <f t="array" aca="1" ref="I49" ca="1">INDEX(Courses!$B$9:$B$16,RANDBETWEEN(1,8))</f>
        <v>Microsoft Word</v>
      </c>
      <c r="J49" s="5" t="str">
        <f ca="1">VLOOKUP(I49,Courses!$B$9:$C$16,2,0)</f>
        <v>Microsoft Office</v>
      </c>
      <c r="K49" s="7">
        <f ca="1">VLOOKUP(I49,Courses!$B$9:$D$16,3,0)</f>
        <v>29</v>
      </c>
      <c r="L49" s="5" t="str">
        <f t="shared" ca="1" si="7"/>
        <v>Refunded</v>
      </c>
      <c r="M49" s="8" t="str" cm="1">
        <f t="array" aca="1" ref="M49" ca="1">INDEX('Payment Method'!$A$8:$A$12,RANDBETWEEN(1,5))</f>
        <v>Visa Debit</v>
      </c>
      <c r="N49" s="7">
        <f>IFERROR(SUMIF(Holiday!$A$8:$A$11,B49,Holiday!$C$8:$C$11),0)</f>
        <v>0</v>
      </c>
      <c r="O49" s="7">
        <f t="shared" ca="1" si="8"/>
        <v>29</v>
      </c>
      <c r="P49" s="19">
        <f t="shared" ca="1" si="9"/>
        <v>28.42</v>
      </c>
      <c r="Q49" s="7">
        <f t="shared" ca="1" si="10"/>
        <v>0</v>
      </c>
      <c r="R49" s="8">
        <f ca="1">VLOOKUP(M49,'Payment Method'!$A$8:$B$12,2,0)</f>
        <v>0.02</v>
      </c>
      <c r="S49" s="9">
        <f t="shared" ca="1" si="0"/>
        <v>0.57999999999999829</v>
      </c>
      <c r="T49" s="8">
        <v>0.01</v>
      </c>
      <c r="U49" s="9">
        <f t="shared" ca="1" si="1"/>
        <v>0.28419999999999845</v>
      </c>
      <c r="V49" s="7">
        <f t="shared" ca="1" si="2"/>
        <v>28.135800000000003</v>
      </c>
      <c r="W49" s="7">
        <f t="shared" ca="1" si="3"/>
        <v>0</v>
      </c>
      <c r="X49" s="5" t="str">
        <f t="shared" ca="1" si="11"/>
        <v>Tiktok</v>
      </c>
      <c r="Y49" s="78">
        <f>IF(COUNTIF($C$1:C48,B48)=1,10,"")</f>
        <v>10</v>
      </c>
    </row>
    <row r="50" spans="1:25" x14ac:dyDescent="0.3">
      <c r="A50" s="75">
        <v>49</v>
      </c>
      <c r="B50" s="6">
        <v>46161</v>
      </c>
      <c r="C50" s="6">
        <v>46164</v>
      </c>
      <c r="D50" s="17" t="str">
        <f t="shared" si="4"/>
        <v>May</v>
      </c>
      <c r="E50" s="5" t="str">
        <f t="shared" ca="1" si="5"/>
        <v>STU-953</v>
      </c>
      <c r="F50" s="5" t="str">
        <f ca="1">IF(COUNTIF($E$2:E50,E50)=1,"New Customer","Returning Customer")</f>
        <v>New Customer</v>
      </c>
      <c r="G50" s="5" t="str">
        <f t="shared" ca="1" si="6"/>
        <v>Not specified</v>
      </c>
      <c r="H50" s="5" t="s">
        <v>138</v>
      </c>
      <c r="I50" s="5" t="str" cm="1">
        <f t="array" aca="1" ref="I50" ca="1">INDEX(Courses!$B$9:$B$16,RANDBETWEEN(1,8))</f>
        <v>Tax Code</v>
      </c>
      <c r="J50" s="5" t="str">
        <f ca="1">VLOOKUP(I50,Courses!$B$9:$C$16,2,0)</f>
        <v>Finance &amp; Taxation</v>
      </c>
      <c r="K50" s="7">
        <f ca="1">VLOOKUP(I50,Courses!$B$9:$D$16,3,0)</f>
        <v>59</v>
      </c>
      <c r="L50" s="5" t="str">
        <f t="shared" ca="1" si="7"/>
        <v>Refunded</v>
      </c>
      <c r="M50" s="8" t="str" cm="1">
        <f t="array" aca="1" ref="M50" ca="1">INDEX('Payment Method'!$A$8:$A$12,RANDBETWEEN(1,5))</f>
        <v>Mastercard Debit</v>
      </c>
      <c r="N50" s="7">
        <f>IFERROR(SUMIF(Holiday!$A$8:$A$11,B50,Holiday!$C$8:$C$11),0)</f>
        <v>0</v>
      </c>
      <c r="O50" s="7">
        <f t="shared" ca="1" si="8"/>
        <v>59</v>
      </c>
      <c r="P50" s="19">
        <f t="shared" ca="1" si="9"/>
        <v>57.82</v>
      </c>
      <c r="Q50" s="7">
        <f t="shared" ca="1" si="10"/>
        <v>0</v>
      </c>
      <c r="R50" s="8">
        <f ca="1">VLOOKUP(M50,'Payment Method'!$A$8:$B$12,2,0)</f>
        <v>0.02</v>
      </c>
      <c r="S50" s="9">
        <f t="shared" ca="1" si="0"/>
        <v>1.1799999999999997</v>
      </c>
      <c r="T50" s="8">
        <v>0.01</v>
      </c>
      <c r="U50" s="9">
        <f t="shared" ca="1" si="1"/>
        <v>0.57820000000000249</v>
      </c>
      <c r="V50" s="7">
        <f t="shared" ca="1" si="2"/>
        <v>57.241799999999998</v>
      </c>
      <c r="W50" s="7">
        <f t="shared" ca="1" si="3"/>
        <v>0</v>
      </c>
      <c r="X50" s="5" t="str">
        <f t="shared" ca="1" si="11"/>
        <v>Facebook</v>
      </c>
      <c r="Y50" s="78">
        <f>IF(COUNTIF($C$1:C49,B49)=1,10,"")</f>
        <v>10</v>
      </c>
    </row>
    <row r="51" spans="1:25" x14ac:dyDescent="0.3">
      <c r="A51" s="76">
        <v>50</v>
      </c>
      <c r="B51" s="6">
        <v>46041</v>
      </c>
      <c r="C51" s="6">
        <v>46043</v>
      </c>
      <c r="D51" s="17" t="str">
        <f t="shared" si="4"/>
        <v>January</v>
      </c>
      <c r="E51" s="5" t="str">
        <f t="shared" ca="1" si="5"/>
        <v>STU-1000</v>
      </c>
      <c r="F51" s="5" t="str">
        <f ca="1">IF(COUNTIF($E$2:E51,E51)=1,"New Customer","Returning Customer")</f>
        <v>New Customer</v>
      </c>
      <c r="G51" s="5" t="str">
        <f t="shared" ca="1" si="6"/>
        <v>Male</v>
      </c>
      <c r="H51" s="5" t="s">
        <v>142</v>
      </c>
      <c r="I51" s="5" t="str" cm="1">
        <f t="array" aca="1" ref="I51" ca="1">INDEX(Courses!$B$9:$B$16,RANDBETWEEN(1,8))</f>
        <v>SQL</v>
      </c>
      <c r="J51" s="5" t="str">
        <f ca="1">VLOOKUP(I51,Courses!$B$9:$C$16,2,0)</f>
        <v>Data Analytics</v>
      </c>
      <c r="K51" s="7">
        <f ca="1">VLOOKUP(I51,Courses!$B$9:$D$16,3,0)</f>
        <v>99</v>
      </c>
      <c r="L51" s="5" t="str">
        <f t="shared" ca="1" si="7"/>
        <v>Refunded</v>
      </c>
      <c r="M51" s="8" t="str" cm="1">
        <f t="array" aca="1" ref="M51" ca="1">INDEX('Payment Method'!$A$8:$A$12,RANDBETWEEN(1,5))</f>
        <v>Mastercard Debit</v>
      </c>
      <c r="N51" s="7">
        <f>IFERROR(SUMIF(Holiday!$A$8:$A$11,B51,Holiday!$C$8:$C$11),0)</f>
        <v>0</v>
      </c>
      <c r="O51" s="7">
        <f t="shared" ca="1" si="8"/>
        <v>99</v>
      </c>
      <c r="P51" s="19">
        <f t="shared" ca="1" si="9"/>
        <v>97.02</v>
      </c>
      <c r="Q51" s="7">
        <f t="shared" ca="1" si="10"/>
        <v>0</v>
      </c>
      <c r="R51" s="8">
        <f ca="1">VLOOKUP(M51,'Payment Method'!$A$8:$B$12,2,0)</f>
        <v>0.02</v>
      </c>
      <c r="S51" s="9">
        <f t="shared" ca="1" si="0"/>
        <v>1.980000000000004</v>
      </c>
      <c r="T51" s="8">
        <v>0.01</v>
      </c>
      <c r="U51" s="9">
        <f t="shared" ca="1" si="1"/>
        <v>0.9702000000000055</v>
      </c>
      <c r="V51" s="7">
        <f t="shared" ca="1" si="2"/>
        <v>96.049799999999991</v>
      </c>
      <c r="W51" s="7">
        <f t="shared" ca="1" si="3"/>
        <v>0</v>
      </c>
      <c r="X51" s="5" t="str">
        <f t="shared" ca="1" si="11"/>
        <v>Facebook</v>
      </c>
      <c r="Y51" s="78" t="str">
        <f>IF(COUNTIF($C$1:C50,B50)=1,10,"")</f>
        <v/>
      </c>
    </row>
    <row r="52" spans="1:25" x14ac:dyDescent="0.3">
      <c r="A52" s="75">
        <v>51</v>
      </c>
      <c r="B52" s="6">
        <v>46156</v>
      </c>
      <c r="C52" s="6">
        <v>46161</v>
      </c>
      <c r="D52" s="17" t="str">
        <f t="shared" si="4"/>
        <v>May</v>
      </c>
      <c r="E52" s="5" t="str">
        <f t="shared" ca="1" si="5"/>
        <v>STU-473</v>
      </c>
      <c r="F52" s="5" t="str">
        <f ca="1">IF(COUNTIF($E$2:E52,E52)=1,"New Customer","Returning Customer")</f>
        <v>New Customer</v>
      </c>
      <c r="G52" s="5" t="str">
        <f t="shared" ca="1" si="6"/>
        <v>Male</v>
      </c>
      <c r="H52" s="5" t="s">
        <v>142</v>
      </c>
      <c r="I52" s="5" t="str" cm="1">
        <f t="array" aca="1" ref="I52" ca="1">INDEX(Courses!$B$9:$B$16,RANDBETWEEN(1,8))</f>
        <v>Adolescent Psychology</v>
      </c>
      <c r="J52" s="5" t="str">
        <f ca="1">VLOOKUP(I52,Courses!$B$9:$C$16,2,0)</f>
        <v>Psychology</v>
      </c>
      <c r="K52" s="7">
        <f ca="1">VLOOKUP(I52,Courses!$B$9:$D$16,3,0)</f>
        <v>29</v>
      </c>
      <c r="L52" s="5" t="str">
        <f t="shared" ca="1" si="7"/>
        <v>Pending</v>
      </c>
      <c r="M52" s="8" t="str" cm="1">
        <f t="array" aca="1" ref="M52" ca="1">INDEX('Payment Method'!$A$8:$A$12,RANDBETWEEN(1,5))</f>
        <v>Mastercard Credit</v>
      </c>
      <c r="N52" s="7">
        <f>IFERROR(SUMIF(Holiday!$A$8:$A$11,B52,Holiday!$C$8:$C$11),0)</f>
        <v>0</v>
      </c>
      <c r="O52" s="7">
        <f t="shared" ca="1" si="8"/>
        <v>29</v>
      </c>
      <c r="P52" s="19">
        <f t="shared" ca="1" si="9"/>
        <v>27.984999999999999</v>
      </c>
      <c r="Q52" s="7">
        <f t="shared" ca="1" si="10"/>
        <v>27.70515</v>
      </c>
      <c r="R52" s="8">
        <f ca="1">VLOOKUP(M52,'Payment Method'!$A$8:$B$12,2,0)</f>
        <v>3.5000000000000003E-2</v>
      </c>
      <c r="S52" s="9">
        <f t="shared" ca="1" si="0"/>
        <v>1.0150000000000006</v>
      </c>
      <c r="T52" s="8">
        <v>0.01</v>
      </c>
      <c r="U52" s="9">
        <f t="shared" ca="1" si="1"/>
        <v>0.27984999999999971</v>
      </c>
      <c r="V52" s="7">
        <f t="shared" ca="1" si="2"/>
        <v>0</v>
      </c>
      <c r="W52" s="7">
        <f t="shared" ca="1" si="3"/>
        <v>0</v>
      </c>
      <c r="X52" s="5" t="str">
        <f t="shared" ca="1" si="11"/>
        <v>Instagram</v>
      </c>
      <c r="Y52" s="78" t="str">
        <f>IF(COUNTIF($C$1:C51,B51)=1,10,"")</f>
        <v/>
      </c>
    </row>
    <row r="53" spans="1:25" x14ac:dyDescent="0.3">
      <c r="A53" s="76">
        <v>52</v>
      </c>
      <c r="B53" s="6">
        <v>46121</v>
      </c>
      <c r="C53" s="6">
        <v>46125</v>
      </c>
      <c r="D53" s="17" t="str">
        <f t="shared" si="4"/>
        <v>April</v>
      </c>
      <c r="E53" s="5" t="str">
        <f t="shared" ca="1" si="5"/>
        <v>STU-710</v>
      </c>
      <c r="F53" s="5" t="str">
        <f ca="1">IF(COUNTIF($E$2:E53,E53)=1,"New Customer","Returning Customer")</f>
        <v>New Customer</v>
      </c>
      <c r="G53" s="5" t="str">
        <f t="shared" ca="1" si="6"/>
        <v>Female</v>
      </c>
      <c r="H53" s="5" t="s">
        <v>139</v>
      </c>
      <c r="I53" s="5" t="str" cm="1">
        <f t="array" aca="1" ref="I53" ca="1">INDEX(Courses!$B$9:$B$16,RANDBETWEEN(1,8))</f>
        <v>Tax Code</v>
      </c>
      <c r="J53" s="5" t="str">
        <f ca="1">VLOOKUP(I53,Courses!$B$9:$C$16,2,0)</f>
        <v>Finance &amp; Taxation</v>
      </c>
      <c r="K53" s="7">
        <f ca="1">VLOOKUP(I53,Courses!$B$9:$D$16,3,0)</f>
        <v>59</v>
      </c>
      <c r="L53" s="5" t="str">
        <f t="shared" ca="1" si="7"/>
        <v>Pending</v>
      </c>
      <c r="M53" s="8" t="str" cm="1">
        <f t="array" aca="1" ref="M53" ca="1">INDEX('Payment Method'!$A$8:$A$12,RANDBETWEEN(1,5))</f>
        <v>Visa Debit</v>
      </c>
      <c r="N53" s="7">
        <f>IFERROR(SUMIF(Holiday!$A$8:$A$11,B53,Holiday!$C$8:$C$11),0)</f>
        <v>0</v>
      </c>
      <c r="O53" s="7">
        <f t="shared" ca="1" si="8"/>
        <v>59</v>
      </c>
      <c r="P53" s="19">
        <f t="shared" ca="1" si="9"/>
        <v>57.82</v>
      </c>
      <c r="Q53" s="7">
        <f t="shared" ca="1" si="10"/>
        <v>57.241799999999998</v>
      </c>
      <c r="R53" s="8">
        <f ca="1">VLOOKUP(M53,'Payment Method'!$A$8:$B$12,2,0)</f>
        <v>0.02</v>
      </c>
      <c r="S53" s="9">
        <f t="shared" ca="1" si="0"/>
        <v>1.1799999999999997</v>
      </c>
      <c r="T53" s="8">
        <v>0.01</v>
      </c>
      <c r="U53" s="9">
        <f t="shared" ca="1" si="1"/>
        <v>0.57820000000000249</v>
      </c>
      <c r="V53" s="7">
        <f t="shared" ca="1" si="2"/>
        <v>0</v>
      </c>
      <c r="W53" s="7">
        <f t="shared" ca="1" si="3"/>
        <v>0</v>
      </c>
      <c r="X53" s="5" t="str">
        <f t="shared" ca="1" si="11"/>
        <v>Tiktok</v>
      </c>
      <c r="Y53" s="78">
        <f>IF(COUNTIF($C$1:C52,B52)=1,10,"")</f>
        <v>10</v>
      </c>
    </row>
    <row r="54" spans="1:25" x14ac:dyDescent="0.3">
      <c r="A54" s="75">
        <v>53</v>
      </c>
      <c r="B54" s="6">
        <v>46043</v>
      </c>
      <c r="C54" s="6">
        <v>46045</v>
      </c>
      <c r="D54" s="17" t="str">
        <f t="shared" si="4"/>
        <v>January</v>
      </c>
      <c r="E54" s="5" t="str">
        <f t="shared" ca="1" si="5"/>
        <v>STU-925</v>
      </c>
      <c r="F54" s="5" t="str">
        <f ca="1">IF(COUNTIF($E$2:E54,E54)=1,"New Customer","Returning Customer")</f>
        <v>New Customer</v>
      </c>
      <c r="G54" s="5" t="str">
        <f t="shared" ca="1" si="6"/>
        <v>Male</v>
      </c>
      <c r="H54" s="5" t="s">
        <v>135</v>
      </c>
      <c r="I54" s="5" t="str" cm="1">
        <f t="array" aca="1" ref="I54" ca="1">INDEX(Courses!$B$9:$B$16,RANDBETWEEN(1,8))</f>
        <v>Excel Basics</v>
      </c>
      <c r="J54" s="5" t="str">
        <f ca="1">VLOOKUP(I54,Courses!$B$9:$C$16,2,0)</f>
        <v>Microsoft Office</v>
      </c>
      <c r="K54" s="7">
        <f ca="1">VLOOKUP(I54,Courses!$B$9:$D$16,3,0)</f>
        <v>29</v>
      </c>
      <c r="L54" s="5" t="str">
        <f t="shared" ca="1" si="7"/>
        <v>Paid</v>
      </c>
      <c r="M54" s="8" t="str" cm="1">
        <f t="array" aca="1" ref="M54" ca="1">INDEX('Payment Method'!$A$8:$A$12,RANDBETWEEN(1,5))</f>
        <v>Mastercard Debit</v>
      </c>
      <c r="N54" s="7">
        <f>IFERROR(SUMIF(Holiday!$A$8:$A$11,B54,Holiday!$C$8:$C$11),0)</f>
        <v>0</v>
      </c>
      <c r="O54" s="7">
        <f t="shared" ca="1" si="8"/>
        <v>29</v>
      </c>
      <c r="P54" s="19">
        <f t="shared" ca="1" si="9"/>
        <v>28.42</v>
      </c>
      <c r="Q54" s="7">
        <f t="shared" ca="1" si="10"/>
        <v>0</v>
      </c>
      <c r="R54" s="8">
        <f ca="1">VLOOKUP(M54,'Payment Method'!$A$8:$B$12,2,0)</f>
        <v>0.02</v>
      </c>
      <c r="S54" s="9">
        <f t="shared" ca="1" si="0"/>
        <v>0.57999999999999829</v>
      </c>
      <c r="T54" s="8">
        <v>0.01</v>
      </c>
      <c r="U54" s="9">
        <f t="shared" ca="1" si="1"/>
        <v>0.28419999999999845</v>
      </c>
      <c r="V54" s="7">
        <f t="shared" ca="1" si="2"/>
        <v>0</v>
      </c>
      <c r="W54" s="7">
        <f t="shared" ca="1" si="3"/>
        <v>28.135800000000003</v>
      </c>
      <c r="X54" s="5" t="str">
        <f t="shared" ca="1" si="11"/>
        <v>Facebook</v>
      </c>
      <c r="Y54" s="78">
        <f>IF(COUNTIF($C$1:C53,B53)=1,10,"")</f>
        <v>10</v>
      </c>
    </row>
    <row r="55" spans="1:25" x14ac:dyDescent="0.3">
      <c r="A55" s="76">
        <v>54</v>
      </c>
      <c r="B55" s="6">
        <v>46145</v>
      </c>
      <c r="C55" s="6">
        <v>46147</v>
      </c>
      <c r="D55" s="17" t="str">
        <f t="shared" si="4"/>
        <v>May</v>
      </c>
      <c r="E55" s="5" t="str">
        <f t="shared" ca="1" si="5"/>
        <v>STU-191</v>
      </c>
      <c r="F55" s="5" t="str">
        <f ca="1">IF(COUNTIF($E$2:E55,E55)=1,"New Customer","Returning Customer")</f>
        <v>New Customer</v>
      </c>
      <c r="G55" s="5" t="str">
        <f t="shared" ca="1" si="6"/>
        <v>Not specified</v>
      </c>
      <c r="H55" s="5" t="s">
        <v>139</v>
      </c>
      <c r="I55" s="5" t="str" cm="1">
        <f t="array" aca="1" ref="I55" ca="1">INDEX(Courses!$B$9:$B$16,RANDBETWEEN(1,8))</f>
        <v>Adolescent Psychology</v>
      </c>
      <c r="J55" s="5" t="str">
        <f ca="1">VLOOKUP(I55,Courses!$B$9:$C$16,2,0)</f>
        <v>Psychology</v>
      </c>
      <c r="K55" s="7">
        <f ca="1">VLOOKUP(I55,Courses!$B$9:$D$16,3,0)</f>
        <v>29</v>
      </c>
      <c r="L55" s="5" t="str">
        <f t="shared" ca="1" si="7"/>
        <v>Pending</v>
      </c>
      <c r="M55" s="8" t="str" cm="1">
        <f t="array" aca="1" ref="M55" ca="1">INDEX('Payment Method'!$A$8:$A$12,RANDBETWEEN(1,5))</f>
        <v>Visa Debit</v>
      </c>
      <c r="N55" s="7">
        <f>IFERROR(SUMIF(Holiday!$A$8:$A$11,B55,Holiday!$C$8:$C$11),0)</f>
        <v>0</v>
      </c>
      <c r="O55" s="7">
        <f t="shared" ca="1" si="8"/>
        <v>29</v>
      </c>
      <c r="P55" s="19">
        <f t="shared" ca="1" si="9"/>
        <v>28.42</v>
      </c>
      <c r="Q55" s="7">
        <f t="shared" ca="1" si="10"/>
        <v>28.135800000000003</v>
      </c>
      <c r="R55" s="8">
        <f ca="1">VLOOKUP(M55,'Payment Method'!$A$8:$B$12,2,0)</f>
        <v>0.02</v>
      </c>
      <c r="S55" s="9">
        <f t="shared" ca="1" si="0"/>
        <v>0.57999999999999829</v>
      </c>
      <c r="T55" s="8">
        <v>0.01</v>
      </c>
      <c r="U55" s="9">
        <f t="shared" ca="1" si="1"/>
        <v>0.28419999999999845</v>
      </c>
      <c r="V55" s="7">
        <f t="shared" ca="1" si="2"/>
        <v>0</v>
      </c>
      <c r="W55" s="7">
        <f t="shared" ca="1" si="3"/>
        <v>0</v>
      </c>
      <c r="X55" s="5" t="str">
        <f t="shared" ca="1" si="11"/>
        <v>Facebook</v>
      </c>
      <c r="Y55" s="78">
        <f>IF(COUNTIF($C$1:C54,B54)=1,10,"")</f>
        <v>10</v>
      </c>
    </row>
    <row r="56" spans="1:25" x14ac:dyDescent="0.3">
      <c r="A56" s="75">
        <v>55</v>
      </c>
      <c r="B56" s="6">
        <v>46194</v>
      </c>
      <c r="C56" s="6">
        <v>46194</v>
      </c>
      <c r="D56" s="17" t="str">
        <f t="shared" si="4"/>
        <v>June</v>
      </c>
      <c r="E56" s="5" t="str">
        <f t="shared" ca="1" si="5"/>
        <v>STU-28</v>
      </c>
      <c r="F56" s="5" t="str">
        <f ca="1">IF(COUNTIF($E$2:E56,E56)=1,"New Customer","Returning Customer")</f>
        <v>New Customer</v>
      </c>
      <c r="G56" s="5" t="str">
        <f t="shared" ca="1" si="6"/>
        <v>Male</v>
      </c>
      <c r="H56" s="5" t="s">
        <v>139</v>
      </c>
      <c r="I56" s="5" t="str" cm="1">
        <f t="array" aca="1" ref="I56" ca="1">INDEX(Courses!$B$9:$B$16,RANDBETWEEN(1,8))</f>
        <v>Power BI</v>
      </c>
      <c r="J56" s="5" t="str">
        <f ca="1">VLOOKUP(I56,Courses!$B$9:$C$16,2,0)</f>
        <v>Data Analytics</v>
      </c>
      <c r="K56" s="7">
        <f ca="1">VLOOKUP(I56,Courses!$B$9:$D$16,3,0)</f>
        <v>59</v>
      </c>
      <c r="L56" s="5" t="str">
        <f t="shared" ca="1" si="7"/>
        <v>Pending</v>
      </c>
      <c r="M56" s="8" t="str" cm="1">
        <f t="array" aca="1" ref="M56" ca="1">INDEX('Payment Method'!$A$8:$A$12,RANDBETWEEN(1,5))</f>
        <v>Visa Debit</v>
      </c>
      <c r="N56" s="7">
        <f>IFERROR(SUMIF(Holiday!$A$8:$A$11,B56,Holiday!$C$8:$C$11),0)</f>
        <v>0</v>
      </c>
      <c r="O56" s="7">
        <f t="shared" ca="1" si="8"/>
        <v>59</v>
      </c>
      <c r="P56" s="19">
        <f t="shared" ca="1" si="9"/>
        <v>57.82</v>
      </c>
      <c r="Q56" s="7">
        <f t="shared" ca="1" si="10"/>
        <v>57.241799999999998</v>
      </c>
      <c r="R56" s="8">
        <f ca="1">VLOOKUP(M56,'Payment Method'!$A$8:$B$12,2,0)</f>
        <v>0.02</v>
      </c>
      <c r="S56" s="9">
        <f t="shared" ca="1" si="0"/>
        <v>1.1799999999999997</v>
      </c>
      <c r="T56" s="8">
        <v>0.01</v>
      </c>
      <c r="U56" s="9">
        <f t="shared" ca="1" si="1"/>
        <v>0.57820000000000249</v>
      </c>
      <c r="V56" s="7">
        <f t="shared" ca="1" si="2"/>
        <v>0</v>
      </c>
      <c r="W56" s="7">
        <f t="shared" ca="1" si="3"/>
        <v>0</v>
      </c>
      <c r="X56" s="5" t="str">
        <f t="shared" ca="1" si="11"/>
        <v>Instagram</v>
      </c>
      <c r="Y56" s="78" t="str">
        <f>IF(COUNTIF($C$1:C55,B55)=1,10,"")</f>
        <v/>
      </c>
    </row>
    <row r="57" spans="1:25" x14ac:dyDescent="0.3">
      <c r="A57" s="76">
        <v>56</v>
      </c>
      <c r="B57" s="6">
        <v>46201</v>
      </c>
      <c r="C57" s="6">
        <v>46204</v>
      </c>
      <c r="D57" s="17" t="str">
        <f t="shared" si="4"/>
        <v>July</v>
      </c>
      <c r="E57" s="5" t="str">
        <f t="shared" ca="1" si="5"/>
        <v>STU-751</v>
      </c>
      <c r="F57" s="5" t="str">
        <f ca="1">IF(COUNTIF($E$2:E57,E57)=1,"New Customer","Returning Customer")</f>
        <v>New Customer</v>
      </c>
      <c r="G57" s="5" t="str">
        <f t="shared" ca="1" si="6"/>
        <v>Not specified</v>
      </c>
      <c r="H57" s="5" t="s">
        <v>138</v>
      </c>
      <c r="I57" s="5" t="str" cm="1">
        <f t="array" aca="1" ref="I57" ca="1">INDEX(Courses!$B$9:$B$16,RANDBETWEEN(1,8))</f>
        <v>Power BI</v>
      </c>
      <c r="J57" s="5" t="str">
        <f ca="1">VLOOKUP(I57,Courses!$B$9:$C$16,2,0)</f>
        <v>Data Analytics</v>
      </c>
      <c r="K57" s="7">
        <f ca="1">VLOOKUP(I57,Courses!$B$9:$D$16,3,0)</f>
        <v>59</v>
      </c>
      <c r="L57" s="5" t="str">
        <f t="shared" ca="1" si="7"/>
        <v>Pending</v>
      </c>
      <c r="M57" s="8" t="str" cm="1">
        <f t="array" aca="1" ref="M57" ca="1">INDEX('Payment Method'!$A$8:$A$12,RANDBETWEEN(1,5))</f>
        <v>Bank Transfer</v>
      </c>
      <c r="N57" s="7">
        <f>IFERROR(SUMIF(Holiday!$A$8:$A$11,B57,Holiday!$C$8:$C$11),0)</f>
        <v>0</v>
      </c>
      <c r="O57" s="7">
        <f t="shared" ca="1" si="8"/>
        <v>59</v>
      </c>
      <c r="P57" s="19">
        <f t="shared" ca="1" si="9"/>
        <v>59</v>
      </c>
      <c r="Q57" s="7">
        <f t="shared" ca="1" si="10"/>
        <v>58.41</v>
      </c>
      <c r="R57" s="8">
        <f ca="1">VLOOKUP(M57,'Payment Method'!$A$8:$B$12,2,0)</f>
        <v>0</v>
      </c>
      <c r="S57" s="9">
        <f t="shared" ca="1" si="0"/>
        <v>0</v>
      </c>
      <c r="T57" s="8">
        <v>0.01</v>
      </c>
      <c r="U57" s="9">
        <f t="shared" ca="1" si="1"/>
        <v>0.59000000000000341</v>
      </c>
      <c r="V57" s="7">
        <f t="shared" ca="1" si="2"/>
        <v>0</v>
      </c>
      <c r="W57" s="7">
        <f t="shared" ca="1" si="3"/>
        <v>0</v>
      </c>
      <c r="X57" s="5" t="str">
        <f t="shared" ca="1" si="11"/>
        <v>Facebook</v>
      </c>
      <c r="Y57" s="78">
        <f>IF(COUNTIF($C$1:C56,B56)=1,10,"")</f>
        <v>10</v>
      </c>
    </row>
    <row r="58" spans="1:25" x14ac:dyDescent="0.3">
      <c r="A58" s="75">
        <v>57</v>
      </c>
      <c r="B58" s="6">
        <v>46213</v>
      </c>
      <c r="C58" s="6">
        <v>46215</v>
      </c>
      <c r="D58" s="17" t="str">
        <f t="shared" si="4"/>
        <v>July</v>
      </c>
      <c r="E58" s="5" t="str">
        <f t="shared" ca="1" si="5"/>
        <v>STU-585</v>
      </c>
      <c r="F58" s="5" t="str">
        <f ca="1">IF(COUNTIF($E$2:E58,E58)=1,"New Customer","Returning Customer")</f>
        <v>New Customer</v>
      </c>
      <c r="G58" s="5" t="str">
        <f t="shared" ca="1" si="6"/>
        <v>Not specified</v>
      </c>
      <c r="H58" s="5" t="s">
        <v>142</v>
      </c>
      <c r="I58" s="5" t="str" cm="1">
        <f t="array" aca="1" ref="I58" ca="1">INDEX(Courses!$B$9:$B$16,RANDBETWEEN(1,8))</f>
        <v>Microsoft Word</v>
      </c>
      <c r="J58" s="5" t="str">
        <f ca="1">VLOOKUP(I58,Courses!$B$9:$C$16,2,0)</f>
        <v>Microsoft Office</v>
      </c>
      <c r="K58" s="7">
        <f ca="1">VLOOKUP(I58,Courses!$B$9:$D$16,3,0)</f>
        <v>29</v>
      </c>
      <c r="L58" s="5" t="str">
        <f t="shared" ca="1" si="7"/>
        <v>Pending</v>
      </c>
      <c r="M58" s="8" t="str" cm="1">
        <f t="array" aca="1" ref="M58" ca="1">INDEX('Payment Method'!$A$8:$A$12,RANDBETWEEN(1,5))</f>
        <v>Visa Credit</v>
      </c>
      <c r="N58" s="7">
        <f>IFERROR(SUMIF(Holiday!$A$8:$A$11,B58,Holiday!$C$8:$C$11),0)</f>
        <v>0</v>
      </c>
      <c r="O58" s="7">
        <f t="shared" ca="1" si="8"/>
        <v>29</v>
      </c>
      <c r="P58" s="19">
        <f t="shared" ca="1" si="9"/>
        <v>27.984999999999999</v>
      </c>
      <c r="Q58" s="7">
        <f t="shared" ca="1" si="10"/>
        <v>27.70515</v>
      </c>
      <c r="R58" s="8">
        <f ca="1">VLOOKUP(M58,'Payment Method'!$A$8:$B$12,2,0)</f>
        <v>3.5000000000000003E-2</v>
      </c>
      <c r="S58" s="9">
        <f t="shared" ca="1" si="0"/>
        <v>1.0150000000000006</v>
      </c>
      <c r="T58" s="8">
        <v>0.01</v>
      </c>
      <c r="U58" s="9">
        <f t="shared" ca="1" si="1"/>
        <v>0.27984999999999971</v>
      </c>
      <c r="V58" s="7">
        <f t="shared" ca="1" si="2"/>
        <v>0</v>
      </c>
      <c r="W58" s="7">
        <f t="shared" ca="1" si="3"/>
        <v>0</v>
      </c>
      <c r="X58" s="5" t="str">
        <f t="shared" ca="1" si="11"/>
        <v>Facebook</v>
      </c>
      <c r="Y58" s="78" t="str">
        <f>IF(COUNTIF($C$1:C57,B57)=1,10,"")</f>
        <v/>
      </c>
    </row>
    <row r="59" spans="1:25" x14ac:dyDescent="0.3">
      <c r="A59" s="76">
        <v>58</v>
      </c>
      <c r="B59" s="6">
        <v>46130</v>
      </c>
      <c r="C59" s="6">
        <v>46130</v>
      </c>
      <c r="D59" s="17" t="str">
        <f t="shared" si="4"/>
        <v>April</v>
      </c>
      <c r="E59" s="5" t="str">
        <f t="shared" ca="1" si="5"/>
        <v>STU-509</v>
      </c>
      <c r="F59" s="5" t="str">
        <f ca="1">IF(COUNTIF($E$2:E59,E59)=1,"New Customer","Returning Customer")</f>
        <v>New Customer</v>
      </c>
      <c r="G59" s="5" t="str">
        <f t="shared" ca="1" si="6"/>
        <v>Female</v>
      </c>
      <c r="H59" s="5" t="s">
        <v>137</v>
      </c>
      <c r="I59" s="5" t="str" cm="1">
        <f t="array" aca="1" ref="I59" ca="1">INDEX(Courses!$B$9:$B$16,RANDBETWEEN(1,8))</f>
        <v>Tax Code</v>
      </c>
      <c r="J59" s="5" t="str">
        <f ca="1">VLOOKUP(I59,Courses!$B$9:$C$16,2,0)</f>
        <v>Finance &amp; Taxation</v>
      </c>
      <c r="K59" s="7">
        <f ca="1">VLOOKUP(I59,Courses!$B$9:$D$16,3,0)</f>
        <v>59</v>
      </c>
      <c r="L59" s="5" t="str">
        <f t="shared" ca="1" si="7"/>
        <v>Paid</v>
      </c>
      <c r="M59" s="8" t="str" cm="1">
        <f t="array" aca="1" ref="M59" ca="1">INDEX('Payment Method'!$A$8:$A$12,RANDBETWEEN(1,5))</f>
        <v>Bank Transfer</v>
      </c>
      <c r="N59" s="7">
        <f>IFERROR(SUMIF(Holiday!$A$8:$A$11,B59,Holiday!$C$8:$C$11),0)</f>
        <v>0</v>
      </c>
      <c r="O59" s="7">
        <f t="shared" ca="1" si="8"/>
        <v>59</v>
      </c>
      <c r="P59" s="19">
        <f t="shared" ca="1" si="9"/>
        <v>59</v>
      </c>
      <c r="Q59" s="7">
        <f t="shared" ca="1" si="10"/>
        <v>0</v>
      </c>
      <c r="R59" s="8">
        <f ca="1">VLOOKUP(M59,'Payment Method'!$A$8:$B$12,2,0)</f>
        <v>0</v>
      </c>
      <c r="S59" s="9">
        <f t="shared" ca="1" si="0"/>
        <v>0</v>
      </c>
      <c r="T59" s="8">
        <v>0.01</v>
      </c>
      <c r="U59" s="9">
        <f t="shared" ca="1" si="1"/>
        <v>0.59000000000000341</v>
      </c>
      <c r="V59" s="7">
        <f t="shared" ca="1" si="2"/>
        <v>0</v>
      </c>
      <c r="W59" s="7">
        <f t="shared" ca="1" si="3"/>
        <v>58.41</v>
      </c>
      <c r="X59" s="5" t="str">
        <f t="shared" ca="1" si="11"/>
        <v>Facebook</v>
      </c>
      <c r="Y59" s="78">
        <f>IF(COUNTIF($C$1:C58,B58)=1,10,"")</f>
        <v>10</v>
      </c>
    </row>
    <row r="60" spans="1:25" x14ac:dyDescent="0.3">
      <c r="A60" s="75">
        <v>59</v>
      </c>
      <c r="B60" s="6">
        <v>46115</v>
      </c>
      <c r="C60" s="6">
        <v>46115</v>
      </c>
      <c r="D60" s="17" t="str">
        <f t="shared" si="4"/>
        <v>April</v>
      </c>
      <c r="E60" s="5" t="str">
        <f t="shared" ca="1" si="5"/>
        <v>STU-795</v>
      </c>
      <c r="F60" s="5" t="str">
        <f ca="1">IF(COUNTIF($E$2:E60,E60)=1,"New Customer","Returning Customer")</f>
        <v>New Customer</v>
      </c>
      <c r="G60" s="5" t="str">
        <f t="shared" ca="1" si="6"/>
        <v>Female</v>
      </c>
      <c r="H60" s="5" t="s">
        <v>140</v>
      </c>
      <c r="I60" s="5" t="str" cm="1">
        <f t="array" aca="1" ref="I60" ca="1">INDEX(Courses!$B$9:$B$16,RANDBETWEEN(1,8))</f>
        <v>Microsoft Word</v>
      </c>
      <c r="J60" s="5" t="str">
        <f ca="1">VLOOKUP(I60,Courses!$B$9:$C$16,2,0)</f>
        <v>Microsoft Office</v>
      </c>
      <c r="K60" s="7">
        <f ca="1">VLOOKUP(I60,Courses!$B$9:$D$16,3,0)</f>
        <v>29</v>
      </c>
      <c r="L60" s="5" t="str">
        <f t="shared" ca="1" si="7"/>
        <v>Paid</v>
      </c>
      <c r="M60" s="8" t="str" cm="1">
        <f t="array" aca="1" ref="M60" ca="1">INDEX('Payment Method'!$A$8:$A$12,RANDBETWEEN(1,5))</f>
        <v>Mastercard Debit</v>
      </c>
      <c r="N60" s="7">
        <f>IFERROR(SUMIF(Holiday!$A$8:$A$11,B60,Holiday!$C$8:$C$11),0)</f>
        <v>0</v>
      </c>
      <c r="O60" s="7">
        <f t="shared" ca="1" si="8"/>
        <v>29</v>
      </c>
      <c r="P60" s="19">
        <f t="shared" ca="1" si="9"/>
        <v>28.42</v>
      </c>
      <c r="Q60" s="7">
        <f t="shared" ca="1" si="10"/>
        <v>0</v>
      </c>
      <c r="R60" s="8">
        <f ca="1">VLOOKUP(M60,'Payment Method'!$A$8:$B$12,2,0)</f>
        <v>0.02</v>
      </c>
      <c r="S60" s="9">
        <f t="shared" ca="1" si="0"/>
        <v>0.57999999999999829</v>
      </c>
      <c r="T60" s="8">
        <v>0.01</v>
      </c>
      <c r="U60" s="9">
        <f t="shared" ca="1" si="1"/>
        <v>0.28419999999999845</v>
      </c>
      <c r="V60" s="7">
        <f t="shared" ca="1" si="2"/>
        <v>0</v>
      </c>
      <c r="W60" s="7">
        <f t="shared" ca="1" si="3"/>
        <v>28.135800000000003</v>
      </c>
      <c r="X60" s="5" t="str">
        <f t="shared" ca="1" si="11"/>
        <v>Tiktok</v>
      </c>
      <c r="Y60" s="78">
        <f>IF(COUNTIF($C$1:C59,B59)=1,10,"")</f>
        <v>10</v>
      </c>
    </row>
    <row r="61" spans="1:25" x14ac:dyDescent="0.3">
      <c r="A61" s="76">
        <v>60</v>
      </c>
      <c r="B61" s="6">
        <v>46197</v>
      </c>
      <c r="C61" s="6">
        <v>46202</v>
      </c>
      <c r="D61" s="17" t="str">
        <f t="shared" si="4"/>
        <v>June</v>
      </c>
      <c r="E61" s="5" t="str">
        <f t="shared" ca="1" si="5"/>
        <v>STU-534</v>
      </c>
      <c r="F61" s="5" t="str">
        <f ca="1">IF(COUNTIF($E$2:E61,E61)=1,"New Customer","Returning Customer")</f>
        <v>New Customer</v>
      </c>
      <c r="G61" s="5" t="str">
        <f t="shared" ca="1" si="6"/>
        <v>Male</v>
      </c>
      <c r="H61" s="5" t="s">
        <v>140</v>
      </c>
      <c r="I61" s="5" t="str" cm="1">
        <f t="array" aca="1" ref="I61" ca="1">INDEX(Courses!$B$9:$B$16,RANDBETWEEN(1,8))</f>
        <v>Complete Excel Course</v>
      </c>
      <c r="J61" s="5" t="str">
        <f ca="1">VLOOKUP(I61,Courses!$B$9:$C$16,2,0)</f>
        <v>Microsoft Office</v>
      </c>
      <c r="K61" s="7">
        <f ca="1">VLOOKUP(I61,Courses!$B$9:$D$16,3,0)</f>
        <v>59</v>
      </c>
      <c r="L61" s="5" t="str">
        <f t="shared" ca="1" si="7"/>
        <v>Pending</v>
      </c>
      <c r="M61" s="8" t="str" cm="1">
        <f t="array" aca="1" ref="M61" ca="1">INDEX('Payment Method'!$A$8:$A$12,RANDBETWEEN(1,5))</f>
        <v>Bank Transfer</v>
      </c>
      <c r="N61" s="7">
        <f>IFERROR(SUMIF(Holiday!$A$8:$A$11,B61,Holiday!$C$8:$C$11),0)</f>
        <v>0</v>
      </c>
      <c r="O61" s="7">
        <f t="shared" ca="1" si="8"/>
        <v>59</v>
      </c>
      <c r="P61" s="19">
        <f t="shared" ca="1" si="9"/>
        <v>59</v>
      </c>
      <c r="Q61" s="7">
        <f t="shared" ca="1" si="10"/>
        <v>58.41</v>
      </c>
      <c r="R61" s="8">
        <f ca="1">VLOOKUP(M61,'Payment Method'!$A$8:$B$12,2,0)</f>
        <v>0</v>
      </c>
      <c r="S61" s="9">
        <f t="shared" ca="1" si="0"/>
        <v>0</v>
      </c>
      <c r="T61" s="8">
        <v>0.01</v>
      </c>
      <c r="U61" s="9">
        <f t="shared" ca="1" si="1"/>
        <v>0.59000000000000341</v>
      </c>
      <c r="V61" s="7">
        <f t="shared" ca="1" si="2"/>
        <v>0</v>
      </c>
      <c r="W61" s="7">
        <f t="shared" ca="1" si="3"/>
        <v>0</v>
      </c>
      <c r="X61" s="5" t="str">
        <f t="shared" ca="1" si="11"/>
        <v>Tiktok</v>
      </c>
      <c r="Y61" s="78">
        <f>IF(COUNTIF($C$1:C60,B60)=1,10,"")</f>
        <v>10</v>
      </c>
    </row>
    <row r="62" spans="1:25" x14ac:dyDescent="0.3">
      <c r="A62" s="75">
        <v>61</v>
      </c>
      <c r="B62" s="6">
        <v>46067</v>
      </c>
      <c r="C62" s="6">
        <v>46070</v>
      </c>
      <c r="D62" s="17" t="str">
        <f t="shared" si="4"/>
        <v>February</v>
      </c>
      <c r="E62" s="5" t="str">
        <f t="shared" ca="1" si="5"/>
        <v>STU-289</v>
      </c>
      <c r="F62" s="5" t="str">
        <f ca="1">IF(COUNTIF($E$2:E62,E62)=1,"New Customer","Returning Customer")</f>
        <v>New Customer</v>
      </c>
      <c r="G62" s="5" t="str">
        <f t="shared" ca="1" si="6"/>
        <v>Not specified</v>
      </c>
      <c r="H62" s="5" t="s">
        <v>138</v>
      </c>
      <c r="I62" s="5" t="str" cm="1">
        <f t="array" aca="1" ref="I62" ca="1">INDEX(Courses!$B$9:$B$16,RANDBETWEEN(1,8))</f>
        <v>SQL</v>
      </c>
      <c r="J62" s="5" t="str">
        <f ca="1">VLOOKUP(I62,Courses!$B$9:$C$16,2,0)</f>
        <v>Data Analytics</v>
      </c>
      <c r="K62" s="7">
        <f ca="1">VLOOKUP(I62,Courses!$B$9:$D$16,3,0)</f>
        <v>99</v>
      </c>
      <c r="L62" s="5" t="str">
        <f t="shared" ca="1" si="7"/>
        <v>Paid</v>
      </c>
      <c r="M62" s="8" t="str" cm="1">
        <f t="array" aca="1" ref="M62" ca="1">INDEX('Payment Method'!$A$8:$A$12,RANDBETWEEN(1,5))</f>
        <v>Visa Debit</v>
      </c>
      <c r="N62" s="7">
        <f>IFERROR(SUMIF(Holiday!$A$8:$A$11,B62,Holiday!$C$8:$C$11),0)</f>
        <v>0</v>
      </c>
      <c r="O62" s="7">
        <f t="shared" ca="1" si="8"/>
        <v>99</v>
      </c>
      <c r="P62" s="19">
        <f t="shared" ca="1" si="9"/>
        <v>97.02</v>
      </c>
      <c r="Q62" s="7">
        <f t="shared" ca="1" si="10"/>
        <v>0</v>
      </c>
      <c r="R62" s="8">
        <f ca="1">VLOOKUP(M62,'Payment Method'!$A$8:$B$12,2,0)</f>
        <v>0.02</v>
      </c>
      <c r="S62" s="9">
        <f t="shared" ca="1" si="0"/>
        <v>1.980000000000004</v>
      </c>
      <c r="T62" s="8">
        <v>0.01</v>
      </c>
      <c r="U62" s="9">
        <f t="shared" ca="1" si="1"/>
        <v>0.9702000000000055</v>
      </c>
      <c r="V62" s="7">
        <f t="shared" ca="1" si="2"/>
        <v>0</v>
      </c>
      <c r="W62" s="7">
        <f t="shared" ca="1" si="3"/>
        <v>96.049799999999991</v>
      </c>
      <c r="X62" s="5" t="str">
        <f t="shared" ca="1" si="11"/>
        <v>Facebook</v>
      </c>
      <c r="Y62" s="78" t="str">
        <f>IF(COUNTIF($C$1:C61,B61)=1,10,"")</f>
        <v/>
      </c>
    </row>
    <row r="63" spans="1:25" x14ac:dyDescent="0.3">
      <c r="A63" s="76">
        <v>62</v>
      </c>
      <c r="B63" s="6">
        <v>46084</v>
      </c>
      <c r="C63" s="6">
        <v>46084</v>
      </c>
      <c r="D63" s="17" t="str">
        <f t="shared" si="4"/>
        <v>March</v>
      </c>
      <c r="E63" s="5" t="str">
        <f t="shared" ca="1" si="5"/>
        <v>STU-609</v>
      </c>
      <c r="F63" s="5" t="str">
        <f ca="1">IF(COUNTIF($E$2:E63,E63)=1,"New Customer","Returning Customer")</f>
        <v>New Customer</v>
      </c>
      <c r="G63" s="5" t="str">
        <f t="shared" ca="1" si="6"/>
        <v>Not specified</v>
      </c>
      <c r="H63" s="5" t="s">
        <v>141</v>
      </c>
      <c r="I63" s="5" t="str" cm="1">
        <f t="array" aca="1" ref="I63" ca="1">INDEX(Courses!$B$9:$B$16,RANDBETWEEN(1,8))</f>
        <v>PowerPoint</v>
      </c>
      <c r="J63" s="5" t="str">
        <f ca="1">VLOOKUP(I63,Courses!$B$9:$C$16,2,0)</f>
        <v>Microsoft Office</v>
      </c>
      <c r="K63" s="7">
        <f ca="1">VLOOKUP(I63,Courses!$B$9:$D$16,3,0)</f>
        <v>29</v>
      </c>
      <c r="L63" s="5" t="str">
        <f t="shared" ca="1" si="7"/>
        <v>Paid</v>
      </c>
      <c r="M63" s="8" t="str" cm="1">
        <f t="array" aca="1" ref="M63" ca="1">INDEX('Payment Method'!$A$8:$A$12,RANDBETWEEN(1,5))</f>
        <v>Bank Transfer</v>
      </c>
      <c r="N63" s="7">
        <f>IFERROR(SUMIF(Holiday!$A$8:$A$11,B63,Holiday!$C$8:$C$11),0)</f>
        <v>20</v>
      </c>
      <c r="O63" s="7">
        <f t="shared" ca="1" si="8"/>
        <v>-551</v>
      </c>
      <c r="P63" s="19">
        <f t="shared" ca="1" si="9"/>
        <v>-551</v>
      </c>
      <c r="Q63" s="7">
        <f t="shared" ca="1" si="10"/>
        <v>0</v>
      </c>
      <c r="R63" s="8">
        <f ca="1">VLOOKUP(M63,'Payment Method'!$A$8:$B$12,2,0)</f>
        <v>0</v>
      </c>
      <c r="S63" s="9">
        <f t="shared" ca="1" si="0"/>
        <v>0</v>
      </c>
      <c r="T63" s="8">
        <v>0.01</v>
      </c>
      <c r="U63" s="9">
        <f t="shared" ca="1" si="1"/>
        <v>-5.5099999999999909</v>
      </c>
      <c r="V63" s="7">
        <f t="shared" ca="1" si="2"/>
        <v>0</v>
      </c>
      <c r="W63" s="7">
        <f t="shared" ca="1" si="3"/>
        <v>-545.49</v>
      </c>
      <c r="X63" s="5" t="str">
        <f t="shared" ca="1" si="11"/>
        <v>Tiktok</v>
      </c>
      <c r="Y63" s="78" t="str">
        <f>IF(COUNTIF($C$1:C62,B62)=1,10,"")</f>
        <v/>
      </c>
    </row>
    <row r="64" spans="1:25" x14ac:dyDescent="0.3">
      <c r="A64" s="75">
        <v>63</v>
      </c>
      <c r="B64" s="6">
        <v>46071</v>
      </c>
      <c r="C64" s="6">
        <v>46073</v>
      </c>
      <c r="D64" s="17" t="str">
        <f t="shared" si="4"/>
        <v>February</v>
      </c>
      <c r="E64" s="5" t="str">
        <f t="shared" ca="1" si="5"/>
        <v>STU-695</v>
      </c>
      <c r="F64" s="5" t="str">
        <f ca="1">IF(COUNTIF($E$2:E64,E64)=1,"New Customer","Returning Customer")</f>
        <v>New Customer</v>
      </c>
      <c r="G64" s="5" t="str">
        <f t="shared" ca="1" si="6"/>
        <v>Female</v>
      </c>
      <c r="H64" s="5" t="s">
        <v>137</v>
      </c>
      <c r="I64" s="5" t="str" cm="1">
        <f t="array" aca="1" ref="I64" ca="1">INDEX(Courses!$B$9:$B$16,RANDBETWEEN(1,8))</f>
        <v>Power BI</v>
      </c>
      <c r="J64" s="5" t="str">
        <f ca="1">VLOOKUP(I64,Courses!$B$9:$C$16,2,0)</f>
        <v>Data Analytics</v>
      </c>
      <c r="K64" s="7">
        <f ca="1">VLOOKUP(I64,Courses!$B$9:$D$16,3,0)</f>
        <v>59</v>
      </c>
      <c r="L64" s="5" t="str">
        <f t="shared" ca="1" si="7"/>
        <v>Paid</v>
      </c>
      <c r="M64" s="8" t="str" cm="1">
        <f t="array" aca="1" ref="M64" ca="1">INDEX('Payment Method'!$A$8:$A$12,RANDBETWEEN(1,5))</f>
        <v>Visa Debit</v>
      </c>
      <c r="N64" s="7">
        <f>IFERROR(SUMIF(Holiday!$A$8:$A$11,B64,Holiday!$C$8:$C$11),0)</f>
        <v>0</v>
      </c>
      <c r="O64" s="7">
        <f t="shared" ca="1" si="8"/>
        <v>59</v>
      </c>
      <c r="P64" s="19">
        <f t="shared" ca="1" si="9"/>
        <v>57.82</v>
      </c>
      <c r="Q64" s="7">
        <f t="shared" ca="1" si="10"/>
        <v>0</v>
      </c>
      <c r="R64" s="8">
        <f ca="1">VLOOKUP(M64,'Payment Method'!$A$8:$B$12,2,0)</f>
        <v>0.02</v>
      </c>
      <c r="S64" s="9">
        <f t="shared" ca="1" si="0"/>
        <v>1.1799999999999997</v>
      </c>
      <c r="T64" s="8">
        <v>0.01</v>
      </c>
      <c r="U64" s="9">
        <f t="shared" ca="1" si="1"/>
        <v>0.57820000000000249</v>
      </c>
      <c r="V64" s="7">
        <f t="shared" ca="1" si="2"/>
        <v>0</v>
      </c>
      <c r="W64" s="7">
        <f t="shared" ca="1" si="3"/>
        <v>57.241799999999998</v>
      </c>
      <c r="X64" s="5" t="str">
        <f t="shared" ca="1" si="11"/>
        <v>Facebook</v>
      </c>
      <c r="Y64" s="78">
        <f>IF(COUNTIF($C$1:C63,B63)=1,10,"")</f>
        <v>10</v>
      </c>
    </row>
    <row r="65" spans="1:25" x14ac:dyDescent="0.3">
      <c r="A65" s="76">
        <v>64</v>
      </c>
      <c r="B65" s="6">
        <v>46217</v>
      </c>
      <c r="C65" s="6">
        <v>46217</v>
      </c>
      <c r="D65" s="17" t="str">
        <f t="shared" si="4"/>
        <v>July</v>
      </c>
      <c r="E65" s="5" t="str">
        <f t="shared" ca="1" si="5"/>
        <v>STU-357</v>
      </c>
      <c r="F65" s="5" t="str">
        <f ca="1">IF(COUNTIF($E$2:E65,E65)=1,"New Customer","Returning Customer")</f>
        <v>New Customer</v>
      </c>
      <c r="G65" s="5" t="str">
        <f t="shared" ca="1" si="6"/>
        <v>Female</v>
      </c>
      <c r="H65" s="5" t="s">
        <v>139</v>
      </c>
      <c r="I65" s="5" t="str" cm="1">
        <f t="array" aca="1" ref="I65" ca="1">INDEX(Courses!$B$9:$B$16,RANDBETWEEN(1,8))</f>
        <v>Excel Basics</v>
      </c>
      <c r="J65" s="5" t="str">
        <f ca="1">VLOOKUP(I65,Courses!$B$9:$C$16,2,0)</f>
        <v>Microsoft Office</v>
      </c>
      <c r="K65" s="7">
        <f ca="1">VLOOKUP(I65,Courses!$B$9:$D$16,3,0)</f>
        <v>29</v>
      </c>
      <c r="L65" s="5" t="str">
        <f t="shared" ca="1" si="7"/>
        <v>Paid</v>
      </c>
      <c r="M65" s="8" t="str" cm="1">
        <f t="array" aca="1" ref="M65" ca="1">INDEX('Payment Method'!$A$8:$A$12,RANDBETWEEN(1,5))</f>
        <v>Bank Transfer</v>
      </c>
      <c r="N65" s="7">
        <f>IFERROR(SUMIF(Holiday!$A$8:$A$11,B65,Holiday!$C$8:$C$11),0)</f>
        <v>0</v>
      </c>
      <c r="O65" s="7">
        <f t="shared" ca="1" si="8"/>
        <v>29</v>
      </c>
      <c r="P65" s="19">
        <f t="shared" ca="1" si="9"/>
        <v>29</v>
      </c>
      <c r="Q65" s="7">
        <f t="shared" ca="1" si="10"/>
        <v>0</v>
      </c>
      <c r="R65" s="8">
        <f ca="1">VLOOKUP(M65,'Payment Method'!$A$8:$B$12,2,0)</f>
        <v>0</v>
      </c>
      <c r="S65" s="9">
        <f t="shared" ca="1" si="0"/>
        <v>0</v>
      </c>
      <c r="T65" s="8">
        <v>0.01</v>
      </c>
      <c r="U65" s="9">
        <f t="shared" ca="1" si="1"/>
        <v>0.28999999999999915</v>
      </c>
      <c r="V65" s="7">
        <f t="shared" ca="1" si="2"/>
        <v>0</v>
      </c>
      <c r="W65" s="7">
        <f t="shared" ca="1" si="3"/>
        <v>28.71</v>
      </c>
      <c r="X65" s="5" t="str">
        <f t="shared" ca="1" si="11"/>
        <v>Tiktok</v>
      </c>
      <c r="Y65" s="78" t="str">
        <f>IF(COUNTIF($C$1:C64,B64)=1,10,"")</f>
        <v/>
      </c>
    </row>
    <row r="66" spans="1:25" x14ac:dyDescent="0.3">
      <c r="A66" s="75">
        <v>65</v>
      </c>
      <c r="B66" s="6">
        <v>46141</v>
      </c>
      <c r="C66" s="6">
        <v>46145</v>
      </c>
      <c r="D66" s="17" t="str">
        <f t="shared" si="4"/>
        <v>May</v>
      </c>
      <c r="E66" s="5" t="str">
        <f t="shared" ca="1" si="5"/>
        <v>STU-858</v>
      </c>
      <c r="F66" s="5" t="str">
        <f ca="1">IF(COUNTIF($E$2:E66,E66)=1,"New Customer","Returning Customer")</f>
        <v>New Customer</v>
      </c>
      <c r="G66" s="5" t="str">
        <f t="shared" ca="1" si="6"/>
        <v>Female</v>
      </c>
      <c r="H66" s="5" t="s">
        <v>139</v>
      </c>
      <c r="I66" s="5" t="str" cm="1">
        <f t="array" aca="1" ref="I66" ca="1">INDEX(Courses!$B$9:$B$16,RANDBETWEEN(1,8))</f>
        <v>Tax Code</v>
      </c>
      <c r="J66" s="5" t="str">
        <f ca="1">VLOOKUP(I66,Courses!$B$9:$C$16,2,0)</f>
        <v>Finance &amp; Taxation</v>
      </c>
      <c r="K66" s="7">
        <f ca="1">VLOOKUP(I66,Courses!$B$9:$D$16,3,0)</f>
        <v>59</v>
      </c>
      <c r="L66" s="5" t="str">
        <f t="shared" ca="1" si="7"/>
        <v>Paid</v>
      </c>
      <c r="M66" s="8" t="str" cm="1">
        <f t="array" aca="1" ref="M66" ca="1">INDEX('Payment Method'!$A$8:$A$12,RANDBETWEEN(1,5))</f>
        <v>Visa Credit</v>
      </c>
      <c r="N66" s="7">
        <f>IFERROR(SUMIF(Holiday!$A$8:$A$11,B66,Holiday!$C$8:$C$11),0)</f>
        <v>0</v>
      </c>
      <c r="O66" s="7">
        <f t="shared" ca="1" si="8"/>
        <v>59</v>
      </c>
      <c r="P66" s="19">
        <f t="shared" ca="1" si="9"/>
        <v>56.935000000000002</v>
      </c>
      <c r="Q66" s="7">
        <f t="shared" ca="1" si="10"/>
        <v>0</v>
      </c>
      <c r="R66" s="8">
        <f ca="1">VLOOKUP(M66,'Payment Method'!$A$8:$B$12,2,0)</f>
        <v>3.5000000000000003E-2</v>
      </c>
      <c r="S66" s="9">
        <f t="shared" ref="S66:S129" ca="1" si="12">O66-(O66-O66*R66)</f>
        <v>2.0649999999999977</v>
      </c>
      <c r="T66" s="8">
        <v>0.01</v>
      </c>
      <c r="U66" s="9">
        <f t="shared" ref="U66:U129" ca="1" si="13">O66-S66-((O66-S66)-(O66-S66)*T66)</f>
        <v>0.56935000000000002</v>
      </c>
      <c r="V66" s="7">
        <f t="shared" ref="V66:V129" ca="1" si="14">IF(L66="refunded",(K66-K66*N66)-(K66-K66*N66)*R66-((K66-K66*N66)-(K66-K66*N66)*R66)*T66,0)</f>
        <v>0</v>
      </c>
      <c r="W66" s="7">
        <f t="shared" ref="W66:W129" ca="1" si="15">IF(L66="paid",(K66-K66*N66)-(K66-K66*N66)*R66-((K66-K66*N66)-(K66-K66*N66)*R66)*T66,0)</f>
        <v>56.365650000000002</v>
      </c>
      <c r="X66" s="5" t="str">
        <f t="shared" ca="1" si="11"/>
        <v>Tiktok</v>
      </c>
      <c r="Y66" s="78">
        <f>IF(COUNTIF($C$1:C65,B65)=1,10,"")</f>
        <v>10</v>
      </c>
    </row>
    <row r="67" spans="1:25" x14ac:dyDescent="0.3">
      <c r="A67" s="76">
        <v>66</v>
      </c>
      <c r="B67" s="6">
        <v>46156</v>
      </c>
      <c r="C67" s="6">
        <v>46157</v>
      </c>
      <c r="D67" s="17" t="str">
        <f t="shared" ref="D67:D130" si="16">TEXT(C67,"mmmm")</f>
        <v>May</v>
      </c>
      <c r="E67" s="5" t="str">
        <f t="shared" ref="E67:E130" ca="1" si="17">"STU-"&amp;RANDBETWEEN(1,1000)</f>
        <v>STU-604</v>
      </c>
      <c r="F67" s="5" t="str">
        <f ca="1">IF(COUNTIF($E$2:E67,E67)=1,"New Customer","Returning Customer")</f>
        <v>New Customer</v>
      </c>
      <c r="G67" s="5" t="str">
        <f t="shared" ref="G67:G130" ca="1" si="18">CHOOSE(RANDBETWEEN(1,3),"Male","Female","Not specified")</f>
        <v>Not specified</v>
      </c>
      <c r="H67" s="5" t="s">
        <v>135</v>
      </c>
      <c r="I67" s="5" t="str" cm="1">
        <f t="array" aca="1" ref="I67" ca="1">INDEX(Courses!$B$9:$B$16,RANDBETWEEN(1,8))</f>
        <v>Power BI</v>
      </c>
      <c r="J67" s="5" t="str">
        <f ca="1">VLOOKUP(I67,Courses!$B$9:$C$16,2,0)</f>
        <v>Data Analytics</v>
      </c>
      <c r="K67" s="7">
        <f ca="1">VLOOKUP(I67,Courses!$B$9:$D$16,3,0)</f>
        <v>59</v>
      </c>
      <c r="L67" s="5" t="str">
        <f t="shared" ref="L67:L130" ca="1" si="19">IF(RAND()&lt;0.6,"Paid",IF(RAND()&lt;0.75,"Pending","Refunded"))</f>
        <v>Paid</v>
      </c>
      <c r="M67" s="8" t="str" cm="1">
        <f t="array" aca="1" ref="M67" ca="1">INDEX('Payment Method'!$A$8:$A$12,RANDBETWEEN(1,5))</f>
        <v>Visa Debit</v>
      </c>
      <c r="N67" s="7">
        <f>IFERROR(SUMIF(Holiday!$A$8:$A$11,B67,Holiday!$C$8:$C$11),0)</f>
        <v>0</v>
      </c>
      <c r="O67" s="7">
        <f t="shared" ref="O67:O130" ca="1" si="20">K67-K67*N67</f>
        <v>59</v>
      </c>
      <c r="P67" s="19">
        <f t="shared" ref="P67:P130" ca="1" si="21">O67-S67</f>
        <v>57.82</v>
      </c>
      <c r="Q67" s="7">
        <f t="shared" ref="Q67:Q130" ca="1" si="22">IF(L67="pending",(K67-K67*N67)-(K67-K67*N67)*R67-((K67-K67*N67)-(K67-K67*N67)*R67)*T67,0)</f>
        <v>0</v>
      </c>
      <c r="R67" s="8">
        <f ca="1">VLOOKUP(M67,'Payment Method'!$A$8:$B$12,2,0)</f>
        <v>0.02</v>
      </c>
      <c r="S67" s="9">
        <f t="shared" ca="1" si="12"/>
        <v>1.1799999999999997</v>
      </c>
      <c r="T67" s="8">
        <v>0.01</v>
      </c>
      <c r="U67" s="9">
        <f t="shared" ca="1" si="13"/>
        <v>0.57820000000000249</v>
      </c>
      <c r="V67" s="7">
        <f t="shared" ca="1" si="14"/>
        <v>0</v>
      </c>
      <c r="W67" s="7">
        <f t="shared" ca="1" si="15"/>
        <v>57.241799999999998</v>
      </c>
      <c r="X67" s="5" t="str">
        <f t="shared" ref="X67:X130" ca="1" si="23">CHOOSE(RANDBETWEEN(1,3),"Facebook","Instagram","Tiktok")</f>
        <v>Instagram</v>
      </c>
      <c r="Y67" s="78" t="str">
        <f>IF(COUNTIF($C$1:C66,B66)=1,10,"")</f>
        <v/>
      </c>
    </row>
    <row r="68" spans="1:25" x14ac:dyDescent="0.3">
      <c r="A68" s="75">
        <v>67</v>
      </c>
      <c r="B68" s="6">
        <v>46025</v>
      </c>
      <c r="C68" s="6">
        <v>46029</v>
      </c>
      <c r="D68" s="17" t="str">
        <f t="shared" si="16"/>
        <v>January</v>
      </c>
      <c r="E68" s="5" t="str">
        <f t="shared" ca="1" si="17"/>
        <v>STU-610</v>
      </c>
      <c r="F68" s="5" t="str">
        <f ca="1">IF(COUNTIF($E$2:E68,E68)=1,"New Customer","Returning Customer")</f>
        <v>New Customer</v>
      </c>
      <c r="G68" s="5" t="str">
        <f t="shared" ca="1" si="18"/>
        <v>Female</v>
      </c>
      <c r="H68" s="5" t="s">
        <v>142</v>
      </c>
      <c r="I68" s="5" t="str" cm="1">
        <f t="array" aca="1" ref="I68" ca="1">INDEX(Courses!$B$9:$B$16,RANDBETWEEN(1,8))</f>
        <v>Complete Excel Course</v>
      </c>
      <c r="J68" s="5" t="str">
        <f ca="1">VLOOKUP(I68,Courses!$B$9:$C$16,2,0)</f>
        <v>Microsoft Office</v>
      </c>
      <c r="K68" s="7">
        <f ca="1">VLOOKUP(I68,Courses!$B$9:$D$16,3,0)</f>
        <v>59</v>
      </c>
      <c r="L68" s="5" t="str">
        <f t="shared" ca="1" si="19"/>
        <v>Paid</v>
      </c>
      <c r="M68" s="8" t="str" cm="1">
        <f t="array" aca="1" ref="M68" ca="1">INDEX('Payment Method'!$A$8:$A$12,RANDBETWEEN(1,5))</f>
        <v>Mastercard Credit</v>
      </c>
      <c r="N68" s="7">
        <f>IFERROR(SUMIF(Holiday!$A$8:$A$11,B68,Holiday!$C$8:$C$11),0)</f>
        <v>0</v>
      </c>
      <c r="O68" s="7">
        <f t="shared" ca="1" si="20"/>
        <v>59</v>
      </c>
      <c r="P68" s="19">
        <f t="shared" ca="1" si="21"/>
        <v>56.935000000000002</v>
      </c>
      <c r="Q68" s="7">
        <f t="shared" ca="1" si="22"/>
        <v>0</v>
      </c>
      <c r="R68" s="8">
        <f ca="1">VLOOKUP(M68,'Payment Method'!$A$8:$B$12,2,0)</f>
        <v>3.5000000000000003E-2</v>
      </c>
      <c r="S68" s="9">
        <f t="shared" ca="1" si="12"/>
        <v>2.0649999999999977</v>
      </c>
      <c r="T68" s="8">
        <v>0.01</v>
      </c>
      <c r="U68" s="9">
        <f t="shared" ca="1" si="13"/>
        <v>0.56935000000000002</v>
      </c>
      <c r="V68" s="7">
        <f t="shared" ca="1" si="14"/>
        <v>0</v>
      </c>
      <c r="W68" s="7">
        <f t="shared" ca="1" si="15"/>
        <v>56.365650000000002</v>
      </c>
      <c r="X68" s="5" t="str">
        <f t="shared" ca="1" si="23"/>
        <v>Tiktok</v>
      </c>
      <c r="Y68" s="78">
        <f>IF(COUNTIF($C$1:C67,B67)=1,10,"")</f>
        <v>10</v>
      </c>
    </row>
    <row r="69" spans="1:25" x14ac:dyDescent="0.3">
      <c r="A69" s="76">
        <v>68</v>
      </c>
      <c r="B69" s="6">
        <v>46121</v>
      </c>
      <c r="C69" s="6">
        <v>46121</v>
      </c>
      <c r="D69" s="17" t="str">
        <f t="shared" si="16"/>
        <v>April</v>
      </c>
      <c r="E69" s="5" t="str">
        <f t="shared" ca="1" si="17"/>
        <v>STU-441</v>
      </c>
      <c r="F69" s="5" t="str">
        <f ca="1">IF(COUNTIF($E$2:E69,E69)=1,"New Customer","Returning Customer")</f>
        <v>New Customer</v>
      </c>
      <c r="G69" s="5" t="str">
        <f t="shared" ca="1" si="18"/>
        <v>Female</v>
      </c>
      <c r="H69" s="5" t="s">
        <v>142</v>
      </c>
      <c r="I69" s="5" t="str" cm="1">
        <f t="array" aca="1" ref="I69" ca="1">INDEX(Courses!$B$9:$B$16,RANDBETWEEN(1,8))</f>
        <v>PowerPoint</v>
      </c>
      <c r="J69" s="5" t="str">
        <f ca="1">VLOOKUP(I69,Courses!$B$9:$C$16,2,0)</f>
        <v>Microsoft Office</v>
      </c>
      <c r="K69" s="7">
        <f ca="1">VLOOKUP(I69,Courses!$B$9:$D$16,3,0)</f>
        <v>29</v>
      </c>
      <c r="L69" s="5" t="str">
        <f t="shared" ca="1" si="19"/>
        <v>Paid</v>
      </c>
      <c r="M69" s="8" t="str" cm="1">
        <f t="array" aca="1" ref="M69" ca="1">INDEX('Payment Method'!$A$8:$A$12,RANDBETWEEN(1,5))</f>
        <v>Visa Credit</v>
      </c>
      <c r="N69" s="7">
        <f>IFERROR(SUMIF(Holiday!$A$8:$A$11,B69,Holiday!$C$8:$C$11),0)</f>
        <v>0</v>
      </c>
      <c r="O69" s="7">
        <f t="shared" ca="1" si="20"/>
        <v>29</v>
      </c>
      <c r="P69" s="19">
        <f t="shared" ca="1" si="21"/>
        <v>27.984999999999999</v>
      </c>
      <c r="Q69" s="7">
        <f t="shared" ca="1" si="22"/>
        <v>0</v>
      </c>
      <c r="R69" s="8">
        <f ca="1">VLOOKUP(M69,'Payment Method'!$A$8:$B$12,2,0)</f>
        <v>3.5000000000000003E-2</v>
      </c>
      <c r="S69" s="9">
        <f t="shared" ca="1" si="12"/>
        <v>1.0150000000000006</v>
      </c>
      <c r="T69" s="8">
        <v>0.01</v>
      </c>
      <c r="U69" s="9">
        <f t="shared" ca="1" si="13"/>
        <v>0.27984999999999971</v>
      </c>
      <c r="V69" s="7">
        <f t="shared" ca="1" si="14"/>
        <v>0</v>
      </c>
      <c r="W69" s="7">
        <f t="shared" ca="1" si="15"/>
        <v>27.70515</v>
      </c>
      <c r="X69" s="5" t="str">
        <f t="shared" ca="1" si="23"/>
        <v>Facebook</v>
      </c>
      <c r="Y69" s="78" t="str">
        <f>IF(COUNTIF($C$1:C68,B68)=1,10,"")</f>
        <v/>
      </c>
    </row>
    <row r="70" spans="1:25" x14ac:dyDescent="0.3">
      <c r="A70" s="75">
        <v>69</v>
      </c>
      <c r="B70" s="6">
        <v>46204</v>
      </c>
      <c r="C70" s="6">
        <v>46207</v>
      </c>
      <c r="D70" s="17" t="str">
        <f t="shared" si="16"/>
        <v>July</v>
      </c>
      <c r="E70" s="5" t="str">
        <f t="shared" ca="1" si="17"/>
        <v>STU-177</v>
      </c>
      <c r="F70" s="5" t="str">
        <f ca="1">IF(COUNTIF($E$2:E70,E70)=1,"New Customer","Returning Customer")</f>
        <v>New Customer</v>
      </c>
      <c r="G70" s="5" t="str">
        <f t="shared" ca="1" si="18"/>
        <v>Male</v>
      </c>
      <c r="H70" s="5" t="s">
        <v>141</v>
      </c>
      <c r="I70" s="5" t="str" cm="1">
        <f t="array" aca="1" ref="I70" ca="1">INDEX(Courses!$B$9:$B$16,RANDBETWEEN(1,8))</f>
        <v>Adolescent Psychology</v>
      </c>
      <c r="J70" s="5" t="str">
        <f ca="1">VLOOKUP(I70,Courses!$B$9:$C$16,2,0)</f>
        <v>Psychology</v>
      </c>
      <c r="K70" s="7">
        <f ca="1">VLOOKUP(I70,Courses!$B$9:$D$16,3,0)</f>
        <v>29</v>
      </c>
      <c r="L70" s="5" t="str">
        <f t="shared" ca="1" si="19"/>
        <v>Paid</v>
      </c>
      <c r="M70" s="8" t="str" cm="1">
        <f t="array" aca="1" ref="M70" ca="1">INDEX('Payment Method'!$A$8:$A$12,RANDBETWEEN(1,5))</f>
        <v>Mastercard Credit</v>
      </c>
      <c r="N70" s="7">
        <f>IFERROR(SUMIF(Holiday!$A$8:$A$11,B70,Holiday!$C$8:$C$11),0)</f>
        <v>0</v>
      </c>
      <c r="O70" s="7">
        <f t="shared" ca="1" si="20"/>
        <v>29</v>
      </c>
      <c r="P70" s="19">
        <f t="shared" ca="1" si="21"/>
        <v>27.984999999999999</v>
      </c>
      <c r="Q70" s="7">
        <f t="shared" ca="1" si="22"/>
        <v>0</v>
      </c>
      <c r="R70" s="8">
        <f ca="1">VLOOKUP(M70,'Payment Method'!$A$8:$B$12,2,0)</f>
        <v>3.5000000000000003E-2</v>
      </c>
      <c r="S70" s="9">
        <f t="shared" ca="1" si="12"/>
        <v>1.0150000000000006</v>
      </c>
      <c r="T70" s="8">
        <v>0.01</v>
      </c>
      <c r="U70" s="9">
        <f t="shared" ca="1" si="13"/>
        <v>0.27984999999999971</v>
      </c>
      <c r="V70" s="7">
        <f t="shared" ca="1" si="14"/>
        <v>0</v>
      </c>
      <c r="W70" s="7">
        <f t="shared" ca="1" si="15"/>
        <v>27.70515</v>
      </c>
      <c r="X70" s="5" t="str">
        <f t="shared" ca="1" si="23"/>
        <v>Instagram</v>
      </c>
      <c r="Y70" s="78" t="str">
        <f>IF(COUNTIF($C$1:C69,B69)=1,10,"")</f>
        <v/>
      </c>
    </row>
    <row r="71" spans="1:25" x14ac:dyDescent="0.3">
      <c r="A71" s="76">
        <v>70</v>
      </c>
      <c r="B71" s="6">
        <v>46144</v>
      </c>
      <c r="C71" s="6">
        <v>46144</v>
      </c>
      <c r="D71" s="17" t="str">
        <f t="shared" si="16"/>
        <v>May</v>
      </c>
      <c r="E71" s="5" t="str">
        <f t="shared" ca="1" si="17"/>
        <v>STU-486</v>
      </c>
      <c r="F71" s="5" t="str">
        <f ca="1">IF(COUNTIF($E$2:E71,E71)=1,"New Customer","Returning Customer")</f>
        <v>New Customer</v>
      </c>
      <c r="G71" s="5" t="str">
        <f t="shared" ca="1" si="18"/>
        <v>Male</v>
      </c>
      <c r="H71" s="5" t="s">
        <v>136</v>
      </c>
      <c r="I71" s="5" t="str" cm="1">
        <f t="array" aca="1" ref="I71" ca="1">INDEX(Courses!$B$9:$B$16,RANDBETWEEN(1,8))</f>
        <v>Adolescent Psychology</v>
      </c>
      <c r="J71" s="5" t="str">
        <f ca="1">VLOOKUP(I71,Courses!$B$9:$C$16,2,0)</f>
        <v>Psychology</v>
      </c>
      <c r="K71" s="7">
        <f ca="1">VLOOKUP(I71,Courses!$B$9:$D$16,3,0)</f>
        <v>29</v>
      </c>
      <c r="L71" s="5" t="str">
        <f t="shared" ca="1" si="19"/>
        <v>Paid</v>
      </c>
      <c r="M71" s="8" t="str" cm="1">
        <f t="array" aca="1" ref="M71" ca="1">INDEX('Payment Method'!$A$8:$A$12,RANDBETWEEN(1,5))</f>
        <v>Mastercard Debit</v>
      </c>
      <c r="N71" s="7">
        <f>IFERROR(SUMIF(Holiday!$A$8:$A$11,B71,Holiday!$C$8:$C$11),0)</f>
        <v>0</v>
      </c>
      <c r="O71" s="7">
        <f t="shared" ca="1" si="20"/>
        <v>29</v>
      </c>
      <c r="P71" s="19">
        <f t="shared" ca="1" si="21"/>
        <v>28.42</v>
      </c>
      <c r="Q71" s="7">
        <f t="shared" ca="1" si="22"/>
        <v>0</v>
      </c>
      <c r="R71" s="8">
        <f ca="1">VLOOKUP(M71,'Payment Method'!$A$8:$B$12,2,0)</f>
        <v>0.02</v>
      </c>
      <c r="S71" s="9">
        <f t="shared" ca="1" si="12"/>
        <v>0.57999999999999829</v>
      </c>
      <c r="T71" s="8">
        <v>0.01</v>
      </c>
      <c r="U71" s="9">
        <f t="shared" ca="1" si="13"/>
        <v>0.28419999999999845</v>
      </c>
      <c r="V71" s="7">
        <f t="shared" ca="1" si="14"/>
        <v>0</v>
      </c>
      <c r="W71" s="7">
        <f t="shared" ca="1" si="15"/>
        <v>28.135800000000003</v>
      </c>
      <c r="X71" s="5" t="str">
        <f t="shared" ca="1" si="23"/>
        <v>Instagram</v>
      </c>
      <c r="Y71" s="78">
        <f>IF(COUNTIF($C$1:C70,B70)=1,10,"")</f>
        <v>10</v>
      </c>
    </row>
    <row r="72" spans="1:25" x14ac:dyDescent="0.3">
      <c r="A72" s="75">
        <v>71</v>
      </c>
      <c r="B72" s="6">
        <v>46220</v>
      </c>
      <c r="C72" s="6">
        <v>46223</v>
      </c>
      <c r="D72" s="17" t="str">
        <f t="shared" si="16"/>
        <v>July</v>
      </c>
      <c r="E72" s="5" t="str">
        <f t="shared" ca="1" si="17"/>
        <v>STU-603</v>
      </c>
      <c r="F72" s="5" t="str">
        <f ca="1">IF(COUNTIF($E$2:E72,E72)=1,"New Customer","Returning Customer")</f>
        <v>New Customer</v>
      </c>
      <c r="G72" s="5" t="str">
        <f t="shared" ca="1" si="18"/>
        <v>Not specified</v>
      </c>
      <c r="H72" s="5" t="s">
        <v>136</v>
      </c>
      <c r="I72" s="5" t="str" cm="1">
        <f t="array" aca="1" ref="I72" ca="1">INDEX(Courses!$B$9:$B$16,RANDBETWEEN(1,8))</f>
        <v>Power BI</v>
      </c>
      <c r="J72" s="5" t="str">
        <f ca="1">VLOOKUP(I72,Courses!$B$9:$C$16,2,0)</f>
        <v>Data Analytics</v>
      </c>
      <c r="K72" s="7">
        <f ca="1">VLOOKUP(I72,Courses!$B$9:$D$16,3,0)</f>
        <v>59</v>
      </c>
      <c r="L72" s="5" t="str">
        <f t="shared" ca="1" si="19"/>
        <v>Paid</v>
      </c>
      <c r="M72" s="8" t="str" cm="1">
        <f t="array" aca="1" ref="M72" ca="1">INDEX('Payment Method'!$A$8:$A$12,RANDBETWEEN(1,5))</f>
        <v>Bank Transfer</v>
      </c>
      <c r="N72" s="7">
        <f>IFERROR(SUMIF(Holiday!$A$8:$A$11,B72,Holiday!$C$8:$C$11),0)</f>
        <v>0</v>
      </c>
      <c r="O72" s="7">
        <f t="shared" ca="1" si="20"/>
        <v>59</v>
      </c>
      <c r="P72" s="19">
        <f t="shared" ca="1" si="21"/>
        <v>59</v>
      </c>
      <c r="Q72" s="7">
        <f t="shared" ca="1" si="22"/>
        <v>0</v>
      </c>
      <c r="R72" s="8">
        <f ca="1">VLOOKUP(M72,'Payment Method'!$A$8:$B$12,2,0)</f>
        <v>0</v>
      </c>
      <c r="S72" s="9">
        <f t="shared" ca="1" si="12"/>
        <v>0</v>
      </c>
      <c r="T72" s="8">
        <v>0.01</v>
      </c>
      <c r="U72" s="9">
        <f t="shared" ca="1" si="13"/>
        <v>0.59000000000000341</v>
      </c>
      <c r="V72" s="7">
        <f t="shared" ca="1" si="14"/>
        <v>0</v>
      </c>
      <c r="W72" s="7">
        <f t="shared" ca="1" si="15"/>
        <v>58.41</v>
      </c>
      <c r="X72" s="5" t="str">
        <f t="shared" ca="1" si="23"/>
        <v>Tiktok</v>
      </c>
      <c r="Y72" s="78">
        <f>IF(COUNTIF($C$1:C71,B71)=1,10,"")</f>
        <v>10</v>
      </c>
    </row>
    <row r="73" spans="1:25" x14ac:dyDescent="0.3">
      <c r="A73" s="76">
        <v>72</v>
      </c>
      <c r="B73" s="6">
        <v>46058</v>
      </c>
      <c r="C73" s="6">
        <v>46059</v>
      </c>
      <c r="D73" s="17" t="str">
        <f t="shared" si="16"/>
        <v>February</v>
      </c>
      <c r="E73" s="5" t="str">
        <f t="shared" ca="1" si="17"/>
        <v>STU-776</v>
      </c>
      <c r="F73" s="5" t="str">
        <f ca="1">IF(COUNTIF($E$2:E73,E73)=1,"New Customer","Returning Customer")</f>
        <v>New Customer</v>
      </c>
      <c r="G73" s="5" t="str">
        <f t="shared" ca="1" si="18"/>
        <v>Not specified</v>
      </c>
      <c r="H73" s="5" t="s">
        <v>141</v>
      </c>
      <c r="I73" s="5" t="str" cm="1">
        <f t="array" aca="1" ref="I73" ca="1">INDEX(Courses!$B$9:$B$16,RANDBETWEEN(1,8))</f>
        <v>Tax Code</v>
      </c>
      <c r="J73" s="5" t="str">
        <f ca="1">VLOOKUP(I73,Courses!$B$9:$C$16,2,0)</f>
        <v>Finance &amp; Taxation</v>
      </c>
      <c r="K73" s="7">
        <f ca="1">VLOOKUP(I73,Courses!$B$9:$D$16,3,0)</f>
        <v>59</v>
      </c>
      <c r="L73" s="5" t="str">
        <f t="shared" ca="1" si="19"/>
        <v>Pending</v>
      </c>
      <c r="M73" s="8" t="str" cm="1">
        <f t="array" aca="1" ref="M73" ca="1">INDEX('Payment Method'!$A$8:$A$12,RANDBETWEEN(1,5))</f>
        <v>Mastercard Debit</v>
      </c>
      <c r="N73" s="7">
        <f>IFERROR(SUMIF(Holiday!$A$8:$A$11,B73,Holiday!$C$8:$C$11),0)</f>
        <v>0</v>
      </c>
      <c r="O73" s="7">
        <f t="shared" ca="1" si="20"/>
        <v>59</v>
      </c>
      <c r="P73" s="19">
        <f t="shared" ca="1" si="21"/>
        <v>57.82</v>
      </c>
      <c r="Q73" s="7">
        <f t="shared" ca="1" si="22"/>
        <v>57.241799999999998</v>
      </c>
      <c r="R73" s="8">
        <f ca="1">VLOOKUP(M73,'Payment Method'!$A$8:$B$12,2,0)</f>
        <v>0.02</v>
      </c>
      <c r="S73" s="9">
        <f t="shared" ca="1" si="12"/>
        <v>1.1799999999999997</v>
      </c>
      <c r="T73" s="8">
        <v>0.01</v>
      </c>
      <c r="U73" s="9">
        <f t="shared" ca="1" si="13"/>
        <v>0.57820000000000249</v>
      </c>
      <c r="V73" s="7">
        <f t="shared" ca="1" si="14"/>
        <v>0</v>
      </c>
      <c r="W73" s="7">
        <f t="shared" ca="1" si="15"/>
        <v>0</v>
      </c>
      <c r="X73" s="5" t="str">
        <f t="shared" ca="1" si="23"/>
        <v>Facebook</v>
      </c>
      <c r="Y73" s="78" t="str">
        <f>IF(COUNTIF($C$1:C72,B72)=1,10,"")</f>
        <v/>
      </c>
    </row>
    <row r="74" spans="1:25" x14ac:dyDescent="0.3">
      <c r="A74" s="75">
        <v>73</v>
      </c>
      <c r="B74" s="6">
        <v>46210</v>
      </c>
      <c r="C74" s="6">
        <v>46214</v>
      </c>
      <c r="D74" s="17" t="str">
        <f t="shared" si="16"/>
        <v>July</v>
      </c>
      <c r="E74" s="5" t="str">
        <f t="shared" ca="1" si="17"/>
        <v>STU-58</v>
      </c>
      <c r="F74" s="5" t="str">
        <f ca="1">IF(COUNTIF($E$2:E74,E74)=1,"New Customer","Returning Customer")</f>
        <v>New Customer</v>
      </c>
      <c r="G74" s="5" t="str">
        <f t="shared" ca="1" si="18"/>
        <v>Female</v>
      </c>
      <c r="H74" s="5" t="s">
        <v>135</v>
      </c>
      <c r="I74" s="5" t="str" cm="1">
        <f t="array" aca="1" ref="I74" ca="1">INDEX(Courses!$B$9:$B$16,RANDBETWEEN(1,8))</f>
        <v>Microsoft Word</v>
      </c>
      <c r="J74" s="5" t="str">
        <f ca="1">VLOOKUP(I74,Courses!$B$9:$C$16,2,0)</f>
        <v>Microsoft Office</v>
      </c>
      <c r="K74" s="7">
        <f ca="1">VLOOKUP(I74,Courses!$B$9:$D$16,3,0)</f>
        <v>29</v>
      </c>
      <c r="L74" s="5" t="str">
        <f t="shared" ca="1" si="19"/>
        <v>Pending</v>
      </c>
      <c r="M74" s="8" t="str" cm="1">
        <f t="array" aca="1" ref="M74" ca="1">INDEX('Payment Method'!$A$8:$A$12,RANDBETWEEN(1,5))</f>
        <v>Visa Debit</v>
      </c>
      <c r="N74" s="7">
        <f>IFERROR(SUMIF(Holiday!$A$8:$A$11,B74,Holiday!$C$8:$C$11),0)</f>
        <v>0</v>
      </c>
      <c r="O74" s="7">
        <f t="shared" ca="1" si="20"/>
        <v>29</v>
      </c>
      <c r="P74" s="19">
        <f t="shared" ca="1" si="21"/>
        <v>28.42</v>
      </c>
      <c r="Q74" s="7">
        <f t="shared" ca="1" si="22"/>
        <v>28.135800000000003</v>
      </c>
      <c r="R74" s="8">
        <f ca="1">VLOOKUP(M74,'Payment Method'!$A$8:$B$12,2,0)</f>
        <v>0.02</v>
      </c>
      <c r="S74" s="9">
        <f t="shared" ca="1" si="12"/>
        <v>0.57999999999999829</v>
      </c>
      <c r="T74" s="8">
        <v>0.01</v>
      </c>
      <c r="U74" s="9">
        <f t="shared" ca="1" si="13"/>
        <v>0.28419999999999845</v>
      </c>
      <c r="V74" s="7">
        <f t="shared" ca="1" si="14"/>
        <v>0</v>
      </c>
      <c r="W74" s="7">
        <f t="shared" ca="1" si="15"/>
        <v>0</v>
      </c>
      <c r="X74" s="5" t="str">
        <f t="shared" ca="1" si="23"/>
        <v>Instagram</v>
      </c>
      <c r="Y74" s="78" t="str">
        <f>IF(COUNTIF($C$1:C73,B73)=1,10,"")</f>
        <v/>
      </c>
    </row>
    <row r="75" spans="1:25" x14ac:dyDescent="0.3">
      <c r="A75" s="76">
        <v>74</v>
      </c>
      <c r="B75" s="6">
        <v>46217</v>
      </c>
      <c r="C75" s="6">
        <v>46220</v>
      </c>
      <c r="D75" s="17" t="str">
        <f t="shared" si="16"/>
        <v>July</v>
      </c>
      <c r="E75" s="5" t="str">
        <f t="shared" ca="1" si="17"/>
        <v>STU-439</v>
      </c>
      <c r="F75" s="5" t="str">
        <f ca="1">IF(COUNTIF($E$2:E75,E75)=1,"New Customer","Returning Customer")</f>
        <v>New Customer</v>
      </c>
      <c r="G75" s="5" t="str">
        <f t="shared" ca="1" si="18"/>
        <v>Female</v>
      </c>
      <c r="H75" s="5" t="s">
        <v>142</v>
      </c>
      <c r="I75" s="5" t="str" cm="1">
        <f t="array" aca="1" ref="I75" ca="1">INDEX(Courses!$B$9:$B$16,RANDBETWEEN(1,8))</f>
        <v>Excel Basics</v>
      </c>
      <c r="J75" s="5" t="str">
        <f ca="1">VLOOKUP(I75,Courses!$B$9:$C$16,2,0)</f>
        <v>Microsoft Office</v>
      </c>
      <c r="K75" s="7">
        <f ca="1">VLOOKUP(I75,Courses!$B$9:$D$16,3,0)</f>
        <v>29</v>
      </c>
      <c r="L75" s="5" t="str">
        <f t="shared" ca="1" si="19"/>
        <v>Refunded</v>
      </c>
      <c r="M75" s="8" t="str" cm="1">
        <f t="array" aca="1" ref="M75" ca="1">INDEX('Payment Method'!$A$8:$A$12,RANDBETWEEN(1,5))</f>
        <v>Visa Debit</v>
      </c>
      <c r="N75" s="7">
        <f>IFERROR(SUMIF(Holiday!$A$8:$A$11,B75,Holiday!$C$8:$C$11),0)</f>
        <v>0</v>
      </c>
      <c r="O75" s="7">
        <f t="shared" ca="1" si="20"/>
        <v>29</v>
      </c>
      <c r="P75" s="19">
        <f t="shared" ca="1" si="21"/>
        <v>28.42</v>
      </c>
      <c r="Q75" s="7">
        <f t="shared" ca="1" si="22"/>
        <v>0</v>
      </c>
      <c r="R75" s="8">
        <f ca="1">VLOOKUP(M75,'Payment Method'!$A$8:$B$12,2,0)</f>
        <v>0.02</v>
      </c>
      <c r="S75" s="9">
        <f t="shared" ca="1" si="12"/>
        <v>0.57999999999999829</v>
      </c>
      <c r="T75" s="8">
        <v>0.01</v>
      </c>
      <c r="U75" s="9">
        <f t="shared" ca="1" si="13"/>
        <v>0.28419999999999845</v>
      </c>
      <c r="V75" s="7">
        <f t="shared" ca="1" si="14"/>
        <v>28.135800000000003</v>
      </c>
      <c r="W75" s="7">
        <f t="shared" ca="1" si="15"/>
        <v>0</v>
      </c>
      <c r="X75" s="5" t="str">
        <f t="shared" ca="1" si="23"/>
        <v>Instagram</v>
      </c>
      <c r="Y75" s="78" t="str">
        <f>IF(COUNTIF($C$1:C74,B74)=1,10,"")</f>
        <v/>
      </c>
    </row>
    <row r="76" spans="1:25" x14ac:dyDescent="0.3">
      <c r="A76" s="75">
        <v>75</v>
      </c>
      <c r="B76" s="6">
        <v>46225</v>
      </c>
      <c r="C76" s="6">
        <v>46228</v>
      </c>
      <c r="D76" s="17" t="str">
        <f t="shared" si="16"/>
        <v>July</v>
      </c>
      <c r="E76" s="5" t="str">
        <f t="shared" ca="1" si="17"/>
        <v>STU-507</v>
      </c>
      <c r="F76" s="5" t="str">
        <f ca="1">IF(COUNTIF($E$2:E76,E76)=1,"New Customer","Returning Customer")</f>
        <v>New Customer</v>
      </c>
      <c r="G76" s="5" t="str">
        <f t="shared" ca="1" si="18"/>
        <v>Not specified</v>
      </c>
      <c r="H76" s="5" t="s">
        <v>135</v>
      </c>
      <c r="I76" s="5" t="str" cm="1">
        <f t="array" aca="1" ref="I76" ca="1">INDEX(Courses!$B$9:$B$16,RANDBETWEEN(1,8))</f>
        <v>Tax Code</v>
      </c>
      <c r="J76" s="5" t="str">
        <f ca="1">VLOOKUP(I76,Courses!$B$9:$C$16,2,0)</f>
        <v>Finance &amp; Taxation</v>
      </c>
      <c r="K76" s="7">
        <f ca="1">VLOOKUP(I76,Courses!$B$9:$D$16,3,0)</f>
        <v>59</v>
      </c>
      <c r="L76" s="5" t="str">
        <f t="shared" ca="1" si="19"/>
        <v>Paid</v>
      </c>
      <c r="M76" s="8" t="str" cm="1">
        <f t="array" aca="1" ref="M76" ca="1">INDEX('Payment Method'!$A$8:$A$12,RANDBETWEEN(1,5))</f>
        <v>Mastercard Credit</v>
      </c>
      <c r="N76" s="7">
        <f>IFERROR(SUMIF(Holiday!$A$8:$A$11,B76,Holiday!$C$8:$C$11),0)</f>
        <v>0</v>
      </c>
      <c r="O76" s="7">
        <f t="shared" ca="1" si="20"/>
        <v>59</v>
      </c>
      <c r="P76" s="19">
        <f t="shared" ca="1" si="21"/>
        <v>56.935000000000002</v>
      </c>
      <c r="Q76" s="7">
        <f t="shared" ca="1" si="22"/>
        <v>0</v>
      </c>
      <c r="R76" s="8">
        <f ca="1">VLOOKUP(M76,'Payment Method'!$A$8:$B$12,2,0)</f>
        <v>3.5000000000000003E-2</v>
      </c>
      <c r="S76" s="9">
        <f t="shared" ca="1" si="12"/>
        <v>2.0649999999999977</v>
      </c>
      <c r="T76" s="8">
        <v>0.01</v>
      </c>
      <c r="U76" s="9">
        <f t="shared" ca="1" si="13"/>
        <v>0.56935000000000002</v>
      </c>
      <c r="V76" s="7">
        <f t="shared" ca="1" si="14"/>
        <v>0</v>
      </c>
      <c r="W76" s="7">
        <f t="shared" ca="1" si="15"/>
        <v>56.365650000000002</v>
      </c>
      <c r="X76" s="5" t="str">
        <f t="shared" ca="1" si="23"/>
        <v>Facebook</v>
      </c>
      <c r="Y76" s="78">
        <f>IF(COUNTIF($C$1:C75,B75)=1,10,"")</f>
        <v>10</v>
      </c>
    </row>
    <row r="77" spans="1:25" x14ac:dyDescent="0.3">
      <c r="A77" s="76">
        <v>76</v>
      </c>
      <c r="B77" s="6">
        <v>46091</v>
      </c>
      <c r="C77" s="6">
        <v>46093</v>
      </c>
      <c r="D77" s="17" t="str">
        <f t="shared" si="16"/>
        <v>March</v>
      </c>
      <c r="E77" s="5" t="str">
        <f t="shared" ca="1" si="17"/>
        <v>STU-474</v>
      </c>
      <c r="F77" s="5" t="str">
        <f ca="1">IF(COUNTIF($E$2:E77,E77)=1,"New Customer","Returning Customer")</f>
        <v>New Customer</v>
      </c>
      <c r="G77" s="5" t="str">
        <f t="shared" ca="1" si="18"/>
        <v>Not specified</v>
      </c>
      <c r="H77" s="5" t="s">
        <v>142</v>
      </c>
      <c r="I77" s="5" t="str" cm="1">
        <f t="array" aca="1" ref="I77" ca="1">INDEX(Courses!$B$9:$B$16,RANDBETWEEN(1,8))</f>
        <v>Excel Basics</v>
      </c>
      <c r="J77" s="5" t="str">
        <f ca="1">VLOOKUP(I77,Courses!$B$9:$C$16,2,0)</f>
        <v>Microsoft Office</v>
      </c>
      <c r="K77" s="7">
        <f ca="1">VLOOKUP(I77,Courses!$B$9:$D$16,3,0)</f>
        <v>29</v>
      </c>
      <c r="L77" s="5" t="str">
        <f t="shared" ca="1" si="19"/>
        <v>Paid</v>
      </c>
      <c r="M77" s="8" t="str" cm="1">
        <f t="array" aca="1" ref="M77" ca="1">INDEX('Payment Method'!$A$8:$A$12,RANDBETWEEN(1,5))</f>
        <v>Visa Debit</v>
      </c>
      <c r="N77" s="7">
        <f>IFERROR(SUMIF(Holiday!$A$8:$A$11,B77,Holiday!$C$8:$C$11),0)</f>
        <v>0</v>
      </c>
      <c r="O77" s="7">
        <f t="shared" ca="1" si="20"/>
        <v>29</v>
      </c>
      <c r="P77" s="19">
        <f t="shared" ca="1" si="21"/>
        <v>28.42</v>
      </c>
      <c r="Q77" s="7">
        <f t="shared" ca="1" si="22"/>
        <v>0</v>
      </c>
      <c r="R77" s="8">
        <f ca="1">VLOOKUP(M77,'Payment Method'!$A$8:$B$12,2,0)</f>
        <v>0.02</v>
      </c>
      <c r="S77" s="9">
        <f t="shared" ca="1" si="12"/>
        <v>0.57999999999999829</v>
      </c>
      <c r="T77" s="8">
        <v>0.01</v>
      </c>
      <c r="U77" s="9">
        <f t="shared" ca="1" si="13"/>
        <v>0.28419999999999845</v>
      </c>
      <c r="V77" s="7">
        <f t="shared" ca="1" si="14"/>
        <v>0</v>
      </c>
      <c r="W77" s="7">
        <f t="shared" ca="1" si="15"/>
        <v>28.135800000000003</v>
      </c>
      <c r="X77" s="5" t="str">
        <f t="shared" ca="1" si="23"/>
        <v>Instagram</v>
      </c>
      <c r="Y77" s="78" t="str">
        <f>IF(COUNTIF($C$1:C76,B76)=1,10,"")</f>
        <v/>
      </c>
    </row>
    <row r="78" spans="1:25" x14ac:dyDescent="0.3">
      <c r="A78" s="75">
        <v>77</v>
      </c>
      <c r="B78" s="6">
        <v>46101</v>
      </c>
      <c r="C78" s="6">
        <v>46102</v>
      </c>
      <c r="D78" s="17" t="str">
        <f t="shared" si="16"/>
        <v>March</v>
      </c>
      <c r="E78" s="5" t="str">
        <f t="shared" ca="1" si="17"/>
        <v>STU-228</v>
      </c>
      <c r="F78" s="5" t="str">
        <f ca="1">IF(COUNTIF($E$2:E78,E78)=1,"New Customer","Returning Customer")</f>
        <v>New Customer</v>
      </c>
      <c r="G78" s="5" t="str">
        <f t="shared" ca="1" si="18"/>
        <v>Male</v>
      </c>
      <c r="H78" s="5" t="s">
        <v>136</v>
      </c>
      <c r="I78" s="5" t="str" cm="1">
        <f t="array" aca="1" ref="I78" ca="1">INDEX(Courses!$B$9:$B$16,RANDBETWEEN(1,8))</f>
        <v>Adolescent Psychology</v>
      </c>
      <c r="J78" s="5" t="str">
        <f ca="1">VLOOKUP(I78,Courses!$B$9:$C$16,2,0)</f>
        <v>Psychology</v>
      </c>
      <c r="K78" s="7">
        <f ca="1">VLOOKUP(I78,Courses!$B$9:$D$16,3,0)</f>
        <v>29</v>
      </c>
      <c r="L78" s="5" t="str">
        <f t="shared" ca="1" si="19"/>
        <v>Pending</v>
      </c>
      <c r="M78" s="8" t="str" cm="1">
        <f t="array" aca="1" ref="M78" ca="1">INDEX('Payment Method'!$A$8:$A$12,RANDBETWEEN(1,5))</f>
        <v>Visa Debit</v>
      </c>
      <c r="N78" s="7">
        <f>IFERROR(SUMIF(Holiday!$A$8:$A$11,B78,Holiday!$C$8:$C$11),0)</f>
        <v>0</v>
      </c>
      <c r="O78" s="7">
        <f t="shared" ca="1" si="20"/>
        <v>29</v>
      </c>
      <c r="P78" s="19">
        <f t="shared" ca="1" si="21"/>
        <v>28.42</v>
      </c>
      <c r="Q78" s="7">
        <f t="shared" ca="1" si="22"/>
        <v>28.135800000000003</v>
      </c>
      <c r="R78" s="8">
        <f ca="1">VLOOKUP(M78,'Payment Method'!$A$8:$B$12,2,0)</f>
        <v>0.02</v>
      </c>
      <c r="S78" s="9">
        <f t="shared" ca="1" si="12"/>
        <v>0.57999999999999829</v>
      </c>
      <c r="T78" s="8">
        <v>0.01</v>
      </c>
      <c r="U78" s="9">
        <f t="shared" ca="1" si="13"/>
        <v>0.28419999999999845</v>
      </c>
      <c r="V78" s="7">
        <f t="shared" ca="1" si="14"/>
        <v>0</v>
      </c>
      <c r="W78" s="7">
        <f t="shared" ca="1" si="15"/>
        <v>0</v>
      </c>
      <c r="X78" s="5" t="str">
        <f t="shared" ca="1" si="23"/>
        <v>Tiktok</v>
      </c>
      <c r="Y78" s="78" t="str">
        <f>IF(COUNTIF($C$1:C77,B77)=1,10,"")</f>
        <v/>
      </c>
    </row>
    <row r="79" spans="1:25" x14ac:dyDescent="0.3">
      <c r="A79" s="76">
        <v>78</v>
      </c>
      <c r="B79" s="6">
        <v>46217</v>
      </c>
      <c r="C79" s="6">
        <v>46219</v>
      </c>
      <c r="D79" s="17" t="str">
        <f t="shared" si="16"/>
        <v>July</v>
      </c>
      <c r="E79" s="5" t="str">
        <f t="shared" ca="1" si="17"/>
        <v>STU-141</v>
      </c>
      <c r="F79" s="5" t="str">
        <f ca="1">IF(COUNTIF($E$2:E79,E79)=1,"New Customer","Returning Customer")</f>
        <v>New Customer</v>
      </c>
      <c r="G79" s="5" t="str">
        <f t="shared" ca="1" si="18"/>
        <v>Female</v>
      </c>
      <c r="H79" s="5" t="s">
        <v>140</v>
      </c>
      <c r="I79" s="5" t="str" cm="1">
        <f t="array" aca="1" ref="I79" ca="1">INDEX(Courses!$B$9:$B$16,RANDBETWEEN(1,8))</f>
        <v>Complete Excel Course</v>
      </c>
      <c r="J79" s="5" t="str">
        <f ca="1">VLOOKUP(I79,Courses!$B$9:$C$16,2,0)</f>
        <v>Microsoft Office</v>
      </c>
      <c r="K79" s="7">
        <f ca="1">VLOOKUP(I79,Courses!$B$9:$D$16,3,0)</f>
        <v>59</v>
      </c>
      <c r="L79" s="5" t="str">
        <f t="shared" ca="1" si="19"/>
        <v>Paid</v>
      </c>
      <c r="M79" s="8" t="str" cm="1">
        <f t="array" aca="1" ref="M79" ca="1">INDEX('Payment Method'!$A$8:$A$12,RANDBETWEEN(1,5))</f>
        <v>Visa Credit</v>
      </c>
      <c r="N79" s="7">
        <f>IFERROR(SUMIF(Holiday!$A$8:$A$11,B79,Holiday!$C$8:$C$11),0)</f>
        <v>0</v>
      </c>
      <c r="O79" s="7">
        <f t="shared" ca="1" si="20"/>
        <v>59</v>
      </c>
      <c r="P79" s="19">
        <f t="shared" ca="1" si="21"/>
        <v>56.935000000000002</v>
      </c>
      <c r="Q79" s="7">
        <f t="shared" ca="1" si="22"/>
        <v>0</v>
      </c>
      <c r="R79" s="8">
        <f ca="1">VLOOKUP(M79,'Payment Method'!$A$8:$B$12,2,0)</f>
        <v>3.5000000000000003E-2</v>
      </c>
      <c r="S79" s="9">
        <f t="shared" ca="1" si="12"/>
        <v>2.0649999999999977</v>
      </c>
      <c r="T79" s="8">
        <v>0.01</v>
      </c>
      <c r="U79" s="9">
        <f t="shared" ca="1" si="13"/>
        <v>0.56935000000000002</v>
      </c>
      <c r="V79" s="7">
        <f t="shared" ca="1" si="14"/>
        <v>0</v>
      </c>
      <c r="W79" s="7">
        <f t="shared" ca="1" si="15"/>
        <v>56.365650000000002</v>
      </c>
      <c r="X79" s="5" t="str">
        <f t="shared" ca="1" si="23"/>
        <v>Tiktok</v>
      </c>
      <c r="Y79" s="78" t="str">
        <f>IF(COUNTIF($C$1:C78,B78)=1,10,"")</f>
        <v/>
      </c>
    </row>
    <row r="80" spans="1:25" x14ac:dyDescent="0.3">
      <c r="A80" s="75">
        <v>79</v>
      </c>
      <c r="B80" s="6">
        <v>46230</v>
      </c>
      <c r="C80" s="6">
        <v>46219</v>
      </c>
      <c r="D80" s="17" t="str">
        <f t="shared" si="16"/>
        <v>July</v>
      </c>
      <c r="E80" s="5" t="str">
        <f t="shared" ca="1" si="17"/>
        <v>STU-270</v>
      </c>
      <c r="F80" s="5" t="str">
        <f ca="1">IF(COUNTIF($E$2:E80,E80)=1,"New Customer","Returning Customer")</f>
        <v>New Customer</v>
      </c>
      <c r="G80" s="5" t="str">
        <f t="shared" ca="1" si="18"/>
        <v>Not specified</v>
      </c>
      <c r="H80" s="5" t="s">
        <v>141</v>
      </c>
      <c r="I80" s="5" t="str" cm="1">
        <f t="array" aca="1" ref="I80" ca="1">INDEX(Courses!$B$9:$B$16,RANDBETWEEN(1,8))</f>
        <v>SQL</v>
      </c>
      <c r="J80" s="5" t="str">
        <f ca="1">VLOOKUP(I80,Courses!$B$9:$C$16,2,0)</f>
        <v>Data Analytics</v>
      </c>
      <c r="K80" s="7">
        <f ca="1">VLOOKUP(I80,Courses!$B$9:$D$16,3,0)</f>
        <v>99</v>
      </c>
      <c r="L80" s="5" t="str">
        <f t="shared" ca="1" si="19"/>
        <v>Paid</v>
      </c>
      <c r="M80" s="8" t="str" cm="1">
        <f t="array" aca="1" ref="M80" ca="1">INDEX('Payment Method'!$A$8:$A$12,RANDBETWEEN(1,5))</f>
        <v>Visa Credit</v>
      </c>
      <c r="N80" s="7">
        <f>IFERROR(SUMIF(Holiday!$A$8:$A$11,B80,Holiday!$C$8:$C$11),0)</f>
        <v>0</v>
      </c>
      <c r="O80" s="7">
        <f t="shared" ca="1" si="20"/>
        <v>99</v>
      </c>
      <c r="P80" s="19">
        <f t="shared" ca="1" si="21"/>
        <v>95.534999999999997</v>
      </c>
      <c r="Q80" s="7">
        <f t="shared" ca="1" si="22"/>
        <v>0</v>
      </c>
      <c r="R80" s="8">
        <f ca="1">VLOOKUP(M80,'Payment Method'!$A$8:$B$12,2,0)</f>
        <v>3.5000000000000003E-2</v>
      </c>
      <c r="S80" s="9">
        <f t="shared" ca="1" si="12"/>
        <v>3.4650000000000034</v>
      </c>
      <c r="T80" s="8">
        <v>0.01</v>
      </c>
      <c r="U80" s="9">
        <f t="shared" ca="1" si="13"/>
        <v>0.9553499999999957</v>
      </c>
      <c r="V80" s="7">
        <f t="shared" ca="1" si="14"/>
        <v>0</v>
      </c>
      <c r="W80" s="7">
        <f t="shared" ca="1" si="15"/>
        <v>94.579650000000001</v>
      </c>
      <c r="X80" s="5" t="str">
        <f t="shared" ca="1" si="23"/>
        <v>Instagram</v>
      </c>
      <c r="Y80" s="78">
        <f>IF(COUNTIF($C$1:C79,B79)=1,10,"")</f>
        <v>10</v>
      </c>
    </row>
    <row r="81" spans="1:25" x14ac:dyDescent="0.3">
      <c r="A81" s="76">
        <v>80</v>
      </c>
      <c r="B81" s="6">
        <v>46090</v>
      </c>
      <c r="C81" s="6">
        <v>46091</v>
      </c>
      <c r="D81" s="17" t="str">
        <f t="shared" si="16"/>
        <v>March</v>
      </c>
      <c r="E81" s="5" t="str">
        <f t="shared" ca="1" si="17"/>
        <v>STU-413</v>
      </c>
      <c r="F81" s="5" t="str">
        <f ca="1">IF(COUNTIF($E$2:E81,E81)=1,"New Customer","Returning Customer")</f>
        <v>New Customer</v>
      </c>
      <c r="G81" s="5" t="str">
        <f t="shared" ca="1" si="18"/>
        <v>Not specified</v>
      </c>
      <c r="H81" s="5" t="s">
        <v>136</v>
      </c>
      <c r="I81" s="5" t="str" cm="1">
        <f t="array" aca="1" ref="I81" ca="1">INDEX(Courses!$B$9:$B$16,RANDBETWEEN(1,8))</f>
        <v>Tax Code</v>
      </c>
      <c r="J81" s="5" t="str">
        <f ca="1">VLOOKUP(I81,Courses!$B$9:$C$16,2,0)</f>
        <v>Finance &amp; Taxation</v>
      </c>
      <c r="K81" s="7">
        <f ca="1">VLOOKUP(I81,Courses!$B$9:$D$16,3,0)</f>
        <v>59</v>
      </c>
      <c r="L81" s="5" t="str">
        <f t="shared" ca="1" si="19"/>
        <v>Pending</v>
      </c>
      <c r="M81" s="8" t="str" cm="1">
        <f t="array" aca="1" ref="M81" ca="1">INDEX('Payment Method'!$A$8:$A$12,RANDBETWEEN(1,5))</f>
        <v>Visa Debit</v>
      </c>
      <c r="N81" s="7">
        <f>IFERROR(SUMIF(Holiday!$A$8:$A$11,B81,Holiday!$C$8:$C$11),0)</f>
        <v>0</v>
      </c>
      <c r="O81" s="7">
        <f t="shared" ca="1" si="20"/>
        <v>59</v>
      </c>
      <c r="P81" s="19">
        <f t="shared" ca="1" si="21"/>
        <v>57.82</v>
      </c>
      <c r="Q81" s="7">
        <f t="shared" ca="1" si="22"/>
        <v>57.241799999999998</v>
      </c>
      <c r="R81" s="8">
        <f ca="1">VLOOKUP(M81,'Payment Method'!$A$8:$B$12,2,0)</f>
        <v>0.02</v>
      </c>
      <c r="S81" s="9">
        <f t="shared" ca="1" si="12"/>
        <v>1.1799999999999997</v>
      </c>
      <c r="T81" s="8">
        <v>0.01</v>
      </c>
      <c r="U81" s="9">
        <f t="shared" ca="1" si="13"/>
        <v>0.57820000000000249</v>
      </c>
      <c r="V81" s="7">
        <f t="shared" ca="1" si="14"/>
        <v>0</v>
      </c>
      <c r="W81" s="7">
        <f t="shared" ca="1" si="15"/>
        <v>0</v>
      </c>
      <c r="X81" s="5" t="str">
        <f t="shared" ca="1" si="23"/>
        <v>Tiktok</v>
      </c>
      <c r="Y81" s="78" t="str">
        <f>IF(COUNTIF($C$1:C80,B80)=1,10,"")</f>
        <v/>
      </c>
    </row>
    <row r="82" spans="1:25" x14ac:dyDescent="0.3">
      <c r="A82" s="75">
        <v>81</v>
      </c>
      <c r="B82" s="6">
        <v>46070</v>
      </c>
      <c r="C82" s="6">
        <v>46074</v>
      </c>
      <c r="D82" s="17" t="str">
        <f t="shared" si="16"/>
        <v>February</v>
      </c>
      <c r="E82" s="5" t="str">
        <f t="shared" ca="1" si="17"/>
        <v>STU-197</v>
      </c>
      <c r="F82" s="5" t="str">
        <f ca="1">IF(COUNTIF($E$2:E82,E82)=1,"New Customer","Returning Customer")</f>
        <v>New Customer</v>
      </c>
      <c r="G82" s="5" t="str">
        <f t="shared" ca="1" si="18"/>
        <v>Female</v>
      </c>
      <c r="H82" s="5" t="s">
        <v>141</v>
      </c>
      <c r="I82" s="5" t="str" cm="1">
        <f t="array" aca="1" ref="I82" ca="1">INDEX(Courses!$B$9:$B$16,RANDBETWEEN(1,8))</f>
        <v>Adolescent Psychology</v>
      </c>
      <c r="J82" s="5" t="str">
        <f ca="1">VLOOKUP(I82,Courses!$B$9:$C$16,2,0)</f>
        <v>Psychology</v>
      </c>
      <c r="K82" s="7">
        <f ca="1">VLOOKUP(I82,Courses!$B$9:$D$16,3,0)</f>
        <v>29</v>
      </c>
      <c r="L82" s="5" t="str">
        <f t="shared" ca="1" si="19"/>
        <v>Refunded</v>
      </c>
      <c r="M82" s="8" t="str" cm="1">
        <f t="array" aca="1" ref="M82" ca="1">INDEX('Payment Method'!$A$8:$A$12,RANDBETWEEN(1,5))</f>
        <v>Visa Debit</v>
      </c>
      <c r="N82" s="7">
        <f>IFERROR(SUMIF(Holiday!$A$8:$A$11,B82,Holiday!$C$8:$C$11),0)</f>
        <v>0</v>
      </c>
      <c r="O82" s="7">
        <f t="shared" ca="1" si="20"/>
        <v>29</v>
      </c>
      <c r="P82" s="19">
        <f t="shared" ca="1" si="21"/>
        <v>28.42</v>
      </c>
      <c r="Q82" s="7">
        <f t="shared" ca="1" si="22"/>
        <v>0</v>
      </c>
      <c r="R82" s="8">
        <f ca="1">VLOOKUP(M82,'Payment Method'!$A$8:$B$12,2,0)</f>
        <v>0.02</v>
      </c>
      <c r="S82" s="9">
        <f t="shared" ca="1" si="12"/>
        <v>0.57999999999999829</v>
      </c>
      <c r="T82" s="8">
        <v>0.01</v>
      </c>
      <c r="U82" s="9">
        <f t="shared" ca="1" si="13"/>
        <v>0.28419999999999845</v>
      </c>
      <c r="V82" s="7">
        <f t="shared" ca="1" si="14"/>
        <v>28.135800000000003</v>
      </c>
      <c r="W82" s="7">
        <f t="shared" ca="1" si="15"/>
        <v>0</v>
      </c>
      <c r="X82" s="5" t="str">
        <f t="shared" ca="1" si="23"/>
        <v>Instagram</v>
      </c>
      <c r="Y82" s="78">
        <f>IF(COUNTIF($C$1:C81,B81)=1,10,"")</f>
        <v>10</v>
      </c>
    </row>
    <row r="83" spans="1:25" x14ac:dyDescent="0.3">
      <c r="A83" s="76">
        <v>82</v>
      </c>
      <c r="B83" s="6">
        <v>46079</v>
      </c>
      <c r="C83" s="6">
        <v>46081</v>
      </c>
      <c r="D83" s="17" t="str">
        <f t="shared" si="16"/>
        <v>February</v>
      </c>
      <c r="E83" s="5" t="str">
        <f t="shared" ca="1" si="17"/>
        <v>STU-419</v>
      </c>
      <c r="F83" s="5" t="str">
        <f ca="1">IF(COUNTIF($E$2:E83,E83)=1,"New Customer","Returning Customer")</f>
        <v>New Customer</v>
      </c>
      <c r="G83" s="5" t="str">
        <f t="shared" ca="1" si="18"/>
        <v>Female</v>
      </c>
      <c r="H83" s="5" t="s">
        <v>141</v>
      </c>
      <c r="I83" s="5" t="str" cm="1">
        <f t="array" aca="1" ref="I83" ca="1">INDEX(Courses!$B$9:$B$16,RANDBETWEEN(1,8))</f>
        <v>SQL</v>
      </c>
      <c r="J83" s="5" t="str">
        <f ca="1">VLOOKUP(I83,Courses!$B$9:$C$16,2,0)</f>
        <v>Data Analytics</v>
      </c>
      <c r="K83" s="7">
        <f ca="1">VLOOKUP(I83,Courses!$B$9:$D$16,3,0)</f>
        <v>99</v>
      </c>
      <c r="L83" s="5" t="str">
        <f t="shared" ca="1" si="19"/>
        <v>Paid</v>
      </c>
      <c r="M83" s="8" t="str" cm="1">
        <f t="array" aca="1" ref="M83" ca="1">INDEX('Payment Method'!$A$8:$A$12,RANDBETWEEN(1,5))</f>
        <v>Visa Debit</v>
      </c>
      <c r="N83" s="7">
        <f>IFERROR(SUMIF(Holiday!$A$8:$A$11,B83,Holiday!$C$8:$C$11),0)</f>
        <v>0</v>
      </c>
      <c r="O83" s="7">
        <f t="shared" ca="1" si="20"/>
        <v>99</v>
      </c>
      <c r="P83" s="19">
        <f t="shared" ca="1" si="21"/>
        <v>97.02</v>
      </c>
      <c r="Q83" s="7">
        <f t="shared" ca="1" si="22"/>
        <v>0</v>
      </c>
      <c r="R83" s="8">
        <f ca="1">VLOOKUP(M83,'Payment Method'!$A$8:$B$12,2,0)</f>
        <v>0.02</v>
      </c>
      <c r="S83" s="9">
        <f t="shared" ca="1" si="12"/>
        <v>1.980000000000004</v>
      </c>
      <c r="T83" s="8">
        <v>0.01</v>
      </c>
      <c r="U83" s="9">
        <f t="shared" ca="1" si="13"/>
        <v>0.9702000000000055</v>
      </c>
      <c r="V83" s="7">
        <f t="shared" ca="1" si="14"/>
        <v>0</v>
      </c>
      <c r="W83" s="7">
        <f t="shared" ca="1" si="15"/>
        <v>96.049799999999991</v>
      </c>
      <c r="X83" s="5" t="str">
        <f t="shared" ca="1" si="23"/>
        <v>Instagram</v>
      </c>
      <c r="Y83" s="78">
        <f>IF(COUNTIF($C$1:C82,B82)=1,10,"")</f>
        <v>10</v>
      </c>
    </row>
    <row r="84" spans="1:25" x14ac:dyDescent="0.3">
      <c r="A84" s="75">
        <v>83</v>
      </c>
      <c r="B84" s="6">
        <v>46086</v>
      </c>
      <c r="C84" s="6">
        <v>46088</v>
      </c>
      <c r="D84" s="17" t="str">
        <f t="shared" si="16"/>
        <v>March</v>
      </c>
      <c r="E84" s="5" t="str">
        <f t="shared" ca="1" si="17"/>
        <v>STU-98</v>
      </c>
      <c r="F84" s="5" t="str">
        <f ca="1">IF(COUNTIF($E$2:E84,E84)=1,"New Customer","Returning Customer")</f>
        <v>New Customer</v>
      </c>
      <c r="G84" s="5" t="str">
        <f t="shared" ca="1" si="18"/>
        <v>Female</v>
      </c>
      <c r="H84" s="5" t="s">
        <v>135</v>
      </c>
      <c r="I84" s="5" t="str" cm="1">
        <f t="array" aca="1" ref="I84" ca="1">INDEX(Courses!$B$9:$B$16,RANDBETWEEN(1,8))</f>
        <v>Power BI</v>
      </c>
      <c r="J84" s="5" t="str">
        <f ca="1">VLOOKUP(I84,Courses!$B$9:$C$16,2,0)</f>
        <v>Data Analytics</v>
      </c>
      <c r="K84" s="7">
        <f ca="1">VLOOKUP(I84,Courses!$B$9:$D$16,3,0)</f>
        <v>59</v>
      </c>
      <c r="L84" s="5" t="str">
        <f t="shared" ca="1" si="19"/>
        <v>Paid</v>
      </c>
      <c r="M84" s="8" t="str" cm="1">
        <f t="array" aca="1" ref="M84" ca="1">INDEX('Payment Method'!$A$8:$A$12,RANDBETWEEN(1,5))</f>
        <v>Mastercard Credit</v>
      </c>
      <c r="N84" s="7">
        <f>IFERROR(SUMIF(Holiday!$A$8:$A$11,B84,Holiday!$C$8:$C$11),0)</f>
        <v>0</v>
      </c>
      <c r="O84" s="7">
        <f t="shared" ca="1" si="20"/>
        <v>59</v>
      </c>
      <c r="P84" s="19">
        <f t="shared" ca="1" si="21"/>
        <v>56.935000000000002</v>
      </c>
      <c r="Q84" s="7">
        <f t="shared" ca="1" si="22"/>
        <v>0</v>
      </c>
      <c r="R84" s="8">
        <f ca="1">VLOOKUP(M84,'Payment Method'!$A$8:$B$12,2,0)</f>
        <v>3.5000000000000003E-2</v>
      </c>
      <c r="S84" s="9">
        <f t="shared" ca="1" si="12"/>
        <v>2.0649999999999977</v>
      </c>
      <c r="T84" s="8">
        <v>0.01</v>
      </c>
      <c r="U84" s="9">
        <f t="shared" ca="1" si="13"/>
        <v>0.56935000000000002</v>
      </c>
      <c r="V84" s="7">
        <f t="shared" ca="1" si="14"/>
        <v>0</v>
      </c>
      <c r="W84" s="7">
        <f t="shared" ca="1" si="15"/>
        <v>56.365650000000002</v>
      </c>
      <c r="X84" s="5" t="str">
        <f t="shared" ca="1" si="23"/>
        <v>Tiktok</v>
      </c>
      <c r="Y84" s="78" t="str">
        <f>IF(COUNTIF($C$1:C83,B83)=1,10,"")</f>
        <v/>
      </c>
    </row>
    <row r="85" spans="1:25" x14ac:dyDescent="0.3">
      <c r="A85" s="76">
        <v>84</v>
      </c>
      <c r="B85" s="6">
        <v>46105</v>
      </c>
      <c r="C85" s="6">
        <v>46106</v>
      </c>
      <c r="D85" s="17" t="str">
        <f t="shared" si="16"/>
        <v>March</v>
      </c>
      <c r="E85" s="5" t="str">
        <f t="shared" ca="1" si="17"/>
        <v>STU-488</v>
      </c>
      <c r="F85" s="5" t="str">
        <f ca="1">IF(COUNTIF($E$2:E85,E85)=1,"New Customer","Returning Customer")</f>
        <v>New Customer</v>
      </c>
      <c r="G85" s="5" t="str">
        <f t="shared" ca="1" si="18"/>
        <v>Not specified</v>
      </c>
      <c r="H85" s="5" t="s">
        <v>137</v>
      </c>
      <c r="I85" s="5" t="str" cm="1">
        <f t="array" aca="1" ref="I85" ca="1">INDEX(Courses!$B$9:$B$16,RANDBETWEEN(1,8))</f>
        <v>Tax Code</v>
      </c>
      <c r="J85" s="5" t="str">
        <f ca="1">VLOOKUP(I85,Courses!$B$9:$C$16,2,0)</f>
        <v>Finance &amp; Taxation</v>
      </c>
      <c r="K85" s="7">
        <f ca="1">VLOOKUP(I85,Courses!$B$9:$D$16,3,0)</f>
        <v>59</v>
      </c>
      <c r="L85" s="5" t="str">
        <f t="shared" ca="1" si="19"/>
        <v>Paid</v>
      </c>
      <c r="M85" s="8" t="str" cm="1">
        <f t="array" aca="1" ref="M85" ca="1">INDEX('Payment Method'!$A$8:$A$12,RANDBETWEEN(1,5))</f>
        <v>Mastercard Credit</v>
      </c>
      <c r="N85" s="7">
        <f>IFERROR(SUMIF(Holiday!$A$8:$A$11,B85,Holiday!$C$8:$C$11),0)</f>
        <v>0</v>
      </c>
      <c r="O85" s="7">
        <f t="shared" ca="1" si="20"/>
        <v>59</v>
      </c>
      <c r="P85" s="19">
        <f t="shared" ca="1" si="21"/>
        <v>56.935000000000002</v>
      </c>
      <c r="Q85" s="7">
        <f t="shared" ca="1" si="22"/>
        <v>0</v>
      </c>
      <c r="R85" s="8">
        <f ca="1">VLOOKUP(M85,'Payment Method'!$A$8:$B$12,2,0)</f>
        <v>3.5000000000000003E-2</v>
      </c>
      <c r="S85" s="9">
        <f t="shared" ca="1" si="12"/>
        <v>2.0649999999999977</v>
      </c>
      <c r="T85" s="8">
        <v>0.01</v>
      </c>
      <c r="U85" s="9">
        <f t="shared" ca="1" si="13"/>
        <v>0.56935000000000002</v>
      </c>
      <c r="V85" s="7">
        <f t="shared" ca="1" si="14"/>
        <v>0</v>
      </c>
      <c r="W85" s="7">
        <f t="shared" ca="1" si="15"/>
        <v>56.365650000000002</v>
      </c>
      <c r="X85" s="5" t="str">
        <f t="shared" ca="1" si="23"/>
        <v>Facebook</v>
      </c>
      <c r="Y85" s="78" t="str">
        <f>IF(COUNTIF($C$1:C84,B84)=1,10,"")</f>
        <v/>
      </c>
    </row>
    <row r="86" spans="1:25" x14ac:dyDescent="0.3">
      <c r="A86" s="75">
        <v>85</v>
      </c>
      <c r="B86" s="6">
        <v>46134</v>
      </c>
      <c r="C86" s="6">
        <v>46136</v>
      </c>
      <c r="D86" s="17" t="str">
        <f t="shared" si="16"/>
        <v>April</v>
      </c>
      <c r="E86" s="5" t="str">
        <f t="shared" ca="1" si="17"/>
        <v>STU-348</v>
      </c>
      <c r="F86" s="5" t="str">
        <f ca="1">IF(COUNTIF($E$2:E86,E86)=1,"New Customer","Returning Customer")</f>
        <v>New Customer</v>
      </c>
      <c r="G86" s="5" t="str">
        <f t="shared" ca="1" si="18"/>
        <v>Female</v>
      </c>
      <c r="H86" s="5" t="s">
        <v>137</v>
      </c>
      <c r="I86" s="5" t="str" cm="1">
        <f t="array" aca="1" ref="I86" ca="1">INDEX(Courses!$B$9:$B$16,RANDBETWEEN(1,8))</f>
        <v>Tax Code</v>
      </c>
      <c r="J86" s="5" t="str">
        <f ca="1">VLOOKUP(I86,Courses!$B$9:$C$16,2,0)</f>
        <v>Finance &amp; Taxation</v>
      </c>
      <c r="K86" s="7">
        <f ca="1">VLOOKUP(I86,Courses!$B$9:$D$16,3,0)</f>
        <v>59</v>
      </c>
      <c r="L86" s="5" t="str">
        <f t="shared" ca="1" si="19"/>
        <v>Pending</v>
      </c>
      <c r="M86" s="8" t="str" cm="1">
        <f t="array" aca="1" ref="M86" ca="1">INDEX('Payment Method'!$A$8:$A$12,RANDBETWEEN(1,5))</f>
        <v>Bank Transfer</v>
      </c>
      <c r="N86" s="7">
        <f>IFERROR(SUMIF(Holiday!$A$8:$A$11,B86,Holiday!$C$8:$C$11),0)</f>
        <v>0</v>
      </c>
      <c r="O86" s="7">
        <f t="shared" ca="1" si="20"/>
        <v>59</v>
      </c>
      <c r="P86" s="19">
        <f t="shared" ca="1" si="21"/>
        <v>59</v>
      </c>
      <c r="Q86" s="7">
        <f t="shared" ca="1" si="22"/>
        <v>58.41</v>
      </c>
      <c r="R86" s="8">
        <f ca="1">VLOOKUP(M86,'Payment Method'!$A$8:$B$12,2,0)</f>
        <v>0</v>
      </c>
      <c r="S86" s="9">
        <f t="shared" ca="1" si="12"/>
        <v>0</v>
      </c>
      <c r="T86" s="8">
        <v>0.01</v>
      </c>
      <c r="U86" s="9">
        <f t="shared" ca="1" si="13"/>
        <v>0.59000000000000341</v>
      </c>
      <c r="V86" s="7">
        <f t="shared" ca="1" si="14"/>
        <v>0</v>
      </c>
      <c r="W86" s="7">
        <f t="shared" ca="1" si="15"/>
        <v>0</v>
      </c>
      <c r="X86" s="5" t="str">
        <f t="shared" ca="1" si="23"/>
        <v>Instagram</v>
      </c>
      <c r="Y86" s="78" t="str">
        <f>IF(COUNTIF($C$1:C85,B85)=1,10,"")</f>
        <v/>
      </c>
    </row>
    <row r="87" spans="1:25" x14ac:dyDescent="0.3">
      <c r="A87" s="76">
        <v>86</v>
      </c>
      <c r="B87" s="6">
        <v>46227</v>
      </c>
      <c r="C87" s="6">
        <v>46228</v>
      </c>
      <c r="D87" s="17" t="str">
        <f t="shared" si="16"/>
        <v>July</v>
      </c>
      <c r="E87" s="5" t="str">
        <f t="shared" ca="1" si="17"/>
        <v>STU-60</v>
      </c>
      <c r="F87" s="5" t="str">
        <f ca="1">IF(COUNTIF($E$2:E87,E87)=1,"New Customer","Returning Customer")</f>
        <v>New Customer</v>
      </c>
      <c r="G87" s="5" t="str">
        <f t="shared" ca="1" si="18"/>
        <v>Female</v>
      </c>
      <c r="H87" s="5" t="s">
        <v>139</v>
      </c>
      <c r="I87" s="5" t="str" cm="1">
        <f t="array" aca="1" ref="I87" ca="1">INDEX(Courses!$B$9:$B$16,RANDBETWEEN(1,8))</f>
        <v>PowerPoint</v>
      </c>
      <c r="J87" s="5" t="str">
        <f ca="1">VLOOKUP(I87,Courses!$B$9:$C$16,2,0)</f>
        <v>Microsoft Office</v>
      </c>
      <c r="K87" s="7">
        <f ca="1">VLOOKUP(I87,Courses!$B$9:$D$16,3,0)</f>
        <v>29</v>
      </c>
      <c r="L87" s="5" t="str">
        <f t="shared" ca="1" si="19"/>
        <v>Pending</v>
      </c>
      <c r="M87" s="8" t="str" cm="1">
        <f t="array" aca="1" ref="M87" ca="1">INDEX('Payment Method'!$A$8:$A$12,RANDBETWEEN(1,5))</f>
        <v>Visa Credit</v>
      </c>
      <c r="N87" s="7">
        <f>IFERROR(SUMIF(Holiday!$A$8:$A$11,B87,Holiday!$C$8:$C$11),0)</f>
        <v>0</v>
      </c>
      <c r="O87" s="7">
        <f t="shared" ca="1" si="20"/>
        <v>29</v>
      </c>
      <c r="P87" s="19">
        <f t="shared" ca="1" si="21"/>
        <v>27.984999999999999</v>
      </c>
      <c r="Q87" s="7">
        <f t="shared" ca="1" si="22"/>
        <v>27.70515</v>
      </c>
      <c r="R87" s="8">
        <f ca="1">VLOOKUP(M87,'Payment Method'!$A$8:$B$12,2,0)</f>
        <v>3.5000000000000003E-2</v>
      </c>
      <c r="S87" s="9">
        <f t="shared" ca="1" si="12"/>
        <v>1.0150000000000006</v>
      </c>
      <c r="T87" s="8">
        <v>0.01</v>
      </c>
      <c r="U87" s="9">
        <f t="shared" ca="1" si="13"/>
        <v>0.27984999999999971</v>
      </c>
      <c r="V87" s="7">
        <f t="shared" ca="1" si="14"/>
        <v>0</v>
      </c>
      <c r="W87" s="7">
        <f t="shared" ca="1" si="15"/>
        <v>0</v>
      </c>
      <c r="X87" s="5" t="str">
        <f t="shared" ca="1" si="23"/>
        <v>Instagram</v>
      </c>
      <c r="Y87" s="78" t="str">
        <f>IF(COUNTIF($C$1:C86,B86)=1,10,"")</f>
        <v/>
      </c>
    </row>
    <row r="88" spans="1:25" x14ac:dyDescent="0.3">
      <c r="A88" s="75">
        <v>87</v>
      </c>
      <c r="B88" s="6">
        <v>46116</v>
      </c>
      <c r="C88" s="6">
        <v>46121</v>
      </c>
      <c r="D88" s="17" t="str">
        <f t="shared" si="16"/>
        <v>April</v>
      </c>
      <c r="E88" s="5" t="str">
        <f t="shared" ca="1" si="17"/>
        <v>STU-360</v>
      </c>
      <c r="F88" s="5" t="str">
        <f ca="1">IF(COUNTIF($E$2:E88,E88)=1,"New Customer","Returning Customer")</f>
        <v>New Customer</v>
      </c>
      <c r="G88" s="5" t="str">
        <f t="shared" ca="1" si="18"/>
        <v>Female</v>
      </c>
      <c r="H88" s="5" t="s">
        <v>139</v>
      </c>
      <c r="I88" s="5" t="str" cm="1">
        <f t="array" aca="1" ref="I88" ca="1">INDEX(Courses!$B$9:$B$16,RANDBETWEEN(1,8))</f>
        <v>Complete Excel Course</v>
      </c>
      <c r="J88" s="5" t="str">
        <f ca="1">VLOOKUP(I88,Courses!$B$9:$C$16,2,0)</f>
        <v>Microsoft Office</v>
      </c>
      <c r="K88" s="7">
        <f ca="1">VLOOKUP(I88,Courses!$B$9:$D$16,3,0)</f>
        <v>59</v>
      </c>
      <c r="L88" s="5" t="str">
        <f t="shared" ca="1" si="19"/>
        <v>Paid</v>
      </c>
      <c r="M88" s="8" t="str" cm="1">
        <f t="array" aca="1" ref="M88" ca="1">INDEX('Payment Method'!$A$8:$A$12,RANDBETWEEN(1,5))</f>
        <v>Bank Transfer</v>
      </c>
      <c r="N88" s="7">
        <f>IFERROR(SUMIF(Holiday!$A$8:$A$11,B88,Holiday!$C$8:$C$11),0)</f>
        <v>0</v>
      </c>
      <c r="O88" s="7">
        <f t="shared" ca="1" si="20"/>
        <v>59</v>
      </c>
      <c r="P88" s="19">
        <f t="shared" ca="1" si="21"/>
        <v>59</v>
      </c>
      <c r="Q88" s="7">
        <f t="shared" ca="1" si="22"/>
        <v>0</v>
      </c>
      <c r="R88" s="8">
        <f ca="1">VLOOKUP(M88,'Payment Method'!$A$8:$B$12,2,0)</f>
        <v>0</v>
      </c>
      <c r="S88" s="9">
        <f t="shared" ca="1" si="12"/>
        <v>0</v>
      </c>
      <c r="T88" s="8">
        <v>0.01</v>
      </c>
      <c r="U88" s="9">
        <f t="shared" ca="1" si="13"/>
        <v>0.59000000000000341</v>
      </c>
      <c r="V88" s="7">
        <f t="shared" ca="1" si="14"/>
        <v>0</v>
      </c>
      <c r="W88" s="7">
        <f t="shared" ca="1" si="15"/>
        <v>58.41</v>
      </c>
      <c r="X88" s="5" t="str">
        <f t="shared" ca="1" si="23"/>
        <v>Tiktok</v>
      </c>
      <c r="Y88" s="78" t="str">
        <f>IF(COUNTIF($C$1:C87,B87)=1,10,"")</f>
        <v/>
      </c>
    </row>
    <row r="89" spans="1:25" x14ac:dyDescent="0.3">
      <c r="A89" s="76">
        <v>88</v>
      </c>
      <c r="B89" s="6">
        <v>46147</v>
      </c>
      <c r="C89" s="6">
        <v>46148</v>
      </c>
      <c r="D89" s="17" t="str">
        <f t="shared" si="16"/>
        <v>May</v>
      </c>
      <c r="E89" s="5" t="str">
        <f t="shared" ca="1" si="17"/>
        <v>STU-55</v>
      </c>
      <c r="F89" s="5" t="str">
        <f ca="1">IF(COUNTIF($E$2:E89,E89)=1,"New Customer","Returning Customer")</f>
        <v>New Customer</v>
      </c>
      <c r="G89" s="5" t="str">
        <f t="shared" ca="1" si="18"/>
        <v>Male</v>
      </c>
      <c r="H89" s="5" t="s">
        <v>135</v>
      </c>
      <c r="I89" s="5" t="str" cm="1">
        <f t="array" aca="1" ref="I89" ca="1">INDEX(Courses!$B$9:$B$16,RANDBETWEEN(1,8))</f>
        <v>PowerPoint</v>
      </c>
      <c r="J89" s="5" t="str">
        <f ca="1">VLOOKUP(I89,Courses!$B$9:$C$16,2,0)</f>
        <v>Microsoft Office</v>
      </c>
      <c r="K89" s="7">
        <f ca="1">VLOOKUP(I89,Courses!$B$9:$D$16,3,0)</f>
        <v>29</v>
      </c>
      <c r="L89" s="5" t="str">
        <f t="shared" ca="1" si="19"/>
        <v>Refunded</v>
      </c>
      <c r="M89" s="8" t="str" cm="1">
        <f t="array" aca="1" ref="M89" ca="1">INDEX('Payment Method'!$A$8:$A$12,RANDBETWEEN(1,5))</f>
        <v>Visa Debit</v>
      </c>
      <c r="N89" s="7">
        <f>IFERROR(SUMIF(Holiday!$A$8:$A$11,B89,Holiday!$C$8:$C$11),0)</f>
        <v>0</v>
      </c>
      <c r="O89" s="7">
        <f t="shared" ca="1" si="20"/>
        <v>29</v>
      </c>
      <c r="P89" s="19">
        <f t="shared" ca="1" si="21"/>
        <v>28.42</v>
      </c>
      <c r="Q89" s="7">
        <f t="shared" ca="1" si="22"/>
        <v>0</v>
      </c>
      <c r="R89" s="8">
        <f ca="1">VLOOKUP(M89,'Payment Method'!$A$8:$B$12,2,0)</f>
        <v>0.02</v>
      </c>
      <c r="S89" s="9">
        <f t="shared" ca="1" si="12"/>
        <v>0.57999999999999829</v>
      </c>
      <c r="T89" s="8">
        <v>0.01</v>
      </c>
      <c r="U89" s="9">
        <f t="shared" ca="1" si="13"/>
        <v>0.28419999999999845</v>
      </c>
      <c r="V89" s="7">
        <f t="shared" ca="1" si="14"/>
        <v>28.135800000000003</v>
      </c>
      <c r="W89" s="7">
        <f t="shared" ca="1" si="15"/>
        <v>0</v>
      </c>
      <c r="X89" s="5" t="str">
        <f t="shared" ca="1" si="23"/>
        <v>Instagram</v>
      </c>
      <c r="Y89" s="78">
        <f>IF(COUNTIF($C$1:C88,B88)=1,10,"")</f>
        <v>10</v>
      </c>
    </row>
    <row r="90" spans="1:25" x14ac:dyDescent="0.3">
      <c r="A90" s="75">
        <v>89</v>
      </c>
      <c r="B90" s="6">
        <v>46100</v>
      </c>
      <c r="C90" s="6">
        <v>46103</v>
      </c>
      <c r="D90" s="17" t="str">
        <f t="shared" si="16"/>
        <v>March</v>
      </c>
      <c r="E90" s="5" t="str">
        <f t="shared" ca="1" si="17"/>
        <v>STU-984</v>
      </c>
      <c r="F90" s="5" t="str">
        <f ca="1">IF(COUNTIF($E$2:E90,E90)=1,"New Customer","Returning Customer")</f>
        <v>New Customer</v>
      </c>
      <c r="G90" s="5" t="str">
        <f t="shared" ca="1" si="18"/>
        <v>Female</v>
      </c>
      <c r="H90" s="5" t="s">
        <v>139</v>
      </c>
      <c r="I90" s="5" t="str" cm="1">
        <f t="array" aca="1" ref="I90" ca="1">INDEX(Courses!$B$9:$B$16,RANDBETWEEN(1,8))</f>
        <v>Complete Excel Course</v>
      </c>
      <c r="J90" s="5" t="str">
        <f ca="1">VLOOKUP(I90,Courses!$B$9:$C$16,2,0)</f>
        <v>Microsoft Office</v>
      </c>
      <c r="K90" s="7">
        <f ca="1">VLOOKUP(I90,Courses!$B$9:$D$16,3,0)</f>
        <v>59</v>
      </c>
      <c r="L90" s="5" t="str">
        <f t="shared" ca="1" si="19"/>
        <v>Paid</v>
      </c>
      <c r="M90" s="8" t="str" cm="1">
        <f t="array" aca="1" ref="M90" ca="1">INDEX('Payment Method'!$A$8:$A$12,RANDBETWEEN(1,5))</f>
        <v>Visa Debit</v>
      </c>
      <c r="N90" s="7">
        <f>IFERROR(SUMIF(Holiday!$A$8:$A$11,B90,Holiday!$C$8:$C$11),0)</f>
        <v>0</v>
      </c>
      <c r="O90" s="7">
        <f t="shared" ca="1" si="20"/>
        <v>59</v>
      </c>
      <c r="P90" s="19">
        <f t="shared" ca="1" si="21"/>
        <v>57.82</v>
      </c>
      <c r="Q90" s="7">
        <f t="shared" ca="1" si="22"/>
        <v>0</v>
      </c>
      <c r="R90" s="8">
        <f ca="1">VLOOKUP(M90,'Payment Method'!$A$8:$B$12,2,0)</f>
        <v>0.02</v>
      </c>
      <c r="S90" s="9">
        <f t="shared" ca="1" si="12"/>
        <v>1.1799999999999997</v>
      </c>
      <c r="T90" s="8">
        <v>0.01</v>
      </c>
      <c r="U90" s="9">
        <f t="shared" ca="1" si="13"/>
        <v>0.57820000000000249</v>
      </c>
      <c r="V90" s="7">
        <f t="shared" ca="1" si="14"/>
        <v>0</v>
      </c>
      <c r="W90" s="7">
        <f t="shared" ca="1" si="15"/>
        <v>57.241799999999998</v>
      </c>
      <c r="X90" s="5" t="str">
        <f t="shared" ca="1" si="23"/>
        <v>Tiktok</v>
      </c>
      <c r="Y90" s="78">
        <f>IF(COUNTIF($C$1:C89,B89)=1,10,"")</f>
        <v>10</v>
      </c>
    </row>
    <row r="91" spans="1:25" x14ac:dyDescent="0.3">
      <c r="A91" s="76">
        <v>90</v>
      </c>
      <c r="B91" s="6">
        <v>46068</v>
      </c>
      <c r="C91" s="6">
        <v>46071</v>
      </c>
      <c r="D91" s="17" t="str">
        <f t="shared" si="16"/>
        <v>February</v>
      </c>
      <c r="E91" s="5" t="str">
        <f t="shared" ca="1" si="17"/>
        <v>STU-363</v>
      </c>
      <c r="F91" s="5" t="str">
        <f ca="1">IF(COUNTIF($E$2:E91,E91)=1,"New Customer","Returning Customer")</f>
        <v>New Customer</v>
      </c>
      <c r="G91" s="5" t="str">
        <f t="shared" ca="1" si="18"/>
        <v>Male</v>
      </c>
      <c r="H91" s="5" t="s">
        <v>140</v>
      </c>
      <c r="I91" s="5" t="str" cm="1">
        <f t="array" aca="1" ref="I91" ca="1">INDEX(Courses!$B$9:$B$16,RANDBETWEEN(1,8))</f>
        <v>SQL</v>
      </c>
      <c r="J91" s="5" t="str">
        <f ca="1">VLOOKUP(I91,Courses!$B$9:$C$16,2,0)</f>
        <v>Data Analytics</v>
      </c>
      <c r="K91" s="7">
        <f ca="1">VLOOKUP(I91,Courses!$B$9:$D$16,3,0)</f>
        <v>99</v>
      </c>
      <c r="L91" s="5" t="str">
        <f t="shared" ca="1" si="19"/>
        <v>Paid</v>
      </c>
      <c r="M91" s="8" t="str" cm="1">
        <f t="array" aca="1" ref="M91" ca="1">INDEX('Payment Method'!$A$8:$A$12,RANDBETWEEN(1,5))</f>
        <v>Visa Debit</v>
      </c>
      <c r="N91" s="7">
        <f>IFERROR(SUMIF(Holiday!$A$8:$A$11,B91,Holiday!$C$8:$C$11),0)</f>
        <v>0</v>
      </c>
      <c r="O91" s="7">
        <f t="shared" ca="1" si="20"/>
        <v>99</v>
      </c>
      <c r="P91" s="19">
        <f t="shared" ca="1" si="21"/>
        <v>97.02</v>
      </c>
      <c r="Q91" s="7">
        <f t="shared" ca="1" si="22"/>
        <v>0</v>
      </c>
      <c r="R91" s="8">
        <f ca="1">VLOOKUP(M91,'Payment Method'!$A$8:$B$12,2,0)</f>
        <v>0.02</v>
      </c>
      <c r="S91" s="9">
        <f t="shared" ca="1" si="12"/>
        <v>1.980000000000004</v>
      </c>
      <c r="T91" s="8">
        <v>0.01</v>
      </c>
      <c r="U91" s="9">
        <f t="shared" ca="1" si="13"/>
        <v>0.9702000000000055</v>
      </c>
      <c r="V91" s="7">
        <f t="shared" ca="1" si="14"/>
        <v>0</v>
      </c>
      <c r="W91" s="7">
        <f t="shared" ca="1" si="15"/>
        <v>96.049799999999991</v>
      </c>
      <c r="X91" s="5" t="str">
        <f t="shared" ca="1" si="23"/>
        <v>Instagram</v>
      </c>
      <c r="Y91" s="78" t="str">
        <f>IF(COUNTIF($C$1:C90,B90)=1,10,"")</f>
        <v/>
      </c>
    </row>
    <row r="92" spans="1:25" x14ac:dyDescent="0.3">
      <c r="A92" s="75">
        <v>91</v>
      </c>
      <c r="B92" s="6">
        <v>46057</v>
      </c>
      <c r="C92" s="6">
        <v>46062</v>
      </c>
      <c r="D92" s="17" t="str">
        <f t="shared" si="16"/>
        <v>February</v>
      </c>
      <c r="E92" s="5" t="str">
        <f t="shared" ca="1" si="17"/>
        <v>STU-934</v>
      </c>
      <c r="F92" s="5" t="str">
        <f ca="1">IF(COUNTIF($E$2:E92,E92)=1,"New Customer","Returning Customer")</f>
        <v>New Customer</v>
      </c>
      <c r="G92" s="5" t="str">
        <f t="shared" ca="1" si="18"/>
        <v>Not specified</v>
      </c>
      <c r="H92" s="5" t="s">
        <v>142</v>
      </c>
      <c r="I92" s="5" t="str" cm="1">
        <f t="array" aca="1" ref="I92" ca="1">INDEX(Courses!$B$9:$B$16,RANDBETWEEN(1,8))</f>
        <v>SQL</v>
      </c>
      <c r="J92" s="5" t="str">
        <f ca="1">VLOOKUP(I92,Courses!$B$9:$C$16,2,0)</f>
        <v>Data Analytics</v>
      </c>
      <c r="K92" s="7">
        <f ca="1">VLOOKUP(I92,Courses!$B$9:$D$16,3,0)</f>
        <v>99</v>
      </c>
      <c r="L92" s="5" t="str">
        <f t="shared" ca="1" si="19"/>
        <v>Paid</v>
      </c>
      <c r="M92" s="8" t="str" cm="1">
        <f t="array" aca="1" ref="M92" ca="1">INDEX('Payment Method'!$A$8:$A$12,RANDBETWEEN(1,5))</f>
        <v>Mastercard Credit</v>
      </c>
      <c r="N92" s="7">
        <f>IFERROR(SUMIF(Holiday!$A$8:$A$11,B92,Holiday!$C$8:$C$11),0)</f>
        <v>0</v>
      </c>
      <c r="O92" s="7">
        <f t="shared" ca="1" si="20"/>
        <v>99</v>
      </c>
      <c r="P92" s="19">
        <f t="shared" ca="1" si="21"/>
        <v>95.534999999999997</v>
      </c>
      <c r="Q92" s="7">
        <f t="shared" ca="1" si="22"/>
        <v>0</v>
      </c>
      <c r="R92" s="8">
        <f ca="1">VLOOKUP(M92,'Payment Method'!$A$8:$B$12,2,0)</f>
        <v>3.5000000000000003E-2</v>
      </c>
      <c r="S92" s="9">
        <f t="shared" ca="1" si="12"/>
        <v>3.4650000000000034</v>
      </c>
      <c r="T92" s="8">
        <v>0.01</v>
      </c>
      <c r="U92" s="9">
        <f t="shared" ca="1" si="13"/>
        <v>0.9553499999999957</v>
      </c>
      <c r="V92" s="7">
        <f t="shared" ca="1" si="14"/>
        <v>0</v>
      </c>
      <c r="W92" s="7">
        <f t="shared" ca="1" si="15"/>
        <v>94.579650000000001</v>
      </c>
      <c r="X92" s="5" t="str">
        <f t="shared" ca="1" si="23"/>
        <v>Instagram</v>
      </c>
      <c r="Y92" s="78" t="str">
        <f>IF(COUNTIF($C$1:C91,B91)=1,10,"")</f>
        <v/>
      </c>
    </row>
    <row r="93" spans="1:25" x14ac:dyDescent="0.3">
      <c r="A93" s="76">
        <v>92</v>
      </c>
      <c r="B93" s="6">
        <v>46188</v>
      </c>
      <c r="C93" s="6">
        <v>46192</v>
      </c>
      <c r="D93" s="17" t="str">
        <f t="shared" si="16"/>
        <v>June</v>
      </c>
      <c r="E93" s="5" t="str">
        <f t="shared" ca="1" si="17"/>
        <v>STU-662</v>
      </c>
      <c r="F93" s="5" t="str">
        <f ca="1">IF(COUNTIF($E$2:E93,E93)=1,"New Customer","Returning Customer")</f>
        <v>New Customer</v>
      </c>
      <c r="G93" s="5" t="str">
        <f t="shared" ca="1" si="18"/>
        <v>Not specified</v>
      </c>
      <c r="H93" s="5" t="s">
        <v>137</v>
      </c>
      <c r="I93" s="5" t="str" cm="1">
        <f t="array" aca="1" ref="I93" ca="1">INDEX(Courses!$B$9:$B$16,RANDBETWEEN(1,8))</f>
        <v>Adolescent Psychology</v>
      </c>
      <c r="J93" s="5" t="str">
        <f ca="1">VLOOKUP(I93,Courses!$B$9:$C$16,2,0)</f>
        <v>Psychology</v>
      </c>
      <c r="K93" s="7">
        <f ca="1">VLOOKUP(I93,Courses!$B$9:$D$16,3,0)</f>
        <v>29</v>
      </c>
      <c r="L93" s="5" t="str">
        <f t="shared" ca="1" si="19"/>
        <v>Paid</v>
      </c>
      <c r="M93" s="8" t="str" cm="1">
        <f t="array" aca="1" ref="M93" ca="1">INDEX('Payment Method'!$A$8:$A$12,RANDBETWEEN(1,5))</f>
        <v>Bank Transfer</v>
      </c>
      <c r="N93" s="7">
        <f>IFERROR(SUMIF(Holiday!$A$8:$A$11,B93,Holiday!$C$8:$C$11),0)</f>
        <v>0</v>
      </c>
      <c r="O93" s="7">
        <f t="shared" ca="1" si="20"/>
        <v>29</v>
      </c>
      <c r="P93" s="19">
        <f t="shared" ca="1" si="21"/>
        <v>29</v>
      </c>
      <c r="Q93" s="7">
        <f t="shared" ca="1" si="22"/>
        <v>0</v>
      </c>
      <c r="R93" s="8">
        <f ca="1">VLOOKUP(M93,'Payment Method'!$A$8:$B$12,2,0)</f>
        <v>0</v>
      </c>
      <c r="S93" s="9">
        <f t="shared" ca="1" si="12"/>
        <v>0</v>
      </c>
      <c r="T93" s="8">
        <v>0.01</v>
      </c>
      <c r="U93" s="9">
        <f t="shared" ca="1" si="13"/>
        <v>0.28999999999999915</v>
      </c>
      <c r="V93" s="7">
        <f t="shared" ca="1" si="14"/>
        <v>0</v>
      </c>
      <c r="W93" s="7">
        <f t="shared" ca="1" si="15"/>
        <v>28.71</v>
      </c>
      <c r="X93" s="5" t="str">
        <f t="shared" ca="1" si="23"/>
        <v>Facebook</v>
      </c>
      <c r="Y93" s="78" t="str">
        <f>IF(COUNTIF($C$1:C92,B92)=1,10,"")</f>
        <v/>
      </c>
    </row>
    <row r="94" spans="1:25" x14ac:dyDescent="0.3">
      <c r="A94" s="75">
        <v>93</v>
      </c>
      <c r="B94" s="6">
        <v>46029</v>
      </c>
      <c r="C94" s="6">
        <v>46031</v>
      </c>
      <c r="D94" s="17" t="str">
        <f t="shared" si="16"/>
        <v>January</v>
      </c>
      <c r="E94" s="5" t="str">
        <f t="shared" ca="1" si="17"/>
        <v>STU-442</v>
      </c>
      <c r="F94" s="5" t="str">
        <f ca="1">IF(COUNTIF($E$2:E94,E94)=1,"New Customer","Returning Customer")</f>
        <v>New Customer</v>
      </c>
      <c r="G94" s="5" t="str">
        <f t="shared" ca="1" si="18"/>
        <v>Female</v>
      </c>
      <c r="H94" s="5" t="s">
        <v>137</v>
      </c>
      <c r="I94" s="5" t="str" cm="1">
        <f t="array" aca="1" ref="I94" ca="1">INDEX(Courses!$B$9:$B$16,RANDBETWEEN(1,8))</f>
        <v>Power BI</v>
      </c>
      <c r="J94" s="5" t="str">
        <f ca="1">VLOOKUP(I94,Courses!$B$9:$C$16,2,0)</f>
        <v>Data Analytics</v>
      </c>
      <c r="K94" s="7">
        <f ca="1">VLOOKUP(I94,Courses!$B$9:$D$16,3,0)</f>
        <v>59</v>
      </c>
      <c r="L94" s="5" t="str">
        <f t="shared" ca="1" si="19"/>
        <v>Paid</v>
      </c>
      <c r="M94" s="8" t="str" cm="1">
        <f t="array" aca="1" ref="M94" ca="1">INDEX('Payment Method'!$A$8:$A$12,RANDBETWEEN(1,5))</f>
        <v>Visa Credit</v>
      </c>
      <c r="N94" s="7">
        <f>IFERROR(SUMIF(Holiday!$A$8:$A$11,B94,Holiday!$C$8:$C$11),0)</f>
        <v>0</v>
      </c>
      <c r="O94" s="7">
        <f t="shared" ca="1" si="20"/>
        <v>59</v>
      </c>
      <c r="P94" s="19">
        <f t="shared" ca="1" si="21"/>
        <v>56.935000000000002</v>
      </c>
      <c r="Q94" s="7">
        <f t="shared" ca="1" si="22"/>
        <v>0</v>
      </c>
      <c r="R94" s="8">
        <f ca="1">VLOOKUP(M94,'Payment Method'!$A$8:$B$12,2,0)</f>
        <v>3.5000000000000003E-2</v>
      </c>
      <c r="S94" s="9">
        <f t="shared" ca="1" si="12"/>
        <v>2.0649999999999977</v>
      </c>
      <c r="T94" s="8">
        <v>0.01</v>
      </c>
      <c r="U94" s="9">
        <f t="shared" ca="1" si="13"/>
        <v>0.56935000000000002</v>
      </c>
      <c r="V94" s="7">
        <f t="shared" ca="1" si="14"/>
        <v>0</v>
      </c>
      <c r="W94" s="7">
        <f t="shared" ca="1" si="15"/>
        <v>56.365650000000002</v>
      </c>
      <c r="X94" s="5" t="str">
        <f t="shared" ca="1" si="23"/>
        <v>Tiktok</v>
      </c>
      <c r="Y94" s="78">
        <f>IF(COUNTIF($C$1:C93,B93)=1,10,"")</f>
        <v>10</v>
      </c>
    </row>
    <row r="95" spans="1:25" x14ac:dyDescent="0.3">
      <c r="A95" s="76">
        <v>94</v>
      </c>
      <c r="B95" s="6">
        <v>46039</v>
      </c>
      <c r="C95" s="6">
        <v>46041</v>
      </c>
      <c r="D95" s="17" t="str">
        <f t="shared" si="16"/>
        <v>January</v>
      </c>
      <c r="E95" s="5" t="str">
        <f t="shared" ca="1" si="17"/>
        <v>STU-81</v>
      </c>
      <c r="F95" s="5" t="str">
        <f ca="1">IF(COUNTIF($E$2:E95,E95)=1,"New Customer","Returning Customer")</f>
        <v>New Customer</v>
      </c>
      <c r="G95" s="5" t="str">
        <f t="shared" ca="1" si="18"/>
        <v>Male</v>
      </c>
      <c r="H95" s="5" t="s">
        <v>135</v>
      </c>
      <c r="I95" s="5" t="str" cm="1">
        <f t="array" aca="1" ref="I95" ca="1">INDEX(Courses!$B$9:$B$16,RANDBETWEEN(1,8))</f>
        <v>SQL</v>
      </c>
      <c r="J95" s="5" t="str">
        <f ca="1">VLOOKUP(I95,Courses!$B$9:$C$16,2,0)</f>
        <v>Data Analytics</v>
      </c>
      <c r="K95" s="7">
        <f ca="1">VLOOKUP(I95,Courses!$B$9:$D$16,3,0)</f>
        <v>99</v>
      </c>
      <c r="L95" s="5" t="str">
        <f t="shared" ca="1" si="19"/>
        <v>Paid</v>
      </c>
      <c r="M95" s="8" t="str" cm="1">
        <f t="array" aca="1" ref="M95" ca="1">INDEX('Payment Method'!$A$8:$A$12,RANDBETWEEN(1,5))</f>
        <v>Mastercard Credit</v>
      </c>
      <c r="N95" s="7">
        <f>IFERROR(SUMIF(Holiday!$A$8:$A$11,B95,Holiday!$C$8:$C$11),0)</f>
        <v>0</v>
      </c>
      <c r="O95" s="7">
        <f t="shared" ca="1" si="20"/>
        <v>99</v>
      </c>
      <c r="P95" s="19">
        <f t="shared" ca="1" si="21"/>
        <v>95.534999999999997</v>
      </c>
      <c r="Q95" s="7">
        <f t="shared" ca="1" si="22"/>
        <v>0</v>
      </c>
      <c r="R95" s="8">
        <f ca="1">VLOOKUP(M95,'Payment Method'!$A$8:$B$12,2,0)</f>
        <v>3.5000000000000003E-2</v>
      </c>
      <c r="S95" s="9">
        <f t="shared" ca="1" si="12"/>
        <v>3.4650000000000034</v>
      </c>
      <c r="T95" s="8">
        <v>0.01</v>
      </c>
      <c r="U95" s="9">
        <f t="shared" ca="1" si="13"/>
        <v>0.9553499999999957</v>
      </c>
      <c r="V95" s="7">
        <f t="shared" ca="1" si="14"/>
        <v>0</v>
      </c>
      <c r="W95" s="7">
        <f t="shared" ca="1" si="15"/>
        <v>94.579650000000001</v>
      </c>
      <c r="X95" s="5" t="str">
        <f t="shared" ca="1" si="23"/>
        <v>Instagram</v>
      </c>
      <c r="Y95" s="78">
        <f>IF(COUNTIF($C$1:C94,B94)=1,10,"")</f>
        <v>10</v>
      </c>
    </row>
    <row r="96" spans="1:25" x14ac:dyDescent="0.3">
      <c r="A96" s="75">
        <v>95</v>
      </c>
      <c r="B96" s="6">
        <v>46092</v>
      </c>
      <c r="C96" s="6">
        <v>46093</v>
      </c>
      <c r="D96" s="17" t="str">
        <f t="shared" si="16"/>
        <v>March</v>
      </c>
      <c r="E96" s="5" t="str">
        <f t="shared" ca="1" si="17"/>
        <v>STU-355</v>
      </c>
      <c r="F96" s="5" t="str">
        <f ca="1">IF(COUNTIF($E$2:E96,E96)=1,"New Customer","Returning Customer")</f>
        <v>New Customer</v>
      </c>
      <c r="G96" s="5" t="str">
        <f t="shared" ca="1" si="18"/>
        <v>Female</v>
      </c>
      <c r="H96" s="5" t="s">
        <v>140</v>
      </c>
      <c r="I96" s="5" t="str" cm="1">
        <f t="array" aca="1" ref="I96" ca="1">INDEX(Courses!$B$9:$B$16,RANDBETWEEN(1,8))</f>
        <v>Adolescent Psychology</v>
      </c>
      <c r="J96" s="5" t="str">
        <f ca="1">VLOOKUP(I96,Courses!$B$9:$C$16,2,0)</f>
        <v>Psychology</v>
      </c>
      <c r="K96" s="7">
        <f ca="1">VLOOKUP(I96,Courses!$B$9:$D$16,3,0)</f>
        <v>29</v>
      </c>
      <c r="L96" s="5" t="str">
        <f t="shared" ca="1" si="19"/>
        <v>Paid</v>
      </c>
      <c r="M96" s="8" t="str" cm="1">
        <f t="array" aca="1" ref="M96" ca="1">INDEX('Payment Method'!$A$8:$A$12,RANDBETWEEN(1,5))</f>
        <v>Visa Debit</v>
      </c>
      <c r="N96" s="7">
        <f>IFERROR(SUMIF(Holiday!$A$8:$A$11,B96,Holiday!$C$8:$C$11),0)</f>
        <v>0</v>
      </c>
      <c r="O96" s="7">
        <f t="shared" ca="1" si="20"/>
        <v>29</v>
      </c>
      <c r="P96" s="19">
        <f t="shared" ca="1" si="21"/>
        <v>28.42</v>
      </c>
      <c r="Q96" s="7">
        <f t="shared" ca="1" si="22"/>
        <v>0</v>
      </c>
      <c r="R96" s="8">
        <f ca="1">VLOOKUP(M96,'Payment Method'!$A$8:$B$12,2,0)</f>
        <v>0.02</v>
      </c>
      <c r="S96" s="9">
        <f t="shared" ca="1" si="12"/>
        <v>0.57999999999999829</v>
      </c>
      <c r="T96" s="8">
        <v>0.01</v>
      </c>
      <c r="U96" s="9">
        <f t="shared" ca="1" si="13"/>
        <v>0.28419999999999845</v>
      </c>
      <c r="V96" s="7">
        <f t="shared" ca="1" si="14"/>
        <v>0</v>
      </c>
      <c r="W96" s="7">
        <f t="shared" ca="1" si="15"/>
        <v>28.135800000000003</v>
      </c>
      <c r="X96" s="5" t="str">
        <f t="shared" ca="1" si="23"/>
        <v>Facebook</v>
      </c>
      <c r="Y96" s="78" t="str">
        <f>IF(COUNTIF($C$1:C95,B95)=1,10,"")</f>
        <v/>
      </c>
    </row>
    <row r="97" spans="1:25" x14ac:dyDescent="0.3">
      <c r="A97" s="76">
        <v>96</v>
      </c>
      <c r="B97" s="6">
        <v>46161</v>
      </c>
      <c r="C97" s="6">
        <v>46162</v>
      </c>
      <c r="D97" s="17" t="str">
        <f t="shared" si="16"/>
        <v>May</v>
      </c>
      <c r="E97" s="5" t="str">
        <f t="shared" ca="1" si="17"/>
        <v>STU-758</v>
      </c>
      <c r="F97" s="5" t="str">
        <f ca="1">IF(COUNTIF($E$2:E97,E97)=1,"New Customer","Returning Customer")</f>
        <v>New Customer</v>
      </c>
      <c r="G97" s="5" t="str">
        <f t="shared" ca="1" si="18"/>
        <v>Not specified</v>
      </c>
      <c r="H97" s="5" t="s">
        <v>140</v>
      </c>
      <c r="I97" s="5" t="str" cm="1">
        <f t="array" aca="1" ref="I97" ca="1">INDEX(Courses!$B$9:$B$16,RANDBETWEEN(1,8))</f>
        <v>Power BI</v>
      </c>
      <c r="J97" s="5" t="str">
        <f ca="1">VLOOKUP(I97,Courses!$B$9:$C$16,2,0)</f>
        <v>Data Analytics</v>
      </c>
      <c r="K97" s="7">
        <f ca="1">VLOOKUP(I97,Courses!$B$9:$D$16,3,0)</f>
        <v>59</v>
      </c>
      <c r="L97" s="5" t="str">
        <f t="shared" ca="1" si="19"/>
        <v>Paid</v>
      </c>
      <c r="M97" s="8" t="str" cm="1">
        <f t="array" aca="1" ref="M97" ca="1">INDEX('Payment Method'!$A$8:$A$12,RANDBETWEEN(1,5))</f>
        <v>Visa Debit</v>
      </c>
      <c r="N97" s="7">
        <f>IFERROR(SUMIF(Holiday!$A$8:$A$11,B97,Holiday!$C$8:$C$11),0)</f>
        <v>0</v>
      </c>
      <c r="O97" s="7">
        <f t="shared" ca="1" si="20"/>
        <v>59</v>
      </c>
      <c r="P97" s="19">
        <f t="shared" ca="1" si="21"/>
        <v>57.82</v>
      </c>
      <c r="Q97" s="7">
        <f t="shared" ca="1" si="22"/>
        <v>0</v>
      </c>
      <c r="R97" s="8">
        <f ca="1">VLOOKUP(M97,'Payment Method'!$A$8:$B$12,2,0)</f>
        <v>0.02</v>
      </c>
      <c r="S97" s="9">
        <f t="shared" ca="1" si="12"/>
        <v>1.1799999999999997</v>
      </c>
      <c r="T97" s="8">
        <v>0.01</v>
      </c>
      <c r="U97" s="9">
        <f t="shared" ca="1" si="13"/>
        <v>0.57820000000000249</v>
      </c>
      <c r="V97" s="7">
        <f t="shared" ca="1" si="14"/>
        <v>0</v>
      </c>
      <c r="W97" s="7">
        <f t="shared" ca="1" si="15"/>
        <v>57.241799999999998</v>
      </c>
      <c r="X97" s="5" t="str">
        <f t="shared" ca="1" si="23"/>
        <v>Tiktok</v>
      </c>
      <c r="Y97" s="78" t="str">
        <f>IF(COUNTIF($C$1:C96,B96)=1,10,"")</f>
        <v/>
      </c>
    </row>
    <row r="98" spans="1:25" x14ac:dyDescent="0.3">
      <c r="A98" s="75">
        <v>97</v>
      </c>
      <c r="B98" s="6">
        <v>46121</v>
      </c>
      <c r="C98" s="6">
        <v>46126</v>
      </c>
      <c r="D98" s="17" t="str">
        <f t="shared" si="16"/>
        <v>April</v>
      </c>
      <c r="E98" s="5" t="str">
        <f t="shared" ca="1" si="17"/>
        <v>STU-370</v>
      </c>
      <c r="F98" s="5" t="str">
        <f ca="1">IF(COUNTIF($E$2:E98,E98)=1,"New Customer","Returning Customer")</f>
        <v>New Customer</v>
      </c>
      <c r="G98" s="5" t="str">
        <f t="shared" ca="1" si="18"/>
        <v>Male</v>
      </c>
      <c r="H98" s="5" t="s">
        <v>135</v>
      </c>
      <c r="I98" s="5" t="str" cm="1">
        <f t="array" aca="1" ref="I98" ca="1">INDEX(Courses!$B$9:$B$16,RANDBETWEEN(1,8))</f>
        <v>Adolescent Psychology</v>
      </c>
      <c r="J98" s="5" t="str">
        <f ca="1">VLOOKUP(I98,Courses!$B$9:$C$16,2,0)</f>
        <v>Psychology</v>
      </c>
      <c r="K98" s="7">
        <f ca="1">VLOOKUP(I98,Courses!$B$9:$D$16,3,0)</f>
        <v>29</v>
      </c>
      <c r="L98" s="5" t="str">
        <f t="shared" ca="1" si="19"/>
        <v>Paid</v>
      </c>
      <c r="M98" s="8" t="str" cm="1">
        <f t="array" aca="1" ref="M98" ca="1">INDEX('Payment Method'!$A$8:$A$12,RANDBETWEEN(1,5))</f>
        <v>Mastercard Credit</v>
      </c>
      <c r="N98" s="7">
        <f>IFERROR(SUMIF(Holiday!$A$8:$A$11,B98,Holiday!$C$8:$C$11),0)</f>
        <v>0</v>
      </c>
      <c r="O98" s="7">
        <f t="shared" ca="1" si="20"/>
        <v>29</v>
      </c>
      <c r="P98" s="19">
        <f t="shared" ca="1" si="21"/>
        <v>27.984999999999999</v>
      </c>
      <c r="Q98" s="7">
        <f t="shared" ca="1" si="22"/>
        <v>0</v>
      </c>
      <c r="R98" s="8">
        <f ca="1">VLOOKUP(M98,'Payment Method'!$A$8:$B$12,2,0)</f>
        <v>3.5000000000000003E-2</v>
      </c>
      <c r="S98" s="9">
        <f t="shared" ca="1" si="12"/>
        <v>1.0150000000000006</v>
      </c>
      <c r="T98" s="8">
        <v>0.01</v>
      </c>
      <c r="U98" s="9">
        <f t="shared" ca="1" si="13"/>
        <v>0.27984999999999971</v>
      </c>
      <c r="V98" s="7">
        <f t="shared" ca="1" si="14"/>
        <v>0</v>
      </c>
      <c r="W98" s="7">
        <f t="shared" ca="1" si="15"/>
        <v>27.70515</v>
      </c>
      <c r="X98" s="5" t="str">
        <f t="shared" ca="1" si="23"/>
        <v>Tiktok</v>
      </c>
      <c r="Y98" s="78">
        <f>IF(COUNTIF($C$1:C97,B97)=1,10,"")</f>
        <v>10</v>
      </c>
    </row>
    <row r="99" spans="1:25" x14ac:dyDescent="0.3">
      <c r="A99" s="76">
        <v>98</v>
      </c>
      <c r="B99" s="6">
        <v>46108</v>
      </c>
      <c r="C99" s="6">
        <v>46111</v>
      </c>
      <c r="D99" s="17" t="str">
        <f t="shared" si="16"/>
        <v>March</v>
      </c>
      <c r="E99" s="5" t="str">
        <f t="shared" ca="1" si="17"/>
        <v>STU-956</v>
      </c>
      <c r="F99" s="5" t="str">
        <f ca="1">IF(COUNTIF($E$2:E99,E99)=1,"New Customer","Returning Customer")</f>
        <v>New Customer</v>
      </c>
      <c r="G99" s="5" t="str">
        <f t="shared" ca="1" si="18"/>
        <v>Female</v>
      </c>
      <c r="H99" s="5" t="s">
        <v>135</v>
      </c>
      <c r="I99" s="5" t="str" cm="1">
        <f t="array" aca="1" ref="I99" ca="1">INDEX(Courses!$B$9:$B$16,RANDBETWEEN(1,8))</f>
        <v>Complete Excel Course</v>
      </c>
      <c r="J99" s="5" t="str">
        <f ca="1">VLOOKUP(I99,Courses!$B$9:$C$16,2,0)</f>
        <v>Microsoft Office</v>
      </c>
      <c r="K99" s="7">
        <f ca="1">VLOOKUP(I99,Courses!$B$9:$D$16,3,0)</f>
        <v>59</v>
      </c>
      <c r="L99" s="5" t="str">
        <f t="shared" ca="1" si="19"/>
        <v>Paid</v>
      </c>
      <c r="M99" s="8" t="str" cm="1">
        <f t="array" aca="1" ref="M99" ca="1">INDEX('Payment Method'!$A$8:$A$12,RANDBETWEEN(1,5))</f>
        <v>Bank Transfer</v>
      </c>
      <c r="N99" s="7">
        <f>IFERROR(SUMIF(Holiday!$A$8:$A$11,B99,Holiday!$C$8:$C$11),0)</f>
        <v>0</v>
      </c>
      <c r="O99" s="7">
        <f t="shared" ca="1" si="20"/>
        <v>59</v>
      </c>
      <c r="P99" s="19">
        <f t="shared" ca="1" si="21"/>
        <v>59</v>
      </c>
      <c r="Q99" s="7">
        <f t="shared" ca="1" si="22"/>
        <v>0</v>
      </c>
      <c r="R99" s="8">
        <f ca="1">VLOOKUP(M99,'Payment Method'!$A$8:$B$12,2,0)</f>
        <v>0</v>
      </c>
      <c r="S99" s="9">
        <f t="shared" ca="1" si="12"/>
        <v>0</v>
      </c>
      <c r="T99" s="8">
        <v>0.01</v>
      </c>
      <c r="U99" s="9">
        <f t="shared" ca="1" si="13"/>
        <v>0.59000000000000341</v>
      </c>
      <c r="V99" s="7">
        <f t="shared" ca="1" si="14"/>
        <v>0</v>
      </c>
      <c r="W99" s="7">
        <f t="shared" ca="1" si="15"/>
        <v>58.41</v>
      </c>
      <c r="X99" s="5" t="str">
        <f t="shared" ca="1" si="23"/>
        <v>Instagram</v>
      </c>
      <c r="Y99" s="78" t="str">
        <f>IF(COUNTIF($C$1:C98,B98)=1,10,"")</f>
        <v/>
      </c>
    </row>
    <row r="100" spans="1:25" x14ac:dyDescent="0.3">
      <c r="A100" s="75">
        <v>99</v>
      </c>
      <c r="B100" s="6">
        <v>46109</v>
      </c>
      <c r="C100" s="6">
        <v>46113</v>
      </c>
      <c r="D100" s="17" t="str">
        <f t="shared" si="16"/>
        <v>April</v>
      </c>
      <c r="E100" s="5" t="str">
        <f t="shared" ca="1" si="17"/>
        <v>STU-244</v>
      </c>
      <c r="F100" s="5" t="str">
        <f ca="1">IF(COUNTIF($E$2:E100,E100)=1,"New Customer","Returning Customer")</f>
        <v>New Customer</v>
      </c>
      <c r="G100" s="5" t="str">
        <f t="shared" ca="1" si="18"/>
        <v>Male</v>
      </c>
      <c r="H100" s="5" t="s">
        <v>141</v>
      </c>
      <c r="I100" s="5" t="str" cm="1">
        <f t="array" aca="1" ref="I100" ca="1">INDEX(Courses!$B$9:$B$16,RANDBETWEEN(1,8))</f>
        <v>Complete Excel Course</v>
      </c>
      <c r="J100" s="5" t="str">
        <f ca="1">VLOOKUP(I100,Courses!$B$9:$C$16,2,0)</f>
        <v>Microsoft Office</v>
      </c>
      <c r="K100" s="7">
        <f ca="1">VLOOKUP(I100,Courses!$B$9:$D$16,3,0)</f>
        <v>59</v>
      </c>
      <c r="L100" s="5" t="str">
        <f t="shared" ca="1" si="19"/>
        <v>Paid</v>
      </c>
      <c r="M100" s="8" t="str" cm="1">
        <f t="array" aca="1" ref="M100" ca="1">INDEX('Payment Method'!$A$8:$A$12,RANDBETWEEN(1,5))</f>
        <v>Visa Debit</v>
      </c>
      <c r="N100" s="7">
        <f>IFERROR(SUMIF(Holiday!$A$8:$A$11,B100,Holiday!$C$8:$C$11),0)</f>
        <v>0</v>
      </c>
      <c r="O100" s="7">
        <f t="shared" ca="1" si="20"/>
        <v>59</v>
      </c>
      <c r="P100" s="19">
        <f t="shared" ca="1" si="21"/>
        <v>57.82</v>
      </c>
      <c r="Q100" s="7">
        <f t="shared" ca="1" si="22"/>
        <v>0</v>
      </c>
      <c r="R100" s="8">
        <f ca="1">VLOOKUP(M100,'Payment Method'!$A$8:$B$12,2,0)</f>
        <v>0.02</v>
      </c>
      <c r="S100" s="9">
        <f t="shared" ca="1" si="12"/>
        <v>1.1799999999999997</v>
      </c>
      <c r="T100" s="8">
        <v>0.01</v>
      </c>
      <c r="U100" s="9">
        <f t="shared" ca="1" si="13"/>
        <v>0.57820000000000249</v>
      </c>
      <c r="V100" s="7">
        <f t="shared" ca="1" si="14"/>
        <v>0</v>
      </c>
      <c r="W100" s="7">
        <f t="shared" ca="1" si="15"/>
        <v>57.241799999999998</v>
      </c>
      <c r="X100" s="5" t="str">
        <f t="shared" ca="1" si="23"/>
        <v>Facebook</v>
      </c>
      <c r="Y100" s="78" t="str">
        <f>IF(COUNTIF($C$1:C99,B99)=1,10,"")</f>
        <v/>
      </c>
    </row>
    <row r="101" spans="1:25" x14ac:dyDescent="0.3">
      <c r="A101" s="76">
        <v>100</v>
      </c>
      <c r="B101" s="6">
        <v>46206</v>
      </c>
      <c r="C101" s="6">
        <v>46207</v>
      </c>
      <c r="D101" s="17" t="str">
        <f t="shared" si="16"/>
        <v>July</v>
      </c>
      <c r="E101" s="5" t="str">
        <f t="shared" ca="1" si="17"/>
        <v>STU-181</v>
      </c>
      <c r="F101" s="5" t="str">
        <f ca="1">IF(COUNTIF($E$2:E101,E101)=1,"New Customer","Returning Customer")</f>
        <v>New Customer</v>
      </c>
      <c r="G101" s="5" t="str">
        <f t="shared" ca="1" si="18"/>
        <v>Male</v>
      </c>
      <c r="H101" s="5" t="s">
        <v>138</v>
      </c>
      <c r="I101" s="5" t="str" cm="1">
        <f t="array" aca="1" ref="I101" ca="1">INDEX(Courses!$B$9:$B$16,RANDBETWEEN(1,8))</f>
        <v>Microsoft Word</v>
      </c>
      <c r="J101" s="5" t="str">
        <f ca="1">VLOOKUP(I101,Courses!$B$9:$C$16,2,0)</f>
        <v>Microsoft Office</v>
      </c>
      <c r="K101" s="7">
        <f ca="1">VLOOKUP(I101,Courses!$B$9:$D$16,3,0)</f>
        <v>29</v>
      </c>
      <c r="L101" s="5" t="str">
        <f t="shared" ca="1" si="19"/>
        <v>Paid</v>
      </c>
      <c r="M101" s="8" t="str" cm="1">
        <f t="array" aca="1" ref="M101" ca="1">INDEX('Payment Method'!$A$8:$A$12,RANDBETWEEN(1,5))</f>
        <v>Visa Debit</v>
      </c>
      <c r="N101" s="7">
        <f>IFERROR(SUMIF(Holiday!$A$8:$A$11,B101,Holiday!$C$8:$C$11),0)</f>
        <v>0</v>
      </c>
      <c r="O101" s="7">
        <f t="shared" ca="1" si="20"/>
        <v>29</v>
      </c>
      <c r="P101" s="19">
        <f t="shared" ca="1" si="21"/>
        <v>28.42</v>
      </c>
      <c r="Q101" s="7">
        <f t="shared" ca="1" si="22"/>
        <v>0</v>
      </c>
      <c r="R101" s="8">
        <f ca="1">VLOOKUP(M101,'Payment Method'!$A$8:$B$12,2,0)</f>
        <v>0.02</v>
      </c>
      <c r="S101" s="9">
        <f t="shared" ca="1" si="12"/>
        <v>0.57999999999999829</v>
      </c>
      <c r="T101" s="8">
        <v>0.01</v>
      </c>
      <c r="U101" s="9">
        <f t="shared" ca="1" si="13"/>
        <v>0.28419999999999845</v>
      </c>
      <c r="V101" s="7">
        <f t="shared" ca="1" si="14"/>
        <v>0</v>
      </c>
      <c r="W101" s="7">
        <f t="shared" ca="1" si="15"/>
        <v>28.135800000000003</v>
      </c>
      <c r="X101" s="5" t="str">
        <f t="shared" ca="1" si="23"/>
        <v>Facebook</v>
      </c>
      <c r="Y101" s="78" t="str">
        <f>IF(COUNTIF($C$1:C100,B100)=1,10,"")</f>
        <v/>
      </c>
    </row>
    <row r="102" spans="1:25" x14ac:dyDescent="0.3">
      <c r="A102" s="75">
        <v>101</v>
      </c>
      <c r="B102" s="6">
        <v>46220</v>
      </c>
      <c r="C102" s="6">
        <v>46223</v>
      </c>
      <c r="D102" s="17" t="str">
        <f t="shared" si="16"/>
        <v>July</v>
      </c>
      <c r="E102" s="5" t="str">
        <f t="shared" ca="1" si="17"/>
        <v>STU-950</v>
      </c>
      <c r="F102" s="5" t="str">
        <f ca="1">IF(COUNTIF($E$2:E102,E102)=1,"New Customer","Returning Customer")</f>
        <v>New Customer</v>
      </c>
      <c r="G102" s="5" t="str">
        <f t="shared" ca="1" si="18"/>
        <v>Male</v>
      </c>
      <c r="H102" s="5" t="s">
        <v>141</v>
      </c>
      <c r="I102" s="5" t="str" cm="1">
        <f t="array" aca="1" ref="I102" ca="1">INDEX(Courses!$B$9:$B$16,RANDBETWEEN(1,8))</f>
        <v>PowerPoint</v>
      </c>
      <c r="J102" s="5" t="str">
        <f ca="1">VLOOKUP(I102,Courses!$B$9:$C$16,2,0)</f>
        <v>Microsoft Office</v>
      </c>
      <c r="K102" s="7">
        <f ca="1">VLOOKUP(I102,Courses!$B$9:$D$16,3,0)</f>
        <v>29</v>
      </c>
      <c r="L102" s="5" t="str">
        <f t="shared" ca="1" si="19"/>
        <v>Paid</v>
      </c>
      <c r="M102" s="8" t="str" cm="1">
        <f t="array" aca="1" ref="M102" ca="1">INDEX('Payment Method'!$A$8:$A$12,RANDBETWEEN(1,5))</f>
        <v>Mastercard Debit</v>
      </c>
      <c r="N102" s="7">
        <f>IFERROR(SUMIF(Holiday!$A$8:$A$11,B102,Holiday!$C$8:$C$11),0)</f>
        <v>0</v>
      </c>
      <c r="O102" s="7">
        <f t="shared" ca="1" si="20"/>
        <v>29</v>
      </c>
      <c r="P102" s="19">
        <f t="shared" ca="1" si="21"/>
        <v>28.42</v>
      </c>
      <c r="Q102" s="7">
        <f t="shared" ca="1" si="22"/>
        <v>0</v>
      </c>
      <c r="R102" s="8">
        <f ca="1">VLOOKUP(M102,'Payment Method'!$A$8:$B$12,2,0)</f>
        <v>0.02</v>
      </c>
      <c r="S102" s="9">
        <f t="shared" ca="1" si="12"/>
        <v>0.57999999999999829</v>
      </c>
      <c r="T102" s="8">
        <v>0.01</v>
      </c>
      <c r="U102" s="9">
        <f t="shared" ca="1" si="13"/>
        <v>0.28419999999999845</v>
      </c>
      <c r="V102" s="7">
        <f t="shared" ca="1" si="14"/>
        <v>0</v>
      </c>
      <c r="W102" s="7">
        <f t="shared" ca="1" si="15"/>
        <v>28.135800000000003</v>
      </c>
      <c r="X102" s="5" t="str">
        <f t="shared" ca="1" si="23"/>
        <v>Tiktok</v>
      </c>
      <c r="Y102" s="78" t="str">
        <f>IF(COUNTIF($C$1:C101,B101)=1,10,"")</f>
        <v/>
      </c>
    </row>
    <row r="103" spans="1:25" x14ac:dyDescent="0.3">
      <c r="A103" s="76">
        <v>102</v>
      </c>
      <c r="B103" s="6">
        <v>46207</v>
      </c>
      <c r="C103" s="6">
        <v>46210</v>
      </c>
      <c r="D103" s="17" t="str">
        <f t="shared" si="16"/>
        <v>July</v>
      </c>
      <c r="E103" s="5" t="str">
        <f t="shared" ca="1" si="17"/>
        <v>STU-678</v>
      </c>
      <c r="F103" s="5" t="str">
        <f ca="1">IF(COUNTIF($E$2:E103,E103)=1,"New Customer","Returning Customer")</f>
        <v>New Customer</v>
      </c>
      <c r="G103" s="5" t="str">
        <f t="shared" ca="1" si="18"/>
        <v>Not specified</v>
      </c>
      <c r="H103" s="5" t="s">
        <v>137</v>
      </c>
      <c r="I103" s="5" t="str" cm="1">
        <f t="array" aca="1" ref="I103" ca="1">INDEX(Courses!$B$9:$B$16,RANDBETWEEN(1,8))</f>
        <v>Complete Excel Course</v>
      </c>
      <c r="J103" s="5" t="str">
        <f ca="1">VLOOKUP(I103,Courses!$B$9:$C$16,2,0)</f>
        <v>Microsoft Office</v>
      </c>
      <c r="K103" s="7">
        <f ca="1">VLOOKUP(I103,Courses!$B$9:$D$16,3,0)</f>
        <v>59</v>
      </c>
      <c r="L103" s="5" t="str">
        <f t="shared" ca="1" si="19"/>
        <v>Pending</v>
      </c>
      <c r="M103" s="8" t="str" cm="1">
        <f t="array" aca="1" ref="M103" ca="1">INDEX('Payment Method'!$A$8:$A$12,RANDBETWEEN(1,5))</f>
        <v>Mastercard Credit</v>
      </c>
      <c r="N103" s="7">
        <f>IFERROR(SUMIF(Holiday!$A$8:$A$11,B103,Holiday!$C$8:$C$11),0)</f>
        <v>0</v>
      </c>
      <c r="O103" s="7">
        <f t="shared" ca="1" si="20"/>
        <v>59</v>
      </c>
      <c r="P103" s="19">
        <f t="shared" ca="1" si="21"/>
        <v>56.935000000000002</v>
      </c>
      <c r="Q103" s="7">
        <f t="shared" ca="1" si="22"/>
        <v>56.365650000000002</v>
      </c>
      <c r="R103" s="8">
        <f ca="1">VLOOKUP(M103,'Payment Method'!$A$8:$B$12,2,0)</f>
        <v>3.5000000000000003E-2</v>
      </c>
      <c r="S103" s="9">
        <f t="shared" ca="1" si="12"/>
        <v>2.0649999999999977</v>
      </c>
      <c r="T103" s="8">
        <v>0.01</v>
      </c>
      <c r="U103" s="9">
        <f t="shared" ca="1" si="13"/>
        <v>0.56935000000000002</v>
      </c>
      <c r="V103" s="7">
        <f t="shared" ca="1" si="14"/>
        <v>0</v>
      </c>
      <c r="W103" s="7">
        <f t="shared" ca="1" si="15"/>
        <v>0</v>
      </c>
      <c r="X103" s="5" t="str">
        <f t="shared" ca="1" si="23"/>
        <v>Instagram</v>
      </c>
      <c r="Y103" s="78">
        <f>IF(COUNTIF($C$1:C102,B102)=1,10,"")</f>
        <v>10</v>
      </c>
    </row>
    <row r="104" spans="1:25" x14ac:dyDescent="0.3">
      <c r="A104" s="75">
        <v>103</v>
      </c>
      <c r="B104" s="6">
        <v>46086</v>
      </c>
      <c r="C104" s="6">
        <v>46090</v>
      </c>
      <c r="D104" s="17" t="str">
        <f t="shared" si="16"/>
        <v>March</v>
      </c>
      <c r="E104" s="5" t="str">
        <f t="shared" ca="1" si="17"/>
        <v>STU-135</v>
      </c>
      <c r="F104" s="5" t="str">
        <f ca="1">IF(COUNTIF($E$2:E104,E104)=1,"New Customer","Returning Customer")</f>
        <v>New Customer</v>
      </c>
      <c r="G104" s="5" t="str">
        <f t="shared" ca="1" si="18"/>
        <v>Male</v>
      </c>
      <c r="H104" s="5" t="s">
        <v>138</v>
      </c>
      <c r="I104" s="5" t="str" cm="1">
        <f t="array" aca="1" ref="I104" ca="1">INDEX(Courses!$B$9:$B$16,RANDBETWEEN(1,8))</f>
        <v>Tax Code</v>
      </c>
      <c r="J104" s="5" t="str">
        <f ca="1">VLOOKUP(I104,Courses!$B$9:$C$16,2,0)</f>
        <v>Finance &amp; Taxation</v>
      </c>
      <c r="K104" s="7">
        <f ca="1">VLOOKUP(I104,Courses!$B$9:$D$16,3,0)</f>
        <v>59</v>
      </c>
      <c r="L104" s="5" t="str">
        <f t="shared" ca="1" si="19"/>
        <v>Pending</v>
      </c>
      <c r="M104" s="8" t="str" cm="1">
        <f t="array" aca="1" ref="M104" ca="1">INDEX('Payment Method'!$A$8:$A$12,RANDBETWEEN(1,5))</f>
        <v>Bank Transfer</v>
      </c>
      <c r="N104" s="7">
        <f>IFERROR(SUMIF(Holiday!$A$8:$A$11,B104,Holiday!$C$8:$C$11),0)</f>
        <v>0</v>
      </c>
      <c r="O104" s="7">
        <f t="shared" ca="1" si="20"/>
        <v>59</v>
      </c>
      <c r="P104" s="19">
        <f t="shared" ca="1" si="21"/>
        <v>59</v>
      </c>
      <c r="Q104" s="7">
        <f t="shared" ca="1" si="22"/>
        <v>58.41</v>
      </c>
      <c r="R104" s="8">
        <f ca="1">VLOOKUP(M104,'Payment Method'!$A$8:$B$12,2,0)</f>
        <v>0</v>
      </c>
      <c r="S104" s="9">
        <f t="shared" ca="1" si="12"/>
        <v>0</v>
      </c>
      <c r="T104" s="8">
        <v>0.01</v>
      </c>
      <c r="U104" s="9">
        <f t="shared" ca="1" si="13"/>
        <v>0.59000000000000341</v>
      </c>
      <c r="V104" s="7">
        <f t="shared" ca="1" si="14"/>
        <v>0</v>
      </c>
      <c r="W104" s="7">
        <f t="shared" ca="1" si="15"/>
        <v>0</v>
      </c>
      <c r="X104" s="5" t="str">
        <f t="shared" ca="1" si="23"/>
        <v>Tiktok</v>
      </c>
      <c r="Y104" s="78" t="str">
        <f>IF(COUNTIF($C$1:C103,B103)=1,10,"")</f>
        <v/>
      </c>
    </row>
    <row r="105" spans="1:25" x14ac:dyDescent="0.3">
      <c r="A105" s="76">
        <v>104</v>
      </c>
      <c r="B105" s="6">
        <v>46109</v>
      </c>
      <c r="C105" s="6">
        <v>46113</v>
      </c>
      <c r="D105" s="17" t="str">
        <f t="shared" si="16"/>
        <v>April</v>
      </c>
      <c r="E105" s="5" t="str">
        <f t="shared" ca="1" si="17"/>
        <v>STU-16</v>
      </c>
      <c r="F105" s="5" t="str">
        <f ca="1">IF(COUNTIF($E$2:E105,E105)=1,"New Customer","Returning Customer")</f>
        <v>New Customer</v>
      </c>
      <c r="G105" s="5" t="str">
        <f t="shared" ca="1" si="18"/>
        <v>Not specified</v>
      </c>
      <c r="H105" s="5" t="s">
        <v>139</v>
      </c>
      <c r="I105" s="5" t="str" cm="1">
        <f t="array" aca="1" ref="I105" ca="1">INDEX(Courses!$B$9:$B$16,RANDBETWEEN(1,8))</f>
        <v>PowerPoint</v>
      </c>
      <c r="J105" s="5" t="str">
        <f ca="1">VLOOKUP(I105,Courses!$B$9:$C$16,2,0)</f>
        <v>Microsoft Office</v>
      </c>
      <c r="K105" s="7">
        <f ca="1">VLOOKUP(I105,Courses!$B$9:$D$16,3,0)</f>
        <v>29</v>
      </c>
      <c r="L105" s="5" t="str">
        <f t="shared" ca="1" si="19"/>
        <v>Pending</v>
      </c>
      <c r="M105" s="8" t="str" cm="1">
        <f t="array" aca="1" ref="M105" ca="1">INDEX('Payment Method'!$A$8:$A$12,RANDBETWEEN(1,5))</f>
        <v>Bank Transfer</v>
      </c>
      <c r="N105" s="7">
        <f>IFERROR(SUMIF(Holiday!$A$8:$A$11,B105,Holiday!$C$8:$C$11),0)</f>
        <v>0</v>
      </c>
      <c r="O105" s="7">
        <f t="shared" ca="1" si="20"/>
        <v>29</v>
      </c>
      <c r="P105" s="19">
        <f t="shared" ca="1" si="21"/>
        <v>29</v>
      </c>
      <c r="Q105" s="7">
        <f t="shared" ca="1" si="22"/>
        <v>28.71</v>
      </c>
      <c r="R105" s="8">
        <f ca="1">VLOOKUP(M105,'Payment Method'!$A$8:$B$12,2,0)</f>
        <v>0</v>
      </c>
      <c r="S105" s="9">
        <f t="shared" ca="1" si="12"/>
        <v>0</v>
      </c>
      <c r="T105" s="8">
        <v>0.01</v>
      </c>
      <c r="U105" s="9">
        <f t="shared" ca="1" si="13"/>
        <v>0.28999999999999915</v>
      </c>
      <c r="V105" s="7">
        <f t="shared" ca="1" si="14"/>
        <v>0</v>
      </c>
      <c r="W105" s="7">
        <f t="shared" ca="1" si="15"/>
        <v>0</v>
      </c>
      <c r="X105" s="5" t="str">
        <f t="shared" ca="1" si="23"/>
        <v>Facebook</v>
      </c>
      <c r="Y105" s="78" t="str">
        <f>IF(COUNTIF($C$1:C104,B104)=1,10,"")</f>
        <v/>
      </c>
    </row>
    <row r="106" spans="1:25" x14ac:dyDescent="0.3">
      <c r="A106" s="75">
        <v>105</v>
      </c>
      <c r="B106" s="6">
        <v>46160</v>
      </c>
      <c r="C106" s="6">
        <v>46160</v>
      </c>
      <c r="D106" s="17" t="str">
        <f t="shared" si="16"/>
        <v>May</v>
      </c>
      <c r="E106" s="5" t="str">
        <f t="shared" ca="1" si="17"/>
        <v>STU-867</v>
      </c>
      <c r="F106" s="5" t="str">
        <f ca="1">IF(COUNTIF($E$2:E106,E106)=1,"New Customer","Returning Customer")</f>
        <v>New Customer</v>
      </c>
      <c r="G106" s="5" t="str">
        <f t="shared" ca="1" si="18"/>
        <v>Male</v>
      </c>
      <c r="H106" s="5" t="s">
        <v>135</v>
      </c>
      <c r="I106" s="5" t="str" cm="1">
        <f t="array" aca="1" ref="I106" ca="1">INDEX(Courses!$B$9:$B$16,RANDBETWEEN(1,8))</f>
        <v>Tax Code</v>
      </c>
      <c r="J106" s="5" t="str">
        <f ca="1">VLOOKUP(I106,Courses!$B$9:$C$16,2,0)</f>
        <v>Finance &amp; Taxation</v>
      </c>
      <c r="K106" s="7">
        <f ca="1">VLOOKUP(I106,Courses!$B$9:$D$16,3,0)</f>
        <v>59</v>
      </c>
      <c r="L106" s="5" t="str">
        <f t="shared" ca="1" si="19"/>
        <v>Pending</v>
      </c>
      <c r="M106" s="8" t="str" cm="1">
        <f t="array" aca="1" ref="M106" ca="1">INDEX('Payment Method'!$A$8:$A$12,RANDBETWEEN(1,5))</f>
        <v>Bank Transfer</v>
      </c>
      <c r="N106" s="7">
        <f>IFERROR(SUMIF(Holiday!$A$8:$A$11,B106,Holiday!$C$8:$C$11),0)</f>
        <v>0</v>
      </c>
      <c r="O106" s="7">
        <f t="shared" ca="1" si="20"/>
        <v>59</v>
      </c>
      <c r="P106" s="19">
        <f t="shared" ca="1" si="21"/>
        <v>59</v>
      </c>
      <c r="Q106" s="7">
        <f t="shared" ca="1" si="22"/>
        <v>58.41</v>
      </c>
      <c r="R106" s="8">
        <f ca="1">VLOOKUP(M106,'Payment Method'!$A$8:$B$12,2,0)</f>
        <v>0</v>
      </c>
      <c r="S106" s="9">
        <f t="shared" ca="1" si="12"/>
        <v>0</v>
      </c>
      <c r="T106" s="8">
        <v>0.01</v>
      </c>
      <c r="U106" s="9">
        <f t="shared" ca="1" si="13"/>
        <v>0.59000000000000341</v>
      </c>
      <c r="V106" s="7">
        <f t="shared" ca="1" si="14"/>
        <v>0</v>
      </c>
      <c r="W106" s="7">
        <f t="shared" ca="1" si="15"/>
        <v>0</v>
      </c>
      <c r="X106" s="5" t="str">
        <f t="shared" ca="1" si="23"/>
        <v>Tiktok</v>
      </c>
      <c r="Y106" s="78" t="str">
        <f>IF(COUNTIF($C$1:C105,B105)=1,10,"")</f>
        <v/>
      </c>
    </row>
    <row r="107" spans="1:25" x14ac:dyDescent="0.3">
      <c r="A107" s="76">
        <v>106</v>
      </c>
      <c r="B107" s="6">
        <v>46079</v>
      </c>
      <c r="C107" s="6">
        <v>46083</v>
      </c>
      <c r="D107" s="17" t="str">
        <f t="shared" si="16"/>
        <v>March</v>
      </c>
      <c r="E107" s="5" t="str">
        <f t="shared" ca="1" si="17"/>
        <v>STU-384</v>
      </c>
      <c r="F107" s="5" t="str">
        <f ca="1">IF(COUNTIF($E$2:E107,E107)=1,"New Customer","Returning Customer")</f>
        <v>New Customer</v>
      </c>
      <c r="G107" s="5" t="str">
        <f t="shared" ca="1" si="18"/>
        <v>Not specified</v>
      </c>
      <c r="H107" s="5" t="s">
        <v>140</v>
      </c>
      <c r="I107" s="5" t="str" cm="1">
        <f t="array" aca="1" ref="I107" ca="1">INDEX(Courses!$B$9:$B$16,RANDBETWEEN(1,8))</f>
        <v>Microsoft Word</v>
      </c>
      <c r="J107" s="5" t="str">
        <f ca="1">VLOOKUP(I107,Courses!$B$9:$C$16,2,0)</f>
        <v>Microsoft Office</v>
      </c>
      <c r="K107" s="7">
        <f ca="1">VLOOKUP(I107,Courses!$B$9:$D$16,3,0)</f>
        <v>29</v>
      </c>
      <c r="L107" s="5" t="str">
        <f t="shared" ca="1" si="19"/>
        <v>Pending</v>
      </c>
      <c r="M107" s="8" t="str" cm="1">
        <f t="array" aca="1" ref="M107" ca="1">INDEX('Payment Method'!$A$8:$A$12,RANDBETWEEN(1,5))</f>
        <v>Visa Debit</v>
      </c>
      <c r="N107" s="7">
        <f>IFERROR(SUMIF(Holiday!$A$8:$A$11,B107,Holiday!$C$8:$C$11),0)</f>
        <v>0</v>
      </c>
      <c r="O107" s="7">
        <f t="shared" ca="1" si="20"/>
        <v>29</v>
      </c>
      <c r="P107" s="19">
        <f t="shared" ca="1" si="21"/>
        <v>28.42</v>
      </c>
      <c r="Q107" s="7">
        <f t="shared" ca="1" si="22"/>
        <v>28.135800000000003</v>
      </c>
      <c r="R107" s="8">
        <f ca="1">VLOOKUP(M107,'Payment Method'!$A$8:$B$12,2,0)</f>
        <v>0.02</v>
      </c>
      <c r="S107" s="9">
        <f t="shared" ca="1" si="12"/>
        <v>0.57999999999999829</v>
      </c>
      <c r="T107" s="8">
        <v>0.01</v>
      </c>
      <c r="U107" s="9">
        <f t="shared" ca="1" si="13"/>
        <v>0.28419999999999845</v>
      </c>
      <c r="V107" s="7">
        <f t="shared" ca="1" si="14"/>
        <v>0</v>
      </c>
      <c r="W107" s="7">
        <f t="shared" ca="1" si="15"/>
        <v>0</v>
      </c>
      <c r="X107" s="5" t="str">
        <f t="shared" ca="1" si="23"/>
        <v>Tiktok</v>
      </c>
      <c r="Y107" s="78">
        <f>IF(COUNTIF($C$1:C106,B106)=1,10,"")</f>
        <v>10</v>
      </c>
    </row>
    <row r="108" spans="1:25" x14ac:dyDescent="0.3">
      <c r="A108" s="75">
        <v>107</v>
      </c>
      <c r="B108" s="6">
        <v>46128</v>
      </c>
      <c r="C108" s="6">
        <v>46133</v>
      </c>
      <c r="D108" s="17" t="str">
        <f t="shared" si="16"/>
        <v>April</v>
      </c>
      <c r="E108" s="5" t="str">
        <f t="shared" ca="1" si="17"/>
        <v>STU-313</v>
      </c>
      <c r="F108" s="5" t="str">
        <f ca="1">IF(COUNTIF($E$2:E108,E108)=1,"New Customer","Returning Customer")</f>
        <v>New Customer</v>
      </c>
      <c r="G108" s="5" t="str">
        <f t="shared" ca="1" si="18"/>
        <v>Female</v>
      </c>
      <c r="H108" s="5" t="s">
        <v>141</v>
      </c>
      <c r="I108" s="5" t="str" cm="1">
        <f t="array" aca="1" ref="I108" ca="1">INDEX(Courses!$B$9:$B$16,RANDBETWEEN(1,8))</f>
        <v>Complete Excel Course</v>
      </c>
      <c r="J108" s="5" t="str">
        <f ca="1">VLOOKUP(I108,Courses!$B$9:$C$16,2,0)</f>
        <v>Microsoft Office</v>
      </c>
      <c r="K108" s="7">
        <f ca="1">VLOOKUP(I108,Courses!$B$9:$D$16,3,0)</f>
        <v>59</v>
      </c>
      <c r="L108" s="5" t="str">
        <f t="shared" ca="1" si="19"/>
        <v>Pending</v>
      </c>
      <c r="M108" s="8" t="str" cm="1">
        <f t="array" aca="1" ref="M108" ca="1">INDEX('Payment Method'!$A$8:$A$12,RANDBETWEEN(1,5))</f>
        <v>Mastercard Debit</v>
      </c>
      <c r="N108" s="7">
        <f>IFERROR(SUMIF(Holiday!$A$8:$A$11,B108,Holiday!$C$8:$C$11),0)</f>
        <v>0</v>
      </c>
      <c r="O108" s="7">
        <f t="shared" ca="1" si="20"/>
        <v>59</v>
      </c>
      <c r="P108" s="19">
        <f t="shared" ca="1" si="21"/>
        <v>57.82</v>
      </c>
      <c r="Q108" s="7">
        <f t="shared" ca="1" si="22"/>
        <v>57.241799999999998</v>
      </c>
      <c r="R108" s="8">
        <f ca="1">VLOOKUP(M108,'Payment Method'!$A$8:$B$12,2,0)</f>
        <v>0.02</v>
      </c>
      <c r="S108" s="9">
        <f t="shared" ca="1" si="12"/>
        <v>1.1799999999999997</v>
      </c>
      <c r="T108" s="8">
        <v>0.01</v>
      </c>
      <c r="U108" s="9">
        <f t="shared" ca="1" si="13"/>
        <v>0.57820000000000249</v>
      </c>
      <c r="V108" s="7">
        <f t="shared" ca="1" si="14"/>
        <v>0</v>
      </c>
      <c r="W108" s="7">
        <f t="shared" ca="1" si="15"/>
        <v>0</v>
      </c>
      <c r="X108" s="5" t="str">
        <f t="shared" ca="1" si="23"/>
        <v>Tiktok</v>
      </c>
      <c r="Y108" s="78" t="str">
        <f>IF(COUNTIF($C$1:C107,B107)=1,10,"")</f>
        <v/>
      </c>
    </row>
    <row r="109" spans="1:25" x14ac:dyDescent="0.3">
      <c r="A109" s="76">
        <v>108</v>
      </c>
      <c r="B109" s="6">
        <v>46161</v>
      </c>
      <c r="C109" s="6">
        <v>46166</v>
      </c>
      <c r="D109" s="17" t="str">
        <f t="shared" si="16"/>
        <v>May</v>
      </c>
      <c r="E109" s="5" t="str">
        <f t="shared" ca="1" si="17"/>
        <v>STU-848</v>
      </c>
      <c r="F109" s="5" t="str">
        <f ca="1">IF(COUNTIF($E$2:E109,E109)=1,"New Customer","Returning Customer")</f>
        <v>New Customer</v>
      </c>
      <c r="G109" s="5" t="str">
        <f t="shared" ca="1" si="18"/>
        <v>Female</v>
      </c>
      <c r="H109" s="5" t="s">
        <v>142</v>
      </c>
      <c r="I109" s="5" t="str" cm="1">
        <f t="array" aca="1" ref="I109" ca="1">INDEX(Courses!$B$9:$B$16,RANDBETWEEN(1,8))</f>
        <v>Power BI</v>
      </c>
      <c r="J109" s="5" t="str">
        <f ca="1">VLOOKUP(I109,Courses!$B$9:$C$16,2,0)</f>
        <v>Data Analytics</v>
      </c>
      <c r="K109" s="7">
        <f ca="1">VLOOKUP(I109,Courses!$B$9:$D$16,3,0)</f>
        <v>59</v>
      </c>
      <c r="L109" s="5" t="str">
        <f t="shared" ca="1" si="19"/>
        <v>Refunded</v>
      </c>
      <c r="M109" s="8" t="str" cm="1">
        <f t="array" aca="1" ref="M109" ca="1">INDEX('Payment Method'!$A$8:$A$12,RANDBETWEEN(1,5))</f>
        <v>Mastercard Debit</v>
      </c>
      <c r="N109" s="7">
        <f>IFERROR(SUMIF(Holiday!$A$8:$A$11,B109,Holiday!$C$8:$C$11),0)</f>
        <v>0</v>
      </c>
      <c r="O109" s="7">
        <f t="shared" ca="1" si="20"/>
        <v>59</v>
      </c>
      <c r="P109" s="19">
        <f t="shared" ca="1" si="21"/>
        <v>57.82</v>
      </c>
      <c r="Q109" s="7">
        <f t="shared" ca="1" si="22"/>
        <v>0</v>
      </c>
      <c r="R109" s="8">
        <f ca="1">VLOOKUP(M109,'Payment Method'!$A$8:$B$12,2,0)</f>
        <v>0.02</v>
      </c>
      <c r="S109" s="9">
        <f t="shared" ca="1" si="12"/>
        <v>1.1799999999999997</v>
      </c>
      <c r="T109" s="8">
        <v>0.01</v>
      </c>
      <c r="U109" s="9">
        <f t="shared" ca="1" si="13"/>
        <v>0.57820000000000249</v>
      </c>
      <c r="V109" s="7">
        <f t="shared" ca="1" si="14"/>
        <v>57.241799999999998</v>
      </c>
      <c r="W109" s="7">
        <f t="shared" ca="1" si="15"/>
        <v>0</v>
      </c>
      <c r="X109" s="5" t="str">
        <f t="shared" ca="1" si="23"/>
        <v>Tiktok</v>
      </c>
      <c r="Y109" s="78" t="str">
        <f>IF(COUNTIF($C$1:C108,B108)=1,10,"")</f>
        <v/>
      </c>
    </row>
    <row r="110" spans="1:25" x14ac:dyDescent="0.3">
      <c r="A110" s="75">
        <v>109</v>
      </c>
      <c r="B110" s="6">
        <v>46180</v>
      </c>
      <c r="C110" s="6">
        <v>46182</v>
      </c>
      <c r="D110" s="17" t="str">
        <f t="shared" si="16"/>
        <v>June</v>
      </c>
      <c r="E110" s="5" t="str">
        <f t="shared" ca="1" si="17"/>
        <v>STU-30</v>
      </c>
      <c r="F110" s="5" t="str">
        <f ca="1">IF(COUNTIF($E$2:E110,E110)=1,"New Customer","Returning Customer")</f>
        <v>New Customer</v>
      </c>
      <c r="G110" s="5" t="str">
        <f t="shared" ca="1" si="18"/>
        <v>Female</v>
      </c>
      <c r="H110" s="5" t="s">
        <v>136</v>
      </c>
      <c r="I110" s="5" t="str" cm="1">
        <f t="array" aca="1" ref="I110" ca="1">INDEX(Courses!$B$9:$B$16,RANDBETWEEN(1,8))</f>
        <v>Microsoft Word</v>
      </c>
      <c r="J110" s="5" t="str">
        <f ca="1">VLOOKUP(I110,Courses!$B$9:$C$16,2,0)</f>
        <v>Microsoft Office</v>
      </c>
      <c r="K110" s="7">
        <f ca="1">VLOOKUP(I110,Courses!$B$9:$D$16,3,0)</f>
        <v>29</v>
      </c>
      <c r="L110" s="5" t="str">
        <f t="shared" ca="1" si="19"/>
        <v>Paid</v>
      </c>
      <c r="M110" s="8" t="str" cm="1">
        <f t="array" aca="1" ref="M110" ca="1">INDEX('Payment Method'!$A$8:$A$12,RANDBETWEEN(1,5))</f>
        <v>Visa Credit</v>
      </c>
      <c r="N110" s="7">
        <f>IFERROR(SUMIF(Holiday!$A$8:$A$11,B110,Holiday!$C$8:$C$11),0)</f>
        <v>0</v>
      </c>
      <c r="O110" s="7">
        <f t="shared" ca="1" si="20"/>
        <v>29</v>
      </c>
      <c r="P110" s="19">
        <f t="shared" ca="1" si="21"/>
        <v>27.984999999999999</v>
      </c>
      <c r="Q110" s="7">
        <f t="shared" ca="1" si="22"/>
        <v>0</v>
      </c>
      <c r="R110" s="8">
        <f ca="1">VLOOKUP(M110,'Payment Method'!$A$8:$B$12,2,0)</f>
        <v>3.5000000000000003E-2</v>
      </c>
      <c r="S110" s="9">
        <f t="shared" ca="1" si="12"/>
        <v>1.0150000000000006</v>
      </c>
      <c r="T110" s="8">
        <v>0.01</v>
      </c>
      <c r="U110" s="9">
        <f t="shared" ca="1" si="13"/>
        <v>0.27984999999999971</v>
      </c>
      <c r="V110" s="7">
        <f t="shared" ca="1" si="14"/>
        <v>0</v>
      </c>
      <c r="W110" s="7">
        <f t="shared" ca="1" si="15"/>
        <v>27.70515</v>
      </c>
      <c r="X110" s="5" t="str">
        <f t="shared" ca="1" si="23"/>
        <v>Facebook</v>
      </c>
      <c r="Y110" s="78">
        <f>IF(COUNTIF($C$1:C109,B109)=1,10,"")</f>
        <v>10</v>
      </c>
    </row>
    <row r="111" spans="1:25" x14ac:dyDescent="0.3">
      <c r="A111" s="76">
        <v>110</v>
      </c>
      <c r="B111" s="6">
        <v>46112</v>
      </c>
      <c r="C111" s="6">
        <v>46117</v>
      </c>
      <c r="D111" s="17" t="str">
        <f t="shared" si="16"/>
        <v>April</v>
      </c>
      <c r="E111" s="5" t="str">
        <f t="shared" ca="1" si="17"/>
        <v>STU-469</v>
      </c>
      <c r="F111" s="5" t="str">
        <f ca="1">IF(COUNTIF($E$2:E111,E111)=1,"New Customer","Returning Customer")</f>
        <v>New Customer</v>
      </c>
      <c r="G111" s="5" t="str">
        <f t="shared" ca="1" si="18"/>
        <v>Female</v>
      </c>
      <c r="H111" s="5" t="s">
        <v>139</v>
      </c>
      <c r="I111" s="5" t="str" cm="1">
        <f t="array" aca="1" ref="I111" ca="1">INDEX(Courses!$B$9:$B$16,RANDBETWEEN(1,8))</f>
        <v>Adolescent Psychology</v>
      </c>
      <c r="J111" s="5" t="str">
        <f ca="1">VLOOKUP(I111,Courses!$B$9:$C$16,2,0)</f>
        <v>Psychology</v>
      </c>
      <c r="K111" s="7">
        <f ca="1">VLOOKUP(I111,Courses!$B$9:$D$16,3,0)</f>
        <v>29</v>
      </c>
      <c r="L111" s="5" t="str">
        <f t="shared" ca="1" si="19"/>
        <v>Paid</v>
      </c>
      <c r="M111" s="8" t="str" cm="1">
        <f t="array" aca="1" ref="M111" ca="1">INDEX('Payment Method'!$A$8:$A$12,RANDBETWEEN(1,5))</f>
        <v>Visa Debit</v>
      </c>
      <c r="N111" s="7">
        <f>IFERROR(SUMIF(Holiday!$A$8:$A$11,B111,Holiday!$C$8:$C$11),0)</f>
        <v>0</v>
      </c>
      <c r="O111" s="7">
        <f t="shared" ca="1" si="20"/>
        <v>29</v>
      </c>
      <c r="P111" s="19">
        <f t="shared" ca="1" si="21"/>
        <v>28.42</v>
      </c>
      <c r="Q111" s="7">
        <f t="shared" ca="1" si="22"/>
        <v>0</v>
      </c>
      <c r="R111" s="8">
        <f ca="1">VLOOKUP(M111,'Payment Method'!$A$8:$B$12,2,0)</f>
        <v>0.02</v>
      </c>
      <c r="S111" s="9">
        <f t="shared" ca="1" si="12"/>
        <v>0.57999999999999829</v>
      </c>
      <c r="T111" s="8">
        <v>0.01</v>
      </c>
      <c r="U111" s="9">
        <f t="shared" ca="1" si="13"/>
        <v>0.28419999999999845</v>
      </c>
      <c r="V111" s="7">
        <f t="shared" ca="1" si="14"/>
        <v>0</v>
      </c>
      <c r="W111" s="7">
        <f t="shared" ca="1" si="15"/>
        <v>28.135800000000003</v>
      </c>
      <c r="X111" s="5" t="str">
        <f t="shared" ca="1" si="23"/>
        <v>Tiktok</v>
      </c>
      <c r="Y111" s="78" t="str">
        <f>IF(COUNTIF($C$1:C110,B110)=1,10,"")</f>
        <v/>
      </c>
    </row>
    <row r="112" spans="1:25" x14ac:dyDescent="0.3">
      <c r="A112" s="75">
        <v>111</v>
      </c>
      <c r="B112" s="6">
        <v>46024</v>
      </c>
      <c r="C112" s="6">
        <v>46024</v>
      </c>
      <c r="D112" s="17" t="str">
        <f t="shared" si="16"/>
        <v>January</v>
      </c>
      <c r="E112" s="5" t="str">
        <f t="shared" ca="1" si="17"/>
        <v>STU-552</v>
      </c>
      <c r="F112" s="5" t="str">
        <f ca="1">IF(COUNTIF($E$2:E112,E112)=1,"New Customer","Returning Customer")</f>
        <v>New Customer</v>
      </c>
      <c r="G112" s="5" t="str">
        <f t="shared" ca="1" si="18"/>
        <v>Not specified</v>
      </c>
      <c r="H112" s="5" t="s">
        <v>139</v>
      </c>
      <c r="I112" s="5" t="str" cm="1">
        <f t="array" aca="1" ref="I112" ca="1">INDEX(Courses!$B$9:$B$16,RANDBETWEEN(1,8))</f>
        <v>Complete Excel Course</v>
      </c>
      <c r="J112" s="5" t="str">
        <f ca="1">VLOOKUP(I112,Courses!$B$9:$C$16,2,0)</f>
        <v>Microsoft Office</v>
      </c>
      <c r="K112" s="7">
        <f ca="1">VLOOKUP(I112,Courses!$B$9:$D$16,3,0)</f>
        <v>59</v>
      </c>
      <c r="L112" s="5" t="str">
        <f t="shared" ca="1" si="19"/>
        <v>Refunded</v>
      </c>
      <c r="M112" s="8" t="str" cm="1">
        <f t="array" aca="1" ref="M112" ca="1">INDEX('Payment Method'!$A$8:$A$12,RANDBETWEEN(1,5))</f>
        <v>Visa Credit</v>
      </c>
      <c r="N112" s="7">
        <f>IFERROR(SUMIF(Holiday!$A$8:$A$11,B112,Holiday!$C$8:$C$11),0)</f>
        <v>0</v>
      </c>
      <c r="O112" s="7">
        <f t="shared" ca="1" si="20"/>
        <v>59</v>
      </c>
      <c r="P112" s="19">
        <f t="shared" ca="1" si="21"/>
        <v>56.935000000000002</v>
      </c>
      <c r="Q112" s="7">
        <f t="shared" ca="1" si="22"/>
        <v>0</v>
      </c>
      <c r="R112" s="8">
        <f ca="1">VLOOKUP(M112,'Payment Method'!$A$8:$B$12,2,0)</f>
        <v>3.5000000000000003E-2</v>
      </c>
      <c r="S112" s="9">
        <f t="shared" ca="1" si="12"/>
        <v>2.0649999999999977</v>
      </c>
      <c r="T112" s="8">
        <v>0.01</v>
      </c>
      <c r="U112" s="9">
        <f t="shared" ca="1" si="13"/>
        <v>0.56935000000000002</v>
      </c>
      <c r="V112" s="7">
        <f t="shared" ca="1" si="14"/>
        <v>56.365650000000002</v>
      </c>
      <c r="W112" s="7">
        <f t="shared" ca="1" si="15"/>
        <v>0</v>
      </c>
      <c r="X112" s="5" t="str">
        <f t="shared" ca="1" si="23"/>
        <v>Tiktok</v>
      </c>
      <c r="Y112" s="78" t="str">
        <f>IF(COUNTIF($C$1:C111,B111)=1,10,"")</f>
        <v/>
      </c>
    </row>
    <row r="113" spans="1:25" x14ac:dyDescent="0.3">
      <c r="A113" s="76">
        <v>112</v>
      </c>
      <c r="B113" s="6">
        <v>46190</v>
      </c>
      <c r="C113" s="6">
        <v>46195</v>
      </c>
      <c r="D113" s="17" t="str">
        <f t="shared" si="16"/>
        <v>June</v>
      </c>
      <c r="E113" s="5" t="str">
        <f t="shared" ca="1" si="17"/>
        <v>STU-227</v>
      </c>
      <c r="F113" s="5" t="str">
        <f ca="1">IF(COUNTIF($E$2:E113,E113)=1,"New Customer","Returning Customer")</f>
        <v>New Customer</v>
      </c>
      <c r="G113" s="5" t="str">
        <f t="shared" ca="1" si="18"/>
        <v>Female</v>
      </c>
      <c r="H113" s="5" t="s">
        <v>142</v>
      </c>
      <c r="I113" s="5" t="str" cm="1">
        <f t="array" aca="1" ref="I113" ca="1">INDEX(Courses!$B$9:$B$16,RANDBETWEEN(1,8))</f>
        <v>Adolescent Psychology</v>
      </c>
      <c r="J113" s="5" t="str">
        <f ca="1">VLOOKUP(I113,Courses!$B$9:$C$16,2,0)</f>
        <v>Psychology</v>
      </c>
      <c r="K113" s="7">
        <f ca="1">VLOOKUP(I113,Courses!$B$9:$D$16,3,0)</f>
        <v>29</v>
      </c>
      <c r="L113" s="5" t="str">
        <f t="shared" ca="1" si="19"/>
        <v>Pending</v>
      </c>
      <c r="M113" s="8" t="str" cm="1">
        <f t="array" aca="1" ref="M113" ca="1">INDEX('Payment Method'!$A$8:$A$12,RANDBETWEEN(1,5))</f>
        <v>Bank Transfer</v>
      </c>
      <c r="N113" s="7">
        <f>IFERROR(SUMIF(Holiday!$A$8:$A$11,B113,Holiday!$C$8:$C$11),0)</f>
        <v>0</v>
      </c>
      <c r="O113" s="7">
        <f t="shared" ca="1" si="20"/>
        <v>29</v>
      </c>
      <c r="P113" s="19">
        <f t="shared" ca="1" si="21"/>
        <v>29</v>
      </c>
      <c r="Q113" s="7">
        <f t="shared" ca="1" si="22"/>
        <v>28.71</v>
      </c>
      <c r="R113" s="8">
        <f ca="1">VLOOKUP(M113,'Payment Method'!$A$8:$B$12,2,0)</f>
        <v>0</v>
      </c>
      <c r="S113" s="9">
        <f t="shared" ca="1" si="12"/>
        <v>0</v>
      </c>
      <c r="T113" s="8">
        <v>0.01</v>
      </c>
      <c r="U113" s="9">
        <f t="shared" ca="1" si="13"/>
        <v>0.28999999999999915</v>
      </c>
      <c r="V113" s="7">
        <f t="shared" ca="1" si="14"/>
        <v>0</v>
      </c>
      <c r="W113" s="7">
        <f t="shared" ca="1" si="15"/>
        <v>0</v>
      </c>
      <c r="X113" s="5" t="str">
        <f t="shared" ca="1" si="23"/>
        <v>Tiktok</v>
      </c>
      <c r="Y113" s="78">
        <f>IF(COUNTIF($C$1:C112,B112)=1,10,"")</f>
        <v>10</v>
      </c>
    </row>
    <row r="114" spans="1:25" x14ac:dyDescent="0.3">
      <c r="A114" s="75">
        <v>113</v>
      </c>
      <c r="B114" s="6">
        <v>46170</v>
      </c>
      <c r="C114" s="6">
        <v>46172</v>
      </c>
      <c r="D114" s="17" t="str">
        <f t="shared" si="16"/>
        <v>May</v>
      </c>
      <c r="E114" s="5" t="str">
        <f t="shared" ca="1" si="17"/>
        <v>STU-755</v>
      </c>
      <c r="F114" s="5" t="str">
        <f ca="1">IF(COUNTIF($E$2:E114,E114)=1,"New Customer","Returning Customer")</f>
        <v>New Customer</v>
      </c>
      <c r="G114" s="5" t="str">
        <f t="shared" ca="1" si="18"/>
        <v>Not specified</v>
      </c>
      <c r="H114" s="5" t="s">
        <v>142</v>
      </c>
      <c r="I114" s="5" t="str" cm="1">
        <f t="array" aca="1" ref="I114" ca="1">INDEX(Courses!$B$9:$B$16,RANDBETWEEN(1,8))</f>
        <v>Microsoft Word</v>
      </c>
      <c r="J114" s="5" t="str">
        <f ca="1">VLOOKUP(I114,Courses!$B$9:$C$16,2,0)</f>
        <v>Microsoft Office</v>
      </c>
      <c r="K114" s="7">
        <f ca="1">VLOOKUP(I114,Courses!$B$9:$D$16,3,0)</f>
        <v>29</v>
      </c>
      <c r="L114" s="5" t="str">
        <f t="shared" ca="1" si="19"/>
        <v>Pending</v>
      </c>
      <c r="M114" s="8" t="str" cm="1">
        <f t="array" aca="1" ref="M114" ca="1">INDEX('Payment Method'!$A$8:$A$12,RANDBETWEEN(1,5))</f>
        <v>Visa Debit</v>
      </c>
      <c r="N114" s="7">
        <f>IFERROR(SUMIF(Holiday!$A$8:$A$11,B114,Holiday!$C$8:$C$11),0)</f>
        <v>0</v>
      </c>
      <c r="O114" s="7">
        <f t="shared" ca="1" si="20"/>
        <v>29</v>
      </c>
      <c r="P114" s="19">
        <f t="shared" ca="1" si="21"/>
        <v>28.42</v>
      </c>
      <c r="Q114" s="7">
        <f t="shared" ca="1" si="22"/>
        <v>28.135800000000003</v>
      </c>
      <c r="R114" s="8">
        <f ca="1">VLOOKUP(M114,'Payment Method'!$A$8:$B$12,2,0)</f>
        <v>0.02</v>
      </c>
      <c r="S114" s="9">
        <f t="shared" ca="1" si="12"/>
        <v>0.57999999999999829</v>
      </c>
      <c r="T114" s="8">
        <v>0.01</v>
      </c>
      <c r="U114" s="9">
        <f t="shared" ca="1" si="13"/>
        <v>0.28419999999999845</v>
      </c>
      <c r="V114" s="7">
        <f t="shared" ca="1" si="14"/>
        <v>0</v>
      </c>
      <c r="W114" s="7">
        <f t="shared" ca="1" si="15"/>
        <v>0</v>
      </c>
      <c r="X114" s="5" t="str">
        <f t="shared" ca="1" si="23"/>
        <v>Tiktok</v>
      </c>
      <c r="Y114" s="78">
        <f>IF(COUNTIF($C$1:C113,B113)=1,10,"")</f>
        <v>10</v>
      </c>
    </row>
    <row r="115" spans="1:25" x14ac:dyDescent="0.3">
      <c r="A115" s="76">
        <v>114</v>
      </c>
      <c r="B115" s="6">
        <v>46102</v>
      </c>
      <c r="C115" s="6">
        <v>46106</v>
      </c>
      <c r="D115" s="17" t="str">
        <f t="shared" si="16"/>
        <v>March</v>
      </c>
      <c r="E115" s="5" t="str">
        <f t="shared" ca="1" si="17"/>
        <v>STU-359</v>
      </c>
      <c r="F115" s="5" t="str">
        <f ca="1">IF(COUNTIF($E$2:E115,E115)=1,"New Customer","Returning Customer")</f>
        <v>New Customer</v>
      </c>
      <c r="G115" s="5" t="str">
        <f t="shared" ca="1" si="18"/>
        <v>Female</v>
      </c>
      <c r="H115" s="5" t="s">
        <v>142</v>
      </c>
      <c r="I115" s="5" t="str" cm="1">
        <f t="array" aca="1" ref="I115" ca="1">INDEX(Courses!$B$9:$B$16,RANDBETWEEN(1,8))</f>
        <v>SQL</v>
      </c>
      <c r="J115" s="5" t="str">
        <f ca="1">VLOOKUP(I115,Courses!$B$9:$C$16,2,0)</f>
        <v>Data Analytics</v>
      </c>
      <c r="K115" s="7">
        <f ca="1">VLOOKUP(I115,Courses!$B$9:$D$16,3,0)</f>
        <v>99</v>
      </c>
      <c r="L115" s="5" t="str">
        <f t="shared" ca="1" si="19"/>
        <v>Pending</v>
      </c>
      <c r="M115" s="8" t="str" cm="1">
        <f t="array" aca="1" ref="M115" ca="1">INDEX('Payment Method'!$A$8:$A$12,RANDBETWEEN(1,5))</f>
        <v>Mastercard Debit</v>
      </c>
      <c r="N115" s="7">
        <f>IFERROR(SUMIF(Holiday!$A$8:$A$11,B115,Holiday!$C$8:$C$11),0)</f>
        <v>0</v>
      </c>
      <c r="O115" s="7">
        <f t="shared" ca="1" si="20"/>
        <v>99</v>
      </c>
      <c r="P115" s="19">
        <f t="shared" ca="1" si="21"/>
        <v>97.02</v>
      </c>
      <c r="Q115" s="7">
        <f t="shared" ca="1" si="22"/>
        <v>96.049799999999991</v>
      </c>
      <c r="R115" s="8">
        <f ca="1">VLOOKUP(M115,'Payment Method'!$A$8:$B$12,2,0)</f>
        <v>0.02</v>
      </c>
      <c r="S115" s="9">
        <f t="shared" ca="1" si="12"/>
        <v>1.980000000000004</v>
      </c>
      <c r="T115" s="8">
        <v>0.01</v>
      </c>
      <c r="U115" s="9">
        <f t="shared" ca="1" si="13"/>
        <v>0.9702000000000055</v>
      </c>
      <c r="V115" s="7">
        <f t="shared" ca="1" si="14"/>
        <v>0</v>
      </c>
      <c r="W115" s="7">
        <f t="shared" ca="1" si="15"/>
        <v>0</v>
      </c>
      <c r="X115" s="5" t="str">
        <f t="shared" ca="1" si="23"/>
        <v>Instagram</v>
      </c>
      <c r="Y115" s="78" t="str">
        <f>IF(COUNTIF($C$1:C114,B114)=1,10,"")</f>
        <v/>
      </c>
    </row>
    <row r="116" spans="1:25" x14ac:dyDescent="0.3">
      <c r="A116" s="75">
        <v>115</v>
      </c>
      <c r="B116" s="6">
        <v>46211</v>
      </c>
      <c r="C116" s="6">
        <v>46216</v>
      </c>
      <c r="D116" s="17" t="str">
        <f t="shared" si="16"/>
        <v>July</v>
      </c>
      <c r="E116" s="5" t="str">
        <f t="shared" ca="1" si="17"/>
        <v>STU-370</v>
      </c>
      <c r="F116" s="5" t="str">
        <f ca="1">IF(COUNTIF($E$2:E116,E116)=1,"New Customer","Returning Customer")</f>
        <v>Returning Customer</v>
      </c>
      <c r="G116" s="5" t="str">
        <f t="shared" ca="1" si="18"/>
        <v>Female</v>
      </c>
      <c r="H116" s="5" t="s">
        <v>138</v>
      </c>
      <c r="I116" s="5" t="str" cm="1">
        <f t="array" aca="1" ref="I116" ca="1">INDEX(Courses!$B$9:$B$16,RANDBETWEEN(1,8))</f>
        <v>Microsoft Word</v>
      </c>
      <c r="J116" s="5" t="str">
        <f ca="1">VLOOKUP(I116,Courses!$B$9:$C$16,2,0)</f>
        <v>Microsoft Office</v>
      </c>
      <c r="K116" s="7">
        <f ca="1">VLOOKUP(I116,Courses!$B$9:$D$16,3,0)</f>
        <v>29</v>
      </c>
      <c r="L116" s="5" t="str">
        <f t="shared" ca="1" si="19"/>
        <v>Paid</v>
      </c>
      <c r="M116" s="8" t="str" cm="1">
        <f t="array" aca="1" ref="M116" ca="1">INDEX('Payment Method'!$A$8:$A$12,RANDBETWEEN(1,5))</f>
        <v>Bank Transfer</v>
      </c>
      <c r="N116" s="7">
        <f>IFERROR(SUMIF(Holiday!$A$8:$A$11,B116,Holiday!$C$8:$C$11),0)</f>
        <v>0</v>
      </c>
      <c r="O116" s="7">
        <f t="shared" ca="1" si="20"/>
        <v>29</v>
      </c>
      <c r="P116" s="19">
        <f t="shared" ca="1" si="21"/>
        <v>29</v>
      </c>
      <c r="Q116" s="7">
        <f t="shared" ca="1" si="22"/>
        <v>0</v>
      </c>
      <c r="R116" s="8">
        <f ca="1">VLOOKUP(M116,'Payment Method'!$A$8:$B$12,2,0)</f>
        <v>0</v>
      </c>
      <c r="S116" s="9">
        <f t="shared" ca="1" si="12"/>
        <v>0</v>
      </c>
      <c r="T116" s="8">
        <v>0.01</v>
      </c>
      <c r="U116" s="9">
        <f t="shared" ca="1" si="13"/>
        <v>0.28999999999999915</v>
      </c>
      <c r="V116" s="7">
        <f t="shared" ca="1" si="14"/>
        <v>0</v>
      </c>
      <c r="W116" s="7">
        <f t="shared" ca="1" si="15"/>
        <v>28.71</v>
      </c>
      <c r="X116" s="5" t="str">
        <f t="shared" ca="1" si="23"/>
        <v>Instagram</v>
      </c>
      <c r="Y116" s="78">
        <f>IF(COUNTIF($C$1:C115,B115)=1,10,"")</f>
        <v>10</v>
      </c>
    </row>
    <row r="117" spans="1:25" x14ac:dyDescent="0.3">
      <c r="A117" s="76">
        <v>116</v>
      </c>
      <c r="B117" s="6">
        <v>46189</v>
      </c>
      <c r="C117" s="6">
        <v>46192</v>
      </c>
      <c r="D117" s="17" t="str">
        <f t="shared" si="16"/>
        <v>June</v>
      </c>
      <c r="E117" s="5" t="str">
        <f t="shared" ca="1" si="17"/>
        <v>STU-751</v>
      </c>
      <c r="F117" s="5" t="str">
        <f ca="1">IF(COUNTIF($E$2:E117,E117)=1,"New Customer","Returning Customer")</f>
        <v>Returning Customer</v>
      </c>
      <c r="G117" s="5" t="str">
        <f t="shared" ca="1" si="18"/>
        <v>Not specified</v>
      </c>
      <c r="H117" s="5" t="s">
        <v>142</v>
      </c>
      <c r="I117" s="5" t="str" cm="1">
        <f t="array" aca="1" ref="I117" ca="1">INDEX(Courses!$B$9:$B$16,RANDBETWEEN(1,8))</f>
        <v>Microsoft Word</v>
      </c>
      <c r="J117" s="5" t="str">
        <f ca="1">VLOOKUP(I117,Courses!$B$9:$C$16,2,0)</f>
        <v>Microsoft Office</v>
      </c>
      <c r="K117" s="7">
        <f ca="1">VLOOKUP(I117,Courses!$B$9:$D$16,3,0)</f>
        <v>29</v>
      </c>
      <c r="L117" s="5" t="str">
        <f t="shared" ca="1" si="19"/>
        <v>Pending</v>
      </c>
      <c r="M117" s="8" t="str" cm="1">
        <f t="array" aca="1" ref="M117" ca="1">INDEX('Payment Method'!$A$8:$A$12,RANDBETWEEN(1,5))</f>
        <v>Visa Debit</v>
      </c>
      <c r="N117" s="7">
        <f>IFERROR(SUMIF(Holiday!$A$8:$A$11,B117,Holiday!$C$8:$C$11),0)</f>
        <v>0</v>
      </c>
      <c r="O117" s="7">
        <f t="shared" ca="1" si="20"/>
        <v>29</v>
      </c>
      <c r="P117" s="19">
        <f t="shared" ca="1" si="21"/>
        <v>28.42</v>
      </c>
      <c r="Q117" s="7">
        <f t="shared" ca="1" si="22"/>
        <v>28.135800000000003</v>
      </c>
      <c r="R117" s="8">
        <f ca="1">VLOOKUP(M117,'Payment Method'!$A$8:$B$12,2,0)</f>
        <v>0.02</v>
      </c>
      <c r="S117" s="9">
        <f t="shared" ca="1" si="12"/>
        <v>0.57999999999999829</v>
      </c>
      <c r="T117" s="8">
        <v>0.01</v>
      </c>
      <c r="U117" s="9">
        <f t="shared" ca="1" si="13"/>
        <v>0.28419999999999845</v>
      </c>
      <c r="V117" s="7">
        <f t="shared" ca="1" si="14"/>
        <v>0</v>
      </c>
      <c r="W117" s="7">
        <f t="shared" ca="1" si="15"/>
        <v>0</v>
      </c>
      <c r="X117" s="5" t="str">
        <f t="shared" ca="1" si="23"/>
        <v>Instagram</v>
      </c>
      <c r="Y117" s="78" t="str">
        <f>IF(COUNTIF($C$1:C116,B116)=1,10,"")</f>
        <v/>
      </c>
    </row>
    <row r="118" spans="1:25" x14ac:dyDescent="0.3">
      <c r="A118" s="75">
        <v>117</v>
      </c>
      <c r="B118" s="6">
        <v>46111</v>
      </c>
      <c r="C118" s="6">
        <v>46112</v>
      </c>
      <c r="D118" s="17" t="str">
        <f t="shared" si="16"/>
        <v>March</v>
      </c>
      <c r="E118" s="5" t="str">
        <f t="shared" ca="1" si="17"/>
        <v>STU-569</v>
      </c>
      <c r="F118" s="5" t="str">
        <f ca="1">IF(COUNTIF($E$2:E118,E118)=1,"New Customer","Returning Customer")</f>
        <v>New Customer</v>
      </c>
      <c r="G118" s="5" t="str">
        <f t="shared" ca="1" si="18"/>
        <v>Not specified</v>
      </c>
      <c r="H118" s="5" t="s">
        <v>136</v>
      </c>
      <c r="I118" s="5" t="str" cm="1">
        <f t="array" aca="1" ref="I118" ca="1">INDEX(Courses!$B$9:$B$16,RANDBETWEEN(1,8))</f>
        <v>Microsoft Word</v>
      </c>
      <c r="J118" s="5" t="str">
        <f ca="1">VLOOKUP(I118,Courses!$B$9:$C$16,2,0)</f>
        <v>Microsoft Office</v>
      </c>
      <c r="K118" s="7">
        <f ca="1">VLOOKUP(I118,Courses!$B$9:$D$16,3,0)</f>
        <v>29</v>
      </c>
      <c r="L118" s="5" t="str">
        <f t="shared" ca="1" si="19"/>
        <v>Paid</v>
      </c>
      <c r="M118" s="8" t="str" cm="1">
        <f t="array" aca="1" ref="M118" ca="1">INDEX('Payment Method'!$A$8:$A$12,RANDBETWEEN(1,5))</f>
        <v>Mastercard Debit</v>
      </c>
      <c r="N118" s="7">
        <f>IFERROR(SUMIF(Holiday!$A$8:$A$11,B118,Holiday!$C$8:$C$11),0)</f>
        <v>0</v>
      </c>
      <c r="O118" s="7">
        <f t="shared" ca="1" si="20"/>
        <v>29</v>
      </c>
      <c r="P118" s="19">
        <f t="shared" ca="1" si="21"/>
        <v>28.42</v>
      </c>
      <c r="Q118" s="7">
        <f t="shared" ca="1" si="22"/>
        <v>0</v>
      </c>
      <c r="R118" s="8">
        <f ca="1">VLOOKUP(M118,'Payment Method'!$A$8:$B$12,2,0)</f>
        <v>0.02</v>
      </c>
      <c r="S118" s="9">
        <f t="shared" ca="1" si="12"/>
        <v>0.57999999999999829</v>
      </c>
      <c r="T118" s="8">
        <v>0.01</v>
      </c>
      <c r="U118" s="9">
        <f t="shared" ca="1" si="13"/>
        <v>0.28419999999999845</v>
      </c>
      <c r="V118" s="7">
        <f t="shared" ca="1" si="14"/>
        <v>0</v>
      </c>
      <c r="W118" s="7">
        <f t="shared" ca="1" si="15"/>
        <v>28.135800000000003</v>
      </c>
      <c r="X118" s="5" t="str">
        <f t="shared" ca="1" si="23"/>
        <v>Facebook</v>
      </c>
      <c r="Y118" s="78" t="str">
        <f>IF(COUNTIF($C$1:C117,B117)=1,10,"")</f>
        <v/>
      </c>
    </row>
    <row r="119" spans="1:25" x14ac:dyDescent="0.3">
      <c r="A119" s="76">
        <v>118</v>
      </c>
      <c r="B119" s="6">
        <v>46024</v>
      </c>
      <c r="C119" s="6">
        <v>46024</v>
      </c>
      <c r="D119" s="17" t="str">
        <f t="shared" si="16"/>
        <v>January</v>
      </c>
      <c r="E119" s="5" t="str">
        <f t="shared" ca="1" si="17"/>
        <v>STU-353</v>
      </c>
      <c r="F119" s="5" t="str">
        <f ca="1">IF(COUNTIF($E$2:E119,E119)=1,"New Customer","Returning Customer")</f>
        <v>New Customer</v>
      </c>
      <c r="G119" s="5" t="str">
        <f t="shared" ca="1" si="18"/>
        <v>Male</v>
      </c>
      <c r="H119" s="5" t="s">
        <v>137</v>
      </c>
      <c r="I119" s="5" t="str" cm="1">
        <f t="array" aca="1" ref="I119" ca="1">INDEX(Courses!$B$9:$B$16,RANDBETWEEN(1,8))</f>
        <v>Power BI</v>
      </c>
      <c r="J119" s="5" t="str">
        <f ca="1">VLOOKUP(I119,Courses!$B$9:$C$16,2,0)</f>
        <v>Data Analytics</v>
      </c>
      <c r="K119" s="7">
        <f ca="1">VLOOKUP(I119,Courses!$B$9:$D$16,3,0)</f>
        <v>59</v>
      </c>
      <c r="L119" s="5" t="str">
        <f t="shared" ca="1" si="19"/>
        <v>Refunded</v>
      </c>
      <c r="M119" s="8" t="str" cm="1">
        <f t="array" aca="1" ref="M119" ca="1">INDEX('Payment Method'!$A$8:$A$12,RANDBETWEEN(1,5))</f>
        <v>Mastercard Debit</v>
      </c>
      <c r="N119" s="7">
        <f>IFERROR(SUMIF(Holiday!$A$8:$A$11,B119,Holiday!$C$8:$C$11),0)</f>
        <v>0</v>
      </c>
      <c r="O119" s="7">
        <f t="shared" ca="1" si="20"/>
        <v>59</v>
      </c>
      <c r="P119" s="19">
        <f t="shared" ca="1" si="21"/>
        <v>57.82</v>
      </c>
      <c r="Q119" s="7">
        <f t="shared" ca="1" si="22"/>
        <v>0</v>
      </c>
      <c r="R119" s="8">
        <f ca="1">VLOOKUP(M119,'Payment Method'!$A$8:$B$12,2,0)</f>
        <v>0.02</v>
      </c>
      <c r="S119" s="9">
        <f t="shared" ca="1" si="12"/>
        <v>1.1799999999999997</v>
      </c>
      <c r="T119" s="8">
        <v>0.01</v>
      </c>
      <c r="U119" s="9">
        <f t="shared" ca="1" si="13"/>
        <v>0.57820000000000249</v>
      </c>
      <c r="V119" s="7">
        <f t="shared" ca="1" si="14"/>
        <v>57.241799999999998</v>
      </c>
      <c r="W119" s="7">
        <f t="shared" ca="1" si="15"/>
        <v>0</v>
      </c>
      <c r="X119" s="5" t="str">
        <f t="shared" ca="1" si="23"/>
        <v>Instagram</v>
      </c>
      <c r="Y119" s="78">
        <f>IF(COUNTIF($C$1:C118,B118)=1,10,"")</f>
        <v>10</v>
      </c>
    </row>
    <row r="120" spans="1:25" x14ac:dyDescent="0.3">
      <c r="A120" s="75">
        <v>119</v>
      </c>
      <c r="B120" s="6">
        <v>46088</v>
      </c>
      <c r="C120" s="6">
        <v>46088</v>
      </c>
      <c r="D120" s="17" t="str">
        <f t="shared" si="16"/>
        <v>March</v>
      </c>
      <c r="E120" s="5" t="str">
        <f t="shared" ca="1" si="17"/>
        <v>STU-995</v>
      </c>
      <c r="F120" s="5" t="str">
        <f ca="1">IF(COUNTIF($E$2:E120,E120)=1,"New Customer","Returning Customer")</f>
        <v>New Customer</v>
      </c>
      <c r="G120" s="5" t="str">
        <f t="shared" ca="1" si="18"/>
        <v>Female</v>
      </c>
      <c r="H120" s="5" t="s">
        <v>142</v>
      </c>
      <c r="I120" s="5" t="str" cm="1">
        <f t="array" aca="1" ref="I120" ca="1">INDEX(Courses!$B$9:$B$16,RANDBETWEEN(1,8))</f>
        <v>Tax Code</v>
      </c>
      <c r="J120" s="5" t="str">
        <f ca="1">VLOOKUP(I120,Courses!$B$9:$C$16,2,0)</f>
        <v>Finance &amp; Taxation</v>
      </c>
      <c r="K120" s="7">
        <f ca="1">VLOOKUP(I120,Courses!$B$9:$D$16,3,0)</f>
        <v>59</v>
      </c>
      <c r="L120" s="5" t="str">
        <f t="shared" ca="1" si="19"/>
        <v>Paid</v>
      </c>
      <c r="M120" s="8" t="str" cm="1">
        <f t="array" aca="1" ref="M120" ca="1">INDEX('Payment Method'!$A$8:$A$12,RANDBETWEEN(1,5))</f>
        <v>Mastercard Credit</v>
      </c>
      <c r="N120" s="7">
        <f>IFERROR(SUMIF(Holiday!$A$8:$A$11,B120,Holiday!$C$8:$C$11),0)</f>
        <v>0</v>
      </c>
      <c r="O120" s="7">
        <f t="shared" ca="1" si="20"/>
        <v>59</v>
      </c>
      <c r="P120" s="19">
        <f t="shared" ca="1" si="21"/>
        <v>56.935000000000002</v>
      </c>
      <c r="Q120" s="7">
        <f t="shared" ca="1" si="22"/>
        <v>0</v>
      </c>
      <c r="R120" s="8">
        <f ca="1">VLOOKUP(M120,'Payment Method'!$A$8:$B$12,2,0)</f>
        <v>3.5000000000000003E-2</v>
      </c>
      <c r="S120" s="9">
        <f t="shared" ca="1" si="12"/>
        <v>2.0649999999999977</v>
      </c>
      <c r="T120" s="8">
        <v>0.01</v>
      </c>
      <c r="U120" s="9">
        <f t="shared" ca="1" si="13"/>
        <v>0.56935000000000002</v>
      </c>
      <c r="V120" s="7">
        <f t="shared" ca="1" si="14"/>
        <v>0</v>
      </c>
      <c r="W120" s="7">
        <f t="shared" ca="1" si="15"/>
        <v>56.365650000000002</v>
      </c>
      <c r="X120" s="5" t="str">
        <f t="shared" ca="1" si="23"/>
        <v>Instagram</v>
      </c>
      <c r="Y120" s="78" t="str">
        <f>IF(COUNTIF($C$1:C119,B119)=1,10,"")</f>
        <v/>
      </c>
    </row>
    <row r="121" spans="1:25" x14ac:dyDescent="0.3">
      <c r="A121" s="76">
        <v>120</v>
      </c>
      <c r="B121" s="6">
        <v>46031</v>
      </c>
      <c r="C121" s="6">
        <v>46034</v>
      </c>
      <c r="D121" s="17" t="str">
        <f t="shared" si="16"/>
        <v>January</v>
      </c>
      <c r="E121" s="5" t="str">
        <f t="shared" ca="1" si="17"/>
        <v>STU-949</v>
      </c>
      <c r="F121" s="5" t="str">
        <f ca="1">IF(COUNTIF($E$2:E121,E121)=1,"New Customer","Returning Customer")</f>
        <v>New Customer</v>
      </c>
      <c r="G121" s="5" t="str">
        <f t="shared" ca="1" si="18"/>
        <v>Not specified</v>
      </c>
      <c r="H121" s="5" t="s">
        <v>141</v>
      </c>
      <c r="I121" s="5" t="str" cm="1">
        <f t="array" aca="1" ref="I121" ca="1">INDEX(Courses!$B$9:$B$16,RANDBETWEEN(1,8))</f>
        <v>Tax Code</v>
      </c>
      <c r="J121" s="5" t="str">
        <f ca="1">VLOOKUP(I121,Courses!$B$9:$C$16,2,0)</f>
        <v>Finance &amp; Taxation</v>
      </c>
      <c r="K121" s="7">
        <f ca="1">VLOOKUP(I121,Courses!$B$9:$D$16,3,0)</f>
        <v>59</v>
      </c>
      <c r="L121" s="5" t="str">
        <f t="shared" ca="1" si="19"/>
        <v>Paid</v>
      </c>
      <c r="M121" s="8" t="str" cm="1">
        <f t="array" aca="1" ref="M121" ca="1">INDEX('Payment Method'!$A$8:$A$12,RANDBETWEEN(1,5))</f>
        <v>Bank Transfer</v>
      </c>
      <c r="N121" s="7">
        <f>IFERROR(SUMIF(Holiday!$A$8:$A$11,B121,Holiday!$C$8:$C$11),0)</f>
        <v>0</v>
      </c>
      <c r="O121" s="7">
        <f t="shared" ca="1" si="20"/>
        <v>59</v>
      </c>
      <c r="P121" s="19">
        <f t="shared" ca="1" si="21"/>
        <v>59</v>
      </c>
      <c r="Q121" s="7">
        <f t="shared" ca="1" si="22"/>
        <v>0</v>
      </c>
      <c r="R121" s="8">
        <f ca="1">VLOOKUP(M121,'Payment Method'!$A$8:$B$12,2,0)</f>
        <v>0</v>
      </c>
      <c r="S121" s="9">
        <f t="shared" ca="1" si="12"/>
        <v>0</v>
      </c>
      <c r="T121" s="8">
        <v>0.01</v>
      </c>
      <c r="U121" s="9">
        <f t="shared" ca="1" si="13"/>
        <v>0.59000000000000341</v>
      </c>
      <c r="V121" s="7">
        <f t="shared" ca="1" si="14"/>
        <v>0</v>
      </c>
      <c r="W121" s="7">
        <f t="shared" ca="1" si="15"/>
        <v>58.41</v>
      </c>
      <c r="X121" s="5" t="str">
        <f t="shared" ca="1" si="23"/>
        <v>Instagram</v>
      </c>
      <c r="Y121" s="78" t="str">
        <f>IF(COUNTIF($C$1:C120,B120)=1,10,"")</f>
        <v/>
      </c>
    </row>
    <row r="122" spans="1:25" x14ac:dyDescent="0.3">
      <c r="A122" s="75">
        <v>121</v>
      </c>
      <c r="B122" s="6">
        <v>46187</v>
      </c>
      <c r="C122" s="6">
        <v>46192</v>
      </c>
      <c r="D122" s="17" t="str">
        <f t="shared" si="16"/>
        <v>June</v>
      </c>
      <c r="E122" s="5" t="str">
        <f t="shared" ca="1" si="17"/>
        <v>STU-398</v>
      </c>
      <c r="F122" s="5" t="str">
        <f ca="1">IF(COUNTIF($E$2:E122,E122)=1,"New Customer","Returning Customer")</f>
        <v>New Customer</v>
      </c>
      <c r="G122" s="5" t="str">
        <f t="shared" ca="1" si="18"/>
        <v>Not specified</v>
      </c>
      <c r="H122" s="5" t="s">
        <v>139</v>
      </c>
      <c r="I122" s="5" t="str" cm="1">
        <f t="array" aca="1" ref="I122" ca="1">INDEX(Courses!$B$9:$B$16,RANDBETWEEN(1,8))</f>
        <v>Complete Excel Course</v>
      </c>
      <c r="J122" s="5" t="str">
        <f ca="1">VLOOKUP(I122,Courses!$B$9:$C$16,2,0)</f>
        <v>Microsoft Office</v>
      </c>
      <c r="K122" s="7">
        <f ca="1">VLOOKUP(I122,Courses!$B$9:$D$16,3,0)</f>
        <v>59</v>
      </c>
      <c r="L122" s="5" t="str">
        <f t="shared" ca="1" si="19"/>
        <v>Paid</v>
      </c>
      <c r="M122" s="8" t="str" cm="1">
        <f t="array" aca="1" ref="M122" ca="1">INDEX('Payment Method'!$A$8:$A$12,RANDBETWEEN(1,5))</f>
        <v>Bank Transfer</v>
      </c>
      <c r="N122" s="7">
        <f>IFERROR(SUMIF(Holiday!$A$8:$A$11,B122,Holiday!$C$8:$C$11),0)</f>
        <v>0</v>
      </c>
      <c r="O122" s="7">
        <f t="shared" ca="1" si="20"/>
        <v>59</v>
      </c>
      <c r="P122" s="19">
        <f t="shared" ca="1" si="21"/>
        <v>59</v>
      </c>
      <c r="Q122" s="7">
        <f t="shared" ca="1" si="22"/>
        <v>0</v>
      </c>
      <c r="R122" s="8">
        <f ca="1">VLOOKUP(M122,'Payment Method'!$A$8:$B$12,2,0)</f>
        <v>0</v>
      </c>
      <c r="S122" s="9">
        <f t="shared" ca="1" si="12"/>
        <v>0</v>
      </c>
      <c r="T122" s="8">
        <v>0.01</v>
      </c>
      <c r="U122" s="9">
        <f t="shared" ca="1" si="13"/>
        <v>0.59000000000000341</v>
      </c>
      <c r="V122" s="7">
        <f t="shared" ca="1" si="14"/>
        <v>0</v>
      </c>
      <c r="W122" s="7">
        <f t="shared" ca="1" si="15"/>
        <v>58.41</v>
      </c>
      <c r="X122" s="5" t="str">
        <f t="shared" ca="1" si="23"/>
        <v>Tiktok</v>
      </c>
      <c r="Y122" s="78">
        <f>IF(COUNTIF($C$1:C121,B121)=1,10,"")</f>
        <v>10</v>
      </c>
    </row>
    <row r="123" spans="1:25" x14ac:dyDescent="0.3">
      <c r="A123" s="76">
        <v>122</v>
      </c>
      <c r="B123" s="6">
        <v>46198</v>
      </c>
      <c r="C123" s="6">
        <v>46198</v>
      </c>
      <c r="D123" s="17" t="str">
        <f t="shared" si="16"/>
        <v>June</v>
      </c>
      <c r="E123" s="5" t="str">
        <f t="shared" ca="1" si="17"/>
        <v>STU-190</v>
      </c>
      <c r="F123" s="5" t="str">
        <f ca="1">IF(COUNTIF($E$2:E123,E123)=1,"New Customer","Returning Customer")</f>
        <v>New Customer</v>
      </c>
      <c r="G123" s="5" t="str">
        <f t="shared" ca="1" si="18"/>
        <v>Male</v>
      </c>
      <c r="H123" s="5" t="s">
        <v>136</v>
      </c>
      <c r="I123" s="5" t="str" cm="1">
        <f t="array" aca="1" ref="I123" ca="1">INDEX(Courses!$B$9:$B$16,RANDBETWEEN(1,8))</f>
        <v>Power BI</v>
      </c>
      <c r="J123" s="5" t="str">
        <f ca="1">VLOOKUP(I123,Courses!$B$9:$C$16,2,0)</f>
        <v>Data Analytics</v>
      </c>
      <c r="K123" s="7">
        <f ca="1">VLOOKUP(I123,Courses!$B$9:$D$16,3,0)</f>
        <v>59</v>
      </c>
      <c r="L123" s="5" t="str">
        <f t="shared" ca="1" si="19"/>
        <v>Pending</v>
      </c>
      <c r="M123" s="8" t="str" cm="1">
        <f t="array" aca="1" ref="M123" ca="1">INDEX('Payment Method'!$A$8:$A$12,RANDBETWEEN(1,5))</f>
        <v>Mastercard Credit</v>
      </c>
      <c r="N123" s="7">
        <f>IFERROR(SUMIF(Holiday!$A$8:$A$11,B123,Holiday!$C$8:$C$11),0)</f>
        <v>0</v>
      </c>
      <c r="O123" s="7">
        <f t="shared" ca="1" si="20"/>
        <v>59</v>
      </c>
      <c r="P123" s="19">
        <f t="shared" ca="1" si="21"/>
        <v>56.935000000000002</v>
      </c>
      <c r="Q123" s="7">
        <f t="shared" ca="1" si="22"/>
        <v>56.365650000000002</v>
      </c>
      <c r="R123" s="8">
        <f ca="1">VLOOKUP(M123,'Payment Method'!$A$8:$B$12,2,0)</f>
        <v>3.5000000000000003E-2</v>
      </c>
      <c r="S123" s="9">
        <f t="shared" ca="1" si="12"/>
        <v>2.0649999999999977</v>
      </c>
      <c r="T123" s="8">
        <v>0.01</v>
      </c>
      <c r="U123" s="9">
        <f t="shared" ca="1" si="13"/>
        <v>0.56935000000000002</v>
      </c>
      <c r="V123" s="7">
        <f t="shared" ca="1" si="14"/>
        <v>0</v>
      </c>
      <c r="W123" s="7">
        <f t="shared" ca="1" si="15"/>
        <v>0</v>
      </c>
      <c r="X123" s="5" t="str">
        <f t="shared" ca="1" si="23"/>
        <v>Instagram</v>
      </c>
      <c r="Y123" s="78" t="str">
        <f>IF(COUNTIF($C$1:C122,B122)=1,10,"")</f>
        <v/>
      </c>
    </row>
    <row r="124" spans="1:25" x14ac:dyDescent="0.3">
      <c r="A124" s="75">
        <v>123</v>
      </c>
      <c r="B124" s="6">
        <v>46042</v>
      </c>
      <c r="C124" s="6">
        <v>46046</v>
      </c>
      <c r="D124" s="17" t="str">
        <f t="shared" si="16"/>
        <v>January</v>
      </c>
      <c r="E124" s="5" t="str">
        <f t="shared" ca="1" si="17"/>
        <v>STU-544</v>
      </c>
      <c r="F124" s="5" t="str">
        <f ca="1">IF(COUNTIF($E$2:E124,E124)=1,"New Customer","Returning Customer")</f>
        <v>New Customer</v>
      </c>
      <c r="G124" s="5" t="str">
        <f t="shared" ca="1" si="18"/>
        <v>Male</v>
      </c>
      <c r="H124" s="5" t="s">
        <v>140</v>
      </c>
      <c r="I124" s="5" t="str" cm="1">
        <f t="array" aca="1" ref="I124" ca="1">INDEX(Courses!$B$9:$B$16,RANDBETWEEN(1,8))</f>
        <v>Excel Basics</v>
      </c>
      <c r="J124" s="5" t="str">
        <f ca="1">VLOOKUP(I124,Courses!$B$9:$C$16,2,0)</f>
        <v>Microsoft Office</v>
      </c>
      <c r="K124" s="7">
        <f ca="1">VLOOKUP(I124,Courses!$B$9:$D$16,3,0)</f>
        <v>29</v>
      </c>
      <c r="L124" s="5" t="str">
        <f t="shared" ca="1" si="19"/>
        <v>Paid</v>
      </c>
      <c r="M124" s="8" t="str" cm="1">
        <f t="array" aca="1" ref="M124" ca="1">INDEX('Payment Method'!$A$8:$A$12,RANDBETWEEN(1,5))</f>
        <v>Visa Credit</v>
      </c>
      <c r="N124" s="7">
        <f>IFERROR(SUMIF(Holiday!$A$8:$A$11,B124,Holiday!$C$8:$C$11),0)</f>
        <v>0</v>
      </c>
      <c r="O124" s="7">
        <f t="shared" ca="1" si="20"/>
        <v>29</v>
      </c>
      <c r="P124" s="19">
        <f t="shared" ca="1" si="21"/>
        <v>27.984999999999999</v>
      </c>
      <c r="Q124" s="7">
        <f t="shared" ca="1" si="22"/>
        <v>0</v>
      </c>
      <c r="R124" s="8">
        <f ca="1">VLOOKUP(M124,'Payment Method'!$A$8:$B$12,2,0)</f>
        <v>3.5000000000000003E-2</v>
      </c>
      <c r="S124" s="9">
        <f t="shared" ca="1" si="12"/>
        <v>1.0150000000000006</v>
      </c>
      <c r="T124" s="8">
        <v>0.01</v>
      </c>
      <c r="U124" s="9">
        <f t="shared" ca="1" si="13"/>
        <v>0.27984999999999971</v>
      </c>
      <c r="V124" s="7">
        <f t="shared" ca="1" si="14"/>
        <v>0</v>
      </c>
      <c r="W124" s="7">
        <f t="shared" ca="1" si="15"/>
        <v>27.70515</v>
      </c>
      <c r="X124" s="5" t="str">
        <f t="shared" ca="1" si="23"/>
        <v>Facebook</v>
      </c>
      <c r="Y124" s="78">
        <f>IF(COUNTIF($C$1:C123,B123)=1,10,"")</f>
        <v>10</v>
      </c>
    </row>
    <row r="125" spans="1:25" x14ac:dyDescent="0.3">
      <c r="A125" s="76">
        <v>124</v>
      </c>
      <c r="B125" s="6">
        <v>46120</v>
      </c>
      <c r="C125" s="6">
        <v>46124</v>
      </c>
      <c r="D125" s="17" t="str">
        <f t="shared" si="16"/>
        <v>April</v>
      </c>
      <c r="E125" s="5" t="str">
        <f t="shared" ca="1" si="17"/>
        <v>STU-45</v>
      </c>
      <c r="F125" s="5" t="str">
        <f ca="1">IF(COUNTIF($E$2:E125,E125)=1,"New Customer","Returning Customer")</f>
        <v>New Customer</v>
      </c>
      <c r="G125" s="5" t="str">
        <f t="shared" ca="1" si="18"/>
        <v>Not specified</v>
      </c>
      <c r="H125" s="5" t="s">
        <v>141</v>
      </c>
      <c r="I125" s="5" t="str" cm="1">
        <f t="array" aca="1" ref="I125" ca="1">INDEX(Courses!$B$9:$B$16,RANDBETWEEN(1,8))</f>
        <v>Microsoft Word</v>
      </c>
      <c r="J125" s="5" t="str">
        <f ca="1">VLOOKUP(I125,Courses!$B$9:$C$16,2,0)</f>
        <v>Microsoft Office</v>
      </c>
      <c r="K125" s="7">
        <f ca="1">VLOOKUP(I125,Courses!$B$9:$D$16,3,0)</f>
        <v>29</v>
      </c>
      <c r="L125" s="5" t="str">
        <f t="shared" ca="1" si="19"/>
        <v>Paid</v>
      </c>
      <c r="M125" s="8" t="str" cm="1">
        <f t="array" aca="1" ref="M125" ca="1">INDEX('Payment Method'!$A$8:$A$12,RANDBETWEEN(1,5))</f>
        <v>Bank Transfer</v>
      </c>
      <c r="N125" s="7">
        <f>IFERROR(SUMIF(Holiday!$A$8:$A$11,B125,Holiday!$C$8:$C$11),0)</f>
        <v>0</v>
      </c>
      <c r="O125" s="7">
        <f t="shared" ca="1" si="20"/>
        <v>29</v>
      </c>
      <c r="P125" s="19">
        <f t="shared" ca="1" si="21"/>
        <v>29</v>
      </c>
      <c r="Q125" s="7">
        <f t="shared" ca="1" si="22"/>
        <v>0</v>
      </c>
      <c r="R125" s="8">
        <f ca="1">VLOOKUP(M125,'Payment Method'!$A$8:$B$12,2,0)</f>
        <v>0</v>
      </c>
      <c r="S125" s="9">
        <f t="shared" ca="1" si="12"/>
        <v>0</v>
      </c>
      <c r="T125" s="8">
        <v>0.01</v>
      </c>
      <c r="U125" s="9">
        <f t="shared" ca="1" si="13"/>
        <v>0.28999999999999915</v>
      </c>
      <c r="V125" s="7">
        <f t="shared" ca="1" si="14"/>
        <v>0</v>
      </c>
      <c r="W125" s="7">
        <f t="shared" ca="1" si="15"/>
        <v>28.71</v>
      </c>
      <c r="X125" s="5" t="str">
        <f t="shared" ca="1" si="23"/>
        <v>Instagram</v>
      </c>
      <c r="Y125" s="78">
        <f>IF(COUNTIF($C$1:C124,B124)=1,10,"")</f>
        <v>10</v>
      </c>
    </row>
    <row r="126" spans="1:25" x14ac:dyDescent="0.3">
      <c r="A126" s="75">
        <v>125</v>
      </c>
      <c r="B126" s="6">
        <v>46121</v>
      </c>
      <c r="C126" s="6">
        <v>46126</v>
      </c>
      <c r="D126" s="17" t="str">
        <f t="shared" si="16"/>
        <v>April</v>
      </c>
      <c r="E126" s="5" t="str">
        <f t="shared" ca="1" si="17"/>
        <v>STU-915</v>
      </c>
      <c r="F126" s="5" t="str">
        <f ca="1">IF(COUNTIF($E$2:E126,E126)=1,"New Customer","Returning Customer")</f>
        <v>New Customer</v>
      </c>
      <c r="G126" s="5" t="str">
        <f t="shared" ca="1" si="18"/>
        <v>Not specified</v>
      </c>
      <c r="H126" s="5" t="s">
        <v>135</v>
      </c>
      <c r="I126" s="5" t="str" cm="1">
        <f t="array" aca="1" ref="I126" ca="1">INDEX(Courses!$B$9:$B$16,RANDBETWEEN(1,8))</f>
        <v>Microsoft Word</v>
      </c>
      <c r="J126" s="5" t="str">
        <f ca="1">VLOOKUP(I126,Courses!$B$9:$C$16,2,0)</f>
        <v>Microsoft Office</v>
      </c>
      <c r="K126" s="7">
        <f ca="1">VLOOKUP(I126,Courses!$B$9:$D$16,3,0)</f>
        <v>29</v>
      </c>
      <c r="L126" s="5" t="str">
        <f t="shared" ca="1" si="19"/>
        <v>Refunded</v>
      </c>
      <c r="M126" s="8" t="str" cm="1">
        <f t="array" aca="1" ref="M126" ca="1">INDEX('Payment Method'!$A$8:$A$12,RANDBETWEEN(1,5))</f>
        <v>Visa Credit</v>
      </c>
      <c r="N126" s="7">
        <f>IFERROR(SUMIF(Holiday!$A$8:$A$11,B126,Holiday!$C$8:$C$11),0)</f>
        <v>0</v>
      </c>
      <c r="O126" s="7">
        <f t="shared" ca="1" si="20"/>
        <v>29</v>
      </c>
      <c r="P126" s="19">
        <f t="shared" ca="1" si="21"/>
        <v>27.984999999999999</v>
      </c>
      <c r="Q126" s="7">
        <f t="shared" ca="1" si="22"/>
        <v>0</v>
      </c>
      <c r="R126" s="8">
        <f ca="1">VLOOKUP(M126,'Payment Method'!$A$8:$B$12,2,0)</f>
        <v>3.5000000000000003E-2</v>
      </c>
      <c r="S126" s="9">
        <f t="shared" ca="1" si="12"/>
        <v>1.0150000000000006</v>
      </c>
      <c r="T126" s="8">
        <v>0.01</v>
      </c>
      <c r="U126" s="9">
        <f t="shared" ca="1" si="13"/>
        <v>0.27984999999999971</v>
      </c>
      <c r="V126" s="7">
        <f t="shared" ca="1" si="14"/>
        <v>27.70515</v>
      </c>
      <c r="W126" s="7">
        <f t="shared" ca="1" si="15"/>
        <v>0</v>
      </c>
      <c r="X126" s="5" t="str">
        <f t="shared" ca="1" si="23"/>
        <v>Instagram</v>
      </c>
      <c r="Y126" s="78" t="str">
        <f>IF(COUNTIF($C$1:C125,B125)=1,10,"")</f>
        <v/>
      </c>
    </row>
    <row r="127" spans="1:25" x14ac:dyDescent="0.3">
      <c r="A127" s="76">
        <v>126</v>
      </c>
      <c r="B127" s="6">
        <v>46052</v>
      </c>
      <c r="C127" s="6">
        <v>46057</v>
      </c>
      <c r="D127" s="17" t="str">
        <f t="shared" si="16"/>
        <v>February</v>
      </c>
      <c r="E127" s="5" t="str">
        <f t="shared" ca="1" si="17"/>
        <v>STU-453</v>
      </c>
      <c r="F127" s="5" t="str">
        <f ca="1">IF(COUNTIF($E$2:E127,E127)=1,"New Customer","Returning Customer")</f>
        <v>New Customer</v>
      </c>
      <c r="G127" s="5" t="str">
        <f t="shared" ca="1" si="18"/>
        <v>Not specified</v>
      </c>
      <c r="H127" s="5" t="s">
        <v>139</v>
      </c>
      <c r="I127" s="5" t="str" cm="1">
        <f t="array" aca="1" ref="I127" ca="1">INDEX(Courses!$B$9:$B$16,RANDBETWEEN(1,8))</f>
        <v>Excel Basics</v>
      </c>
      <c r="J127" s="5" t="str">
        <f ca="1">VLOOKUP(I127,Courses!$B$9:$C$16,2,0)</f>
        <v>Microsoft Office</v>
      </c>
      <c r="K127" s="7">
        <f ca="1">VLOOKUP(I127,Courses!$B$9:$D$16,3,0)</f>
        <v>29</v>
      </c>
      <c r="L127" s="5" t="str">
        <f t="shared" ca="1" si="19"/>
        <v>Paid</v>
      </c>
      <c r="M127" s="8" t="str" cm="1">
        <f t="array" aca="1" ref="M127" ca="1">INDEX('Payment Method'!$A$8:$A$12,RANDBETWEEN(1,5))</f>
        <v>Mastercard Debit</v>
      </c>
      <c r="N127" s="7">
        <f>IFERROR(SUMIF(Holiday!$A$8:$A$11,B127,Holiday!$C$8:$C$11),0)</f>
        <v>0</v>
      </c>
      <c r="O127" s="7">
        <f t="shared" ca="1" si="20"/>
        <v>29</v>
      </c>
      <c r="P127" s="19">
        <f t="shared" ca="1" si="21"/>
        <v>28.42</v>
      </c>
      <c r="Q127" s="7">
        <f t="shared" ca="1" si="22"/>
        <v>0</v>
      </c>
      <c r="R127" s="8">
        <f ca="1">VLOOKUP(M127,'Payment Method'!$A$8:$B$12,2,0)</f>
        <v>0.02</v>
      </c>
      <c r="S127" s="9">
        <f t="shared" ca="1" si="12"/>
        <v>0.57999999999999829</v>
      </c>
      <c r="T127" s="8">
        <v>0.01</v>
      </c>
      <c r="U127" s="9">
        <f t="shared" ca="1" si="13"/>
        <v>0.28419999999999845</v>
      </c>
      <c r="V127" s="7">
        <f t="shared" ca="1" si="14"/>
        <v>0</v>
      </c>
      <c r="W127" s="7">
        <f t="shared" ca="1" si="15"/>
        <v>28.135800000000003</v>
      </c>
      <c r="X127" s="5" t="str">
        <f t="shared" ca="1" si="23"/>
        <v>Facebook</v>
      </c>
      <c r="Y127" s="78" t="str">
        <f>IF(COUNTIF($C$1:C126,B126)=1,10,"")</f>
        <v/>
      </c>
    </row>
    <row r="128" spans="1:25" x14ac:dyDescent="0.3">
      <c r="A128" s="75">
        <v>127</v>
      </c>
      <c r="B128" s="6">
        <v>46042</v>
      </c>
      <c r="C128" s="6">
        <v>46044</v>
      </c>
      <c r="D128" s="17" t="str">
        <f t="shared" si="16"/>
        <v>January</v>
      </c>
      <c r="E128" s="5" t="str">
        <f t="shared" ca="1" si="17"/>
        <v>STU-563</v>
      </c>
      <c r="F128" s="5" t="str">
        <f ca="1">IF(COUNTIF($E$2:E128,E128)=1,"New Customer","Returning Customer")</f>
        <v>New Customer</v>
      </c>
      <c r="G128" s="5" t="str">
        <f t="shared" ca="1" si="18"/>
        <v>Male</v>
      </c>
      <c r="H128" s="5" t="s">
        <v>136</v>
      </c>
      <c r="I128" s="5" t="str" cm="1">
        <f t="array" aca="1" ref="I128" ca="1">INDEX(Courses!$B$9:$B$16,RANDBETWEEN(1,8))</f>
        <v>Complete Excel Course</v>
      </c>
      <c r="J128" s="5" t="str">
        <f ca="1">VLOOKUP(I128,Courses!$B$9:$C$16,2,0)</f>
        <v>Microsoft Office</v>
      </c>
      <c r="K128" s="7">
        <f ca="1">VLOOKUP(I128,Courses!$B$9:$D$16,3,0)</f>
        <v>59</v>
      </c>
      <c r="L128" s="5" t="str">
        <f t="shared" ca="1" si="19"/>
        <v>Refunded</v>
      </c>
      <c r="M128" s="8" t="str" cm="1">
        <f t="array" aca="1" ref="M128" ca="1">INDEX('Payment Method'!$A$8:$A$12,RANDBETWEEN(1,5))</f>
        <v>Mastercard Debit</v>
      </c>
      <c r="N128" s="7">
        <f>IFERROR(SUMIF(Holiday!$A$8:$A$11,B128,Holiday!$C$8:$C$11),0)</f>
        <v>0</v>
      </c>
      <c r="O128" s="7">
        <f t="shared" ca="1" si="20"/>
        <v>59</v>
      </c>
      <c r="P128" s="19">
        <f t="shared" ca="1" si="21"/>
        <v>57.82</v>
      </c>
      <c r="Q128" s="7">
        <f t="shared" ca="1" si="22"/>
        <v>0</v>
      </c>
      <c r="R128" s="8">
        <f ca="1">VLOOKUP(M128,'Payment Method'!$A$8:$B$12,2,0)</f>
        <v>0.02</v>
      </c>
      <c r="S128" s="9">
        <f t="shared" ca="1" si="12"/>
        <v>1.1799999999999997</v>
      </c>
      <c r="T128" s="8">
        <v>0.01</v>
      </c>
      <c r="U128" s="9">
        <f t="shared" ca="1" si="13"/>
        <v>0.57820000000000249</v>
      </c>
      <c r="V128" s="7">
        <f t="shared" ca="1" si="14"/>
        <v>57.241799999999998</v>
      </c>
      <c r="W128" s="7">
        <f t="shared" ca="1" si="15"/>
        <v>0</v>
      </c>
      <c r="X128" s="5" t="str">
        <f t="shared" ca="1" si="23"/>
        <v>Instagram</v>
      </c>
      <c r="Y128" s="78" t="str">
        <f>IF(COUNTIF($C$1:C127,B127)=1,10,"")</f>
        <v/>
      </c>
    </row>
    <row r="129" spans="1:25" x14ac:dyDescent="0.3">
      <c r="A129" s="76">
        <v>128</v>
      </c>
      <c r="B129" s="6">
        <v>46072</v>
      </c>
      <c r="C129" s="6">
        <v>46076</v>
      </c>
      <c r="D129" s="17" t="str">
        <f t="shared" si="16"/>
        <v>February</v>
      </c>
      <c r="E129" s="5" t="str">
        <f t="shared" ca="1" si="17"/>
        <v>STU-446</v>
      </c>
      <c r="F129" s="5" t="str">
        <f ca="1">IF(COUNTIF($E$2:E129,E129)=1,"New Customer","Returning Customer")</f>
        <v>New Customer</v>
      </c>
      <c r="G129" s="5" t="str">
        <f t="shared" ca="1" si="18"/>
        <v>Not specified</v>
      </c>
      <c r="H129" s="5" t="s">
        <v>139</v>
      </c>
      <c r="I129" s="5" t="str" cm="1">
        <f t="array" aca="1" ref="I129" ca="1">INDEX(Courses!$B$9:$B$16,RANDBETWEEN(1,8))</f>
        <v>PowerPoint</v>
      </c>
      <c r="J129" s="5" t="str">
        <f ca="1">VLOOKUP(I129,Courses!$B$9:$C$16,2,0)</f>
        <v>Microsoft Office</v>
      </c>
      <c r="K129" s="7">
        <f ca="1">VLOOKUP(I129,Courses!$B$9:$D$16,3,0)</f>
        <v>29</v>
      </c>
      <c r="L129" s="5" t="str">
        <f t="shared" ca="1" si="19"/>
        <v>Pending</v>
      </c>
      <c r="M129" s="8" t="str" cm="1">
        <f t="array" aca="1" ref="M129" ca="1">INDEX('Payment Method'!$A$8:$A$12,RANDBETWEEN(1,5))</f>
        <v>Visa Credit</v>
      </c>
      <c r="N129" s="7">
        <f>IFERROR(SUMIF(Holiday!$A$8:$A$11,B129,Holiday!$C$8:$C$11),0)</f>
        <v>0</v>
      </c>
      <c r="O129" s="7">
        <f t="shared" ca="1" si="20"/>
        <v>29</v>
      </c>
      <c r="P129" s="19">
        <f t="shared" ca="1" si="21"/>
        <v>27.984999999999999</v>
      </c>
      <c r="Q129" s="7">
        <f t="shared" ca="1" si="22"/>
        <v>27.70515</v>
      </c>
      <c r="R129" s="8">
        <f ca="1">VLOOKUP(M129,'Payment Method'!$A$8:$B$12,2,0)</f>
        <v>3.5000000000000003E-2</v>
      </c>
      <c r="S129" s="9">
        <f t="shared" ca="1" si="12"/>
        <v>1.0150000000000006</v>
      </c>
      <c r="T129" s="8">
        <v>0.01</v>
      </c>
      <c r="U129" s="9">
        <f t="shared" ca="1" si="13"/>
        <v>0.27984999999999971</v>
      </c>
      <c r="V129" s="7">
        <f t="shared" ca="1" si="14"/>
        <v>0</v>
      </c>
      <c r="W129" s="7">
        <f t="shared" ca="1" si="15"/>
        <v>0</v>
      </c>
      <c r="X129" s="5" t="str">
        <f t="shared" ca="1" si="23"/>
        <v>Facebook</v>
      </c>
      <c r="Y129" s="78">
        <f>IF(COUNTIF($C$1:C128,B128)=1,10,"")</f>
        <v>10</v>
      </c>
    </row>
    <row r="130" spans="1:25" x14ac:dyDescent="0.3">
      <c r="A130" s="75">
        <v>129</v>
      </c>
      <c r="B130" s="6">
        <v>46067</v>
      </c>
      <c r="C130" s="6">
        <v>46067</v>
      </c>
      <c r="D130" s="17" t="str">
        <f t="shared" si="16"/>
        <v>February</v>
      </c>
      <c r="E130" s="5" t="str">
        <f t="shared" ca="1" si="17"/>
        <v>STU-2</v>
      </c>
      <c r="F130" s="5" t="str">
        <f ca="1">IF(COUNTIF($E$2:E130,E130)=1,"New Customer","Returning Customer")</f>
        <v>New Customer</v>
      </c>
      <c r="G130" s="5" t="str">
        <f t="shared" ca="1" si="18"/>
        <v>Male</v>
      </c>
      <c r="H130" s="5" t="s">
        <v>136</v>
      </c>
      <c r="I130" s="5" t="str" cm="1">
        <f t="array" aca="1" ref="I130" ca="1">INDEX(Courses!$B$9:$B$16,RANDBETWEEN(1,8))</f>
        <v>Power BI</v>
      </c>
      <c r="J130" s="5" t="str">
        <f ca="1">VLOOKUP(I130,Courses!$B$9:$C$16,2,0)</f>
        <v>Data Analytics</v>
      </c>
      <c r="K130" s="7">
        <f ca="1">VLOOKUP(I130,Courses!$B$9:$D$16,3,0)</f>
        <v>59</v>
      </c>
      <c r="L130" s="5" t="str">
        <f t="shared" ca="1" si="19"/>
        <v>Paid</v>
      </c>
      <c r="M130" s="8" t="str" cm="1">
        <f t="array" aca="1" ref="M130" ca="1">INDEX('Payment Method'!$A$8:$A$12,RANDBETWEEN(1,5))</f>
        <v>Mastercard Debit</v>
      </c>
      <c r="N130" s="7">
        <f>IFERROR(SUMIF(Holiday!$A$8:$A$11,B130,Holiday!$C$8:$C$11),0)</f>
        <v>0</v>
      </c>
      <c r="O130" s="7">
        <f t="shared" ca="1" si="20"/>
        <v>59</v>
      </c>
      <c r="P130" s="19">
        <f t="shared" ca="1" si="21"/>
        <v>57.82</v>
      </c>
      <c r="Q130" s="7">
        <f t="shared" ca="1" si="22"/>
        <v>0</v>
      </c>
      <c r="R130" s="8">
        <f ca="1">VLOOKUP(M130,'Payment Method'!$A$8:$B$12,2,0)</f>
        <v>0.02</v>
      </c>
      <c r="S130" s="9">
        <f t="shared" ref="S130:S193" ca="1" si="24">O130-(O130-O130*R130)</f>
        <v>1.1799999999999997</v>
      </c>
      <c r="T130" s="8">
        <v>0.01</v>
      </c>
      <c r="U130" s="9">
        <f t="shared" ref="U130:U193" ca="1" si="25">O130-S130-((O130-S130)-(O130-S130)*T130)</f>
        <v>0.57820000000000249</v>
      </c>
      <c r="V130" s="7">
        <f t="shared" ref="V130:V193" ca="1" si="26">IF(L130="refunded",(K130-K130*N130)-(K130-K130*N130)*R130-((K130-K130*N130)-(K130-K130*N130)*R130)*T130,0)</f>
        <v>0</v>
      </c>
      <c r="W130" s="7">
        <f t="shared" ref="W130:W193" ca="1" si="27">IF(L130="paid",(K130-K130*N130)-(K130-K130*N130)*R130-((K130-K130*N130)-(K130-K130*N130)*R130)*T130,0)</f>
        <v>57.241799999999998</v>
      </c>
      <c r="X130" s="5" t="str">
        <f t="shared" ca="1" si="23"/>
        <v>Facebook</v>
      </c>
      <c r="Y130" s="78" t="str">
        <f>IF(COUNTIF($C$1:C129,B129)=1,10,"")</f>
        <v/>
      </c>
    </row>
    <row r="131" spans="1:25" x14ac:dyDescent="0.3">
      <c r="A131" s="76">
        <v>130</v>
      </c>
      <c r="B131" s="6">
        <v>46086</v>
      </c>
      <c r="C131" s="6">
        <v>46086</v>
      </c>
      <c r="D131" s="17" t="str">
        <f t="shared" ref="D131:D194" si="28">TEXT(C131,"mmmm")</f>
        <v>March</v>
      </c>
      <c r="E131" s="5" t="str">
        <f t="shared" ref="E131:E194" ca="1" si="29">"STU-"&amp;RANDBETWEEN(1,1000)</f>
        <v>STU-409</v>
      </c>
      <c r="F131" s="5" t="str">
        <f ca="1">IF(COUNTIF($E$2:E131,E131)=1,"New Customer","Returning Customer")</f>
        <v>New Customer</v>
      </c>
      <c r="G131" s="5" t="str">
        <f t="shared" ref="G131:G194" ca="1" si="30">CHOOSE(RANDBETWEEN(1,3),"Male","Female","Not specified")</f>
        <v>Not specified</v>
      </c>
      <c r="H131" s="5" t="s">
        <v>138</v>
      </c>
      <c r="I131" s="5" t="str" cm="1">
        <f t="array" aca="1" ref="I131" ca="1">INDEX(Courses!$B$9:$B$16,RANDBETWEEN(1,8))</f>
        <v>Power BI</v>
      </c>
      <c r="J131" s="5" t="str">
        <f ca="1">VLOOKUP(I131,Courses!$B$9:$C$16,2,0)</f>
        <v>Data Analytics</v>
      </c>
      <c r="K131" s="7">
        <f ca="1">VLOOKUP(I131,Courses!$B$9:$D$16,3,0)</f>
        <v>59</v>
      </c>
      <c r="L131" s="5" t="str">
        <f t="shared" ref="L131:L194" ca="1" si="31">IF(RAND()&lt;0.6,"Paid",IF(RAND()&lt;0.75,"Pending","Refunded"))</f>
        <v>Refunded</v>
      </c>
      <c r="M131" s="8" t="str" cm="1">
        <f t="array" aca="1" ref="M131" ca="1">INDEX('Payment Method'!$A$8:$A$12,RANDBETWEEN(1,5))</f>
        <v>Mastercard Credit</v>
      </c>
      <c r="N131" s="7">
        <f>IFERROR(SUMIF(Holiday!$A$8:$A$11,B131,Holiday!$C$8:$C$11),0)</f>
        <v>0</v>
      </c>
      <c r="O131" s="7">
        <f t="shared" ref="O131:O194" ca="1" si="32">K131-K131*N131</f>
        <v>59</v>
      </c>
      <c r="P131" s="19">
        <f t="shared" ref="P131:P194" ca="1" si="33">O131-S131</f>
        <v>56.935000000000002</v>
      </c>
      <c r="Q131" s="7">
        <f t="shared" ref="Q131:Q194" ca="1" si="34">IF(L131="pending",(K131-K131*N131)-(K131-K131*N131)*R131-((K131-K131*N131)-(K131-K131*N131)*R131)*T131,0)</f>
        <v>0</v>
      </c>
      <c r="R131" s="8">
        <f ca="1">VLOOKUP(M131,'Payment Method'!$A$8:$B$12,2,0)</f>
        <v>3.5000000000000003E-2</v>
      </c>
      <c r="S131" s="9">
        <f t="shared" ca="1" si="24"/>
        <v>2.0649999999999977</v>
      </c>
      <c r="T131" s="8">
        <v>0.01</v>
      </c>
      <c r="U131" s="9">
        <f t="shared" ca="1" si="25"/>
        <v>0.56935000000000002</v>
      </c>
      <c r="V131" s="7">
        <f t="shared" ca="1" si="26"/>
        <v>56.365650000000002</v>
      </c>
      <c r="W131" s="7">
        <f t="shared" ca="1" si="27"/>
        <v>0</v>
      </c>
      <c r="X131" s="5" t="str">
        <f t="shared" ref="X131:X194" ca="1" si="35">CHOOSE(RANDBETWEEN(1,3),"Facebook","Instagram","Tiktok")</f>
        <v>Facebook</v>
      </c>
      <c r="Y131" s="78">
        <f>IF(COUNTIF($C$1:C130,B130)=1,10,"")</f>
        <v>10</v>
      </c>
    </row>
    <row r="132" spans="1:25" x14ac:dyDescent="0.3">
      <c r="A132" s="75">
        <v>131</v>
      </c>
      <c r="B132" s="6">
        <v>46111</v>
      </c>
      <c r="C132" s="6">
        <v>46114</v>
      </c>
      <c r="D132" s="17" t="str">
        <f t="shared" si="28"/>
        <v>April</v>
      </c>
      <c r="E132" s="5" t="str">
        <f t="shared" ca="1" si="29"/>
        <v>STU-403</v>
      </c>
      <c r="F132" s="5" t="str">
        <f ca="1">IF(COUNTIF($E$2:E132,E132)=1,"New Customer","Returning Customer")</f>
        <v>New Customer</v>
      </c>
      <c r="G132" s="5" t="str">
        <f t="shared" ca="1" si="30"/>
        <v>Not specified</v>
      </c>
      <c r="H132" s="5" t="s">
        <v>141</v>
      </c>
      <c r="I132" s="5" t="str" cm="1">
        <f t="array" aca="1" ref="I132" ca="1">INDEX(Courses!$B$9:$B$16,RANDBETWEEN(1,8))</f>
        <v>Adolescent Psychology</v>
      </c>
      <c r="J132" s="5" t="str">
        <f ca="1">VLOOKUP(I132,Courses!$B$9:$C$16,2,0)</f>
        <v>Psychology</v>
      </c>
      <c r="K132" s="7">
        <f ca="1">VLOOKUP(I132,Courses!$B$9:$D$16,3,0)</f>
        <v>29</v>
      </c>
      <c r="L132" s="5" t="str">
        <f t="shared" ca="1" si="31"/>
        <v>Pending</v>
      </c>
      <c r="M132" s="8" t="str" cm="1">
        <f t="array" aca="1" ref="M132" ca="1">INDEX('Payment Method'!$A$8:$A$12,RANDBETWEEN(1,5))</f>
        <v>Visa Credit</v>
      </c>
      <c r="N132" s="7">
        <f>IFERROR(SUMIF(Holiday!$A$8:$A$11,B132,Holiday!$C$8:$C$11),0)</f>
        <v>0</v>
      </c>
      <c r="O132" s="7">
        <f t="shared" ca="1" si="32"/>
        <v>29</v>
      </c>
      <c r="P132" s="19">
        <f t="shared" ca="1" si="33"/>
        <v>27.984999999999999</v>
      </c>
      <c r="Q132" s="7">
        <f t="shared" ca="1" si="34"/>
        <v>27.70515</v>
      </c>
      <c r="R132" s="8">
        <f ca="1">VLOOKUP(M132,'Payment Method'!$A$8:$B$12,2,0)</f>
        <v>3.5000000000000003E-2</v>
      </c>
      <c r="S132" s="9">
        <f t="shared" ca="1" si="24"/>
        <v>1.0150000000000006</v>
      </c>
      <c r="T132" s="8">
        <v>0.01</v>
      </c>
      <c r="U132" s="9">
        <f t="shared" ca="1" si="25"/>
        <v>0.27984999999999971</v>
      </c>
      <c r="V132" s="7">
        <f t="shared" ca="1" si="26"/>
        <v>0</v>
      </c>
      <c r="W132" s="7">
        <f t="shared" ca="1" si="27"/>
        <v>0</v>
      </c>
      <c r="X132" s="5" t="str">
        <f t="shared" ca="1" si="35"/>
        <v>Tiktok</v>
      </c>
      <c r="Y132" s="78">
        <f>IF(COUNTIF($C$1:C131,B131)=1,10,"")</f>
        <v>10</v>
      </c>
    </row>
    <row r="133" spans="1:25" x14ac:dyDescent="0.3">
      <c r="A133" s="76">
        <v>132</v>
      </c>
      <c r="B133" s="6">
        <v>46045</v>
      </c>
      <c r="C133" s="6">
        <v>46050</v>
      </c>
      <c r="D133" s="17" t="str">
        <f t="shared" si="28"/>
        <v>January</v>
      </c>
      <c r="E133" s="5" t="str">
        <f t="shared" ca="1" si="29"/>
        <v>STU-427</v>
      </c>
      <c r="F133" s="5" t="str">
        <f ca="1">IF(COUNTIF($E$2:E133,E133)=1,"New Customer","Returning Customer")</f>
        <v>New Customer</v>
      </c>
      <c r="G133" s="5" t="str">
        <f t="shared" ca="1" si="30"/>
        <v>Not specified</v>
      </c>
      <c r="H133" s="5" t="s">
        <v>140</v>
      </c>
      <c r="I133" s="5" t="str" cm="1">
        <f t="array" aca="1" ref="I133" ca="1">INDEX(Courses!$B$9:$B$16,RANDBETWEEN(1,8))</f>
        <v>Power BI</v>
      </c>
      <c r="J133" s="5" t="str">
        <f ca="1">VLOOKUP(I133,Courses!$B$9:$C$16,2,0)</f>
        <v>Data Analytics</v>
      </c>
      <c r="K133" s="7">
        <f ca="1">VLOOKUP(I133,Courses!$B$9:$D$16,3,0)</f>
        <v>59</v>
      </c>
      <c r="L133" s="5" t="str">
        <f t="shared" ca="1" si="31"/>
        <v>Paid</v>
      </c>
      <c r="M133" s="8" t="str" cm="1">
        <f t="array" aca="1" ref="M133" ca="1">INDEX('Payment Method'!$A$8:$A$12,RANDBETWEEN(1,5))</f>
        <v>Visa Debit</v>
      </c>
      <c r="N133" s="7">
        <f>IFERROR(SUMIF(Holiday!$A$8:$A$11,B133,Holiday!$C$8:$C$11),0)</f>
        <v>0</v>
      </c>
      <c r="O133" s="7">
        <f t="shared" ca="1" si="32"/>
        <v>59</v>
      </c>
      <c r="P133" s="19">
        <f t="shared" ca="1" si="33"/>
        <v>57.82</v>
      </c>
      <c r="Q133" s="7">
        <f t="shared" ca="1" si="34"/>
        <v>0</v>
      </c>
      <c r="R133" s="8">
        <f ca="1">VLOOKUP(M133,'Payment Method'!$A$8:$B$12,2,0)</f>
        <v>0.02</v>
      </c>
      <c r="S133" s="9">
        <f t="shared" ca="1" si="24"/>
        <v>1.1799999999999997</v>
      </c>
      <c r="T133" s="8">
        <v>0.01</v>
      </c>
      <c r="U133" s="9">
        <f t="shared" ca="1" si="25"/>
        <v>0.57820000000000249</v>
      </c>
      <c r="V133" s="7">
        <f t="shared" ca="1" si="26"/>
        <v>0</v>
      </c>
      <c r="W133" s="7">
        <f t="shared" ca="1" si="27"/>
        <v>57.241799999999998</v>
      </c>
      <c r="X133" s="5" t="str">
        <f t="shared" ca="1" si="35"/>
        <v>Facebook</v>
      </c>
      <c r="Y133" s="78">
        <f>IF(COUNTIF($C$1:C132,B132)=1,10,"")</f>
        <v>10</v>
      </c>
    </row>
    <row r="134" spans="1:25" x14ac:dyDescent="0.3">
      <c r="A134" s="75">
        <v>133</v>
      </c>
      <c r="B134" s="6">
        <v>46139</v>
      </c>
      <c r="C134" s="6">
        <v>46144</v>
      </c>
      <c r="D134" s="17" t="str">
        <f t="shared" si="28"/>
        <v>May</v>
      </c>
      <c r="E134" s="5" t="str">
        <f t="shared" ca="1" si="29"/>
        <v>STU-700</v>
      </c>
      <c r="F134" s="5" t="str">
        <f ca="1">IF(COUNTIF($E$2:E134,E134)=1,"New Customer","Returning Customer")</f>
        <v>New Customer</v>
      </c>
      <c r="G134" s="5" t="str">
        <f t="shared" ca="1" si="30"/>
        <v>Male</v>
      </c>
      <c r="H134" s="5" t="s">
        <v>140</v>
      </c>
      <c r="I134" s="5" t="str" cm="1">
        <f t="array" aca="1" ref="I134" ca="1">INDEX(Courses!$B$9:$B$16,RANDBETWEEN(1,8))</f>
        <v>Tax Code</v>
      </c>
      <c r="J134" s="5" t="str">
        <f ca="1">VLOOKUP(I134,Courses!$B$9:$C$16,2,0)</f>
        <v>Finance &amp; Taxation</v>
      </c>
      <c r="K134" s="7">
        <f ca="1">VLOOKUP(I134,Courses!$B$9:$D$16,3,0)</f>
        <v>59</v>
      </c>
      <c r="L134" s="5" t="str">
        <f t="shared" ca="1" si="31"/>
        <v>Pending</v>
      </c>
      <c r="M134" s="8" t="str" cm="1">
        <f t="array" aca="1" ref="M134" ca="1">INDEX('Payment Method'!$A$8:$A$12,RANDBETWEEN(1,5))</f>
        <v>Bank Transfer</v>
      </c>
      <c r="N134" s="7">
        <f>IFERROR(SUMIF(Holiday!$A$8:$A$11,B134,Holiday!$C$8:$C$11),0)</f>
        <v>0</v>
      </c>
      <c r="O134" s="7">
        <f t="shared" ca="1" si="32"/>
        <v>59</v>
      </c>
      <c r="P134" s="19">
        <f t="shared" ca="1" si="33"/>
        <v>59</v>
      </c>
      <c r="Q134" s="7">
        <f t="shared" ca="1" si="34"/>
        <v>58.41</v>
      </c>
      <c r="R134" s="8">
        <f ca="1">VLOOKUP(M134,'Payment Method'!$A$8:$B$12,2,0)</f>
        <v>0</v>
      </c>
      <c r="S134" s="9">
        <f t="shared" ca="1" si="24"/>
        <v>0</v>
      </c>
      <c r="T134" s="8">
        <v>0.01</v>
      </c>
      <c r="U134" s="9">
        <f t="shared" ca="1" si="25"/>
        <v>0.59000000000000341</v>
      </c>
      <c r="V134" s="7">
        <f t="shared" ca="1" si="26"/>
        <v>0</v>
      </c>
      <c r="W134" s="7">
        <f t="shared" ca="1" si="27"/>
        <v>0</v>
      </c>
      <c r="X134" s="5" t="str">
        <f t="shared" ca="1" si="35"/>
        <v>Facebook</v>
      </c>
      <c r="Y134" s="78">
        <f>IF(COUNTIF($C$1:C133,B133)=1,10,"")</f>
        <v>10</v>
      </c>
    </row>
    <row r="135" spans="1:25" x14ac:dyDescent="0.3">
      <c r="A135" s="76">
        <v>134</v>
      </c>
      <c r="B135" s="6">
        <v>46208</v>
      </c>
      <c r="C135" s="6">
        <v>46212</v>
      </c>
      <c r="D135" s="17" t="str">
        <f t="shared" si="28"/>
        <v>July</v>
      </c>
      <c r="E135" s="5" t="str">
        <f t="shared" ca="1" si="29"/>
        <v>STU-960</v>
      </c>
      <c r="F135" s="5" t="str">
        <f ca="1">IF(COUNTIF($E$2:E135,E135)=1,"New Customer","Returning Customer")</f>
        <v>New Customer</v>
      </c>
      <c r="G135" s="5" t="str">
        <f t="shared" ca="1" si="30"/>
        <v>Not specified</v>
      </c>
      <c r="H135" s="5" t="s">
        <v>138</v>
      </c>
      <c r="I135" s="5" t="str" cm="1">
        <f t="array" aca="1" ref="I135" ca="1">INDEX(Courses!$B$9:$B$16,RANDBETWEEN(1,8))</f>
        <v>PowerPoint</v>
      </c>
      <c r="J135" s="5" t="str">
        <f ca="1">VLOOKUP(I135,Courses!$B$9:$C$16,2,0)</f>
        <v>Microsoft Office</v>
      </c>
      <c r="K135" s="7">
        <f ca="1">VLOOKUP(I135,Courses!$B$9:$D$16,3,0)</f>
        <v>29</v>
      </c>
      <c r="L135" s="5" t="str">
        <f t="shared" ca="1" si="31"/>
        <v>Refunded</v>
      </c>
      <c r="M135" s="8" t="str" cm="1">
        <f t="array" aca="1" ref="M135" ca="1">INDEX('Payment Method'!$A$8:$A$12,RANDBETWEEN(1,5))</f>
        <v>Visa Credit</v>
      </c>
      <c r="N135" s="7">
        <f>IFERROR(SUMIF(Holiday!$A$8:$A$11,B135,Holiday!$C$8:$C$11),0)</f>
        <v>0</v>
      </c>
      <c r="O135" s="7">
        <f t="shared" ca="1" si="32"/>
        <v>29</v>
      </c>
      <c r="P135" s="19">
        <f t="shared" ca="1" si="33"/>
        <v>27.984999999999999</v>
      </c>
      <c r="Q135" s="7">
        <f t="shared" ca="1" si="34"/>
        <v>0</v>
      </c>
      <c r="R135" s="8">
        <f ca="1">VLOOKUP(M135,'Payment Method'!$A$8:$B$12,2,0)</f>
        <v>3.5000000000000003E-2</v>
      </c>
      <c r="S135" s="9">
        <f t="shared" ca="1" si="24"/>
        <v>1.0150000000000006</v>
      </c>
      <c r="T135" s="8">
        <v>0.01</v>
      </c>
      <c r="U135" s="9">
        <f t="shared" ca="1" si="25"/>
        <v>0.27984999999999971</v>
      </c>
      <c r="V135" s="7">
        <f t="shared" ca="1" si="26"/>
        <v>27.70515</v>
      </c>
      <c r="W135" s="7">
        <f t="shared" ca="1" si="27"/>
        <v>0</v>
      </c>
      <c r="X135" s="5" t="str">
        <f t="shared" ca="1" si="35"/>
        <v>Instagram</v>
      </c>
      <c r="Y135" s="78">
        <f>IF(COUNTIF($C$1:C134,B134)=1,10,"")</f>
        <v>10</v>
      </c>
    </row>
    <row r="136" spans="1:25" x14ac:dyDescent="0.3">
      <c r="A136" s="75">
        <v>135</v>
      </c>
      <c r="B136" s="6">
        <v>46187</v>
      </c>
      <c r="C136" s="6">
        <v>46187</v>
      </c>
      <c r="D136" s="17" t="str">
        <f t="shared" si="28"/>
        <v>June</v>
      </c>
      <c r="E136" s="5" t="str">
        <f t="shared" ca="1" si="29"/>
        <v>STU-271</v>
      </c>
      <c r="F136" s="5" t="str">
        <f ca="1">IF(COUNTIF($E$2:E136,E136)=1,"New Customer","Returning Customer")</f>
        <v>New Customer</v>
      </c>
      <c r="G136" s="5" t="str">
        <f t="shared" ca="1" si="30"/>
        <v>Female</v>
      </c>
      <c r="H136" s="5" t="s">
        <v>136</v>
      </c>
      <c r="I136" s="5" t="str" cm="1">
        <f t="array" aca="1" ref="I136" ca="1">INDEX(Courses!$B$9:$B$16,RANDBETWEEN(1,8))</f>
        <v>PowerPoint</v>
      </c>
      <c r="J136" s="5" t="str">
        <f ca="1">VLOOKUP(I136,Courses!$B$9:$C$16,2,0)</f>
        <v>Microsoft Office</v>
      </c>
      <c r="K136" s="7">
        <f ca="1">VLOOKUP(I136,Courses!$B$9:$D$16,3,0)</f>
        <v>29</v>
      </c>
      <c r="L136" s="5" t="str">
        <f t="shared" ca="1" si="31"/>
        <v>Paid</v>
      </c>
      <c r="M136" s="8" t="str" cm="1">
        <f t="array" aca="1" ref="M136" ca="1">INDEX('Payment Method'!$A$8:$A$12,RANDBETWEEN(1,5))</f>
        <v>Visa Credit</v>
      </c>
      <c r="N136" s="7">
        <f>IFERROR(SUMIF(Holiday!$A$8:$A$11,B136,Holiday!$C$8:$C$11),0)</f>
        <v>0</v>
      </c>
      <c r="O136" s="7">
        <f t="shared" ca="1" si="32"/>
        <v>29</v>
      </c>
      <c r="P136" s="19">
        <f t="shared" ca="1" si="33"/>
        <v>27.984999999999999</v>
      </c>
      <c r="Q136" s="7">
        <f t="shared" ca="1" si="34"/>
        <v>0</v>
      </c>
      <c r="R136" s="8">
        <f ca="1">VLOOKUP(M136,'Payment Method'!$A$8:$B$12,2,0)</f>
        <v>3.5000000000000003E-2</v>
      </c>
      <c r="S136" s="9">
        <f t="shared" ca="1" si="24"/>
        <v>1.0150000000000006</v>
      </c>
      <c r="T136" s="8">
        <v>0.01</v>
      </c>
      <c r="U136" s="9">
        <f t="shared" ca="1" si="25"/>
        <v>0.27984999999999971</v>
      </c>
      <c r="V136" s="7">
        <f t="shared" ca="1" si="26"/>
        <v>0</v>
      </c>
      <c r="W136" s="7">
        <f t="shared" ca="1" si="27"/>
        <v>27.70515</v>
      </c>
      <c r="X136" s="5" t="str">
        <f t="shared" ca="1" si="35"/>
        <v>Tiktok</v>
      </c>
      <c r="Y136" s="78" t="str">
        <f>IF(COUNTIF($C$1:C135,B135)=1,10,"")</f>
        <v/>
      </c>
    </row>
    <row r="137" spans="1:25" x14ac:dyDescent="0.3">
      <c r="A137" s="76">
        <v>136</v>
      </c>
      <c r="B137" s="6">
        <v>46174</v>
      </c>
      <c r="C137" s="6">
        <v>46179</v>
      </c>
      <c r="D137" s="17" t="str">
        <f t="shared" si="28"/>
        <v>June</v>
      </c>
      <c r="E137" s="5" t="str">
        <f t="shared" ca="1" si="29"/>
        <v>STU-414</v>
      </c>
      <c r="F137" s="5" t="str">
        <f ca="1">IF(COUNTIF($E$2:E137,E137)=1,"New Customer","Returning Customer")</f>
        <v>New Customer</v>
      </c>
      <c r="G137" s="5" t="str">
        <f t="shared" ca="1" si="30"/>
        <v>Not specified</v>
      </c>
      <c r="H137" s="5" t="s">
        <v>139</v>
      </c>
      <c r="I137" s="5" t="str" cm="1">
        <f t="array" aca="1" ref="I137" ca="1">INDEX(Courses!$B$9:$B$16,RANDBETWEEN(1,8))</f>
        <v>Complete Excel Course</v>
      </c>
      <c r="J137" s="5" t="str">
        <f ca="1">VLOOKUP(I137,Courses!$B$9:$C$16,2,0)</f>
        <v>Microsoft Office</v>
      </c>
      <c r="K137" s="7">
        <f ca="1">VLOOKUP(I137,Courses!$B$9:$D$16,3,0)</f>
        <v>59</v>
      </c>
      <c r="L137" s="5" t="str">
        <f t="shared" ca="1" si="31"/>
        <v>Pending</v>
      </c>
      <c r="M137" s="8" t="str" cm="1">
        <f t="array" aca="1" ref="M137" ca="1">INDEX('Payment Method'!$A$8:$A$12,RANDBETWEEN(1,5))</f>
        <v>Visa Debit</v>
      </c>
      <c r="N137" s="7">
        <f>IFERROR(SUMIF(Holiday!$A$8:$A$11,B137,Holiday!$C$8:$C$11),0)</f>
        <v>0</v>
      </c>
      <c r="O137" s="7">
        <f t="shared" ca="1" si="32"/>
        <v>59</v>
      </c>
      <c r="P137" s="19">
        <f t="shared" ca="1" si="33"/>
        <v>57.82</v>
      </c>
      <c r="Q137" s="7">
        <f t="shared" ca="1" si="34"/>
        <v>57.241799999999998</v>
      </c>
      <c r="R137" s="8">
        <f ca="1">VLOOKUP(M137,'Payment Method'!$A$8:$B$12,2,0)</f>
        <v>0.02</v>
      </c>
      <c r="S137" s="9">
        <f t="shared" ca="1" si="24"/>
        <v>1.1799999999999997</v>
      </c>
      <c r="T137" s="8">
        <v>0.01</v>
      </c>
      <c r="U137" s="9">
        <f t="shared" ca="1" si="25"/>
        <v>0.57820000000000249</v>
      </c>
      <c r="V137" s="7">
        <f t="shared" ca="1" si="26"/>
        <v>0</v>
      </c>
      <c r="W137" s="7">
        <f t="shared" ca="1" si="27"/>
        <v>0</v>
      </c>
      <c r="X137" s="5" t="str">
        <f t="shared" ca="1" si="35"/>
        <v>Tiktok</v>
      </c>
      <c r="Y137" s="78">
        <f>IF(COUNTIF($C$1:C136,B136)=1,10,"")</f>
        <v>10</v>
      </c>
    </row>
    <row r="138" spans="1:25" x14ac:dyDescent="0.3">
      <c r="A138" s="75">
        <v>137</v>
      </c>
      <c r="B138" s="6">
        <v>46174</v>
      </c>
      <c r="C138" s="6">
        <v>46177</v>
      </c>
      <c r="D138" s="17" t="str">
        <f t="shared" si="28"/>
        <v>June</v>
      </c>
      <c r="E138" s="5" t="str">
        <f t="shared" ca="1" si="29"/>
        <v>STU-388</v>
      </c>
      <c r="F138" s="5" t="str">
        <f ca="1">IF(COUNTIF($E$2:E138,E138)=1,"New Customer","Returning Customer")</f>
        <v>New Customer</v>
      </c>
      <c r="G138" s="5" t="str">
        <f t="shared" ca="1" si="30"/>
        <v>Male</v>
      </c>
      <c r="H138" s="5" t="s">
        <v>139</v>
      </c>
      <c r="I138" s="5" t="str" cm="1">
        <f t="array" aca="1" ref="I138" ca="1">INDEX(Courses!$B$9:$B$16,RANDBETWEEN(1,8))</f>
        <v>Complete Excel Course</v>
      </c>
      <c r="J138" s="5" t="str">
        <f ca="1">VLOOKUP(I138,Courses!$B$9:$C$16,2,0)</f>
        <v>Microsoft Office</v>
      </c>
      <c r="K138" s="7">
        <f ca="1">VLOOKUP(I138,Courses!$B$9:$D$16,3,0)</f>
        <v>59</v>
      </c>
      <c r="L138" s="5" t="str">
        <f t="shared" ca="1" si="31"/>
        <v>Paid</v>
      </c>
      <c r="M138" s="8" t="str" cm="1">
        <f t="array" aca="1" ref="M138" ca="1">INDEX('Payment Method'!$A$8:$A$12,RANDBETWEEN(1,5))</f>
        <v>Mastercard Credit</v>
      </c>
      <c r="N138" s="7">
        <f>IFERROR(SUMIF(Holiday!$A$8:$A$11,B138,Holiday!$C$8:$C$11),0)</f>
        <v>0</v>
      </c>
      <c r="O138" s="7">
        <f t="shared" ca="1" si="32"/>
        <v>59</v>
      </c>
      <c r="P138" s="19">
        <f t="shared" ca="1" si="33"/>
        <v>56.935000000000002</v>
      </c>
      <c r="Q138" s="7">
        <f t="shared" ca="1" si="34"/>
        <v>0</v>
      </c>
      <c r="R138" s="8">
        <f ca="1">VLOOKUP(M138,'Payment Method'!$A$8:$B$12,2,0)</f>
        <v>3.5000000000000003E-2</v>
      </c>
      <c r="S138" s="9">
        <f t="shared" ca="1" si="24"/>
        <v>2.0649999999999977</v>
      </c>
      <c r="T138" s="8">
        <v>0.01</v>
      </c>
      <c r="U138" s="9">
        <f t="shared" ca="1" si="25"/>
        <v>0.56935000000000002</v>
      </c>
      <c r="V138" s="7">
        <f t="shared" ca="1" si="26"/>
        <v>0</v>
      </c>
      <c r="W138" s="7">
        <f t="shared" ca="1" si="27"/>
        <v>56.365650000000002</v>
      </c>
      <c r="X138" s="5" t="str">
        <f t="shared" ca="1" si="35"/>
        <v>Instagram</v>
      </c>
      <c r="Y138" s="78">
        <f>IF(COUNTIF($C$1:C137,B137)=1,10,"")</f>
        <v>10</v>
      </c>
    </row>
    <row r="139" spans="1:25" x14ac:dyDescent="0.3">
      <c r="A139" s="76">
        <v>138</v>
      </c>
      <c r="B139" s="6">
        <v>46053</v>
      </c>
      <c r="C139" s="6">
        <v>46056</v>
      </c>
      <c r="D139" s="17" t="str">
        <f t="shared" si="28"/>
        <v>February</v>
      </c>
      <c r="E139" s="5" t="str">
        <f t="shared" ca="1" si="29"/>
        <v>STU-399</v>
      </c>
      <c r="F139" s="5" t="str">
        <f ca="1">IF(COUNTIF($E$2:E139,E139)=1,"New Customer","Returning Customer")</f>
        <v>New Customer</v>
      </c>
      <c r="G139" s="5" t="str">
        <f t="shared" ca="1" si="30"/>
        <v>Male</v>
      </c>
      <c r="H139" s="5" t="s">
        <v>142</v>
      </c>
      <c r="I139" s="5" t="str" cm="1">
        <f t="array" aca="1" ref="I139" ca="1">INDEX(Courses!$B$9:$B$16,RANDBETWEEN(1,8))</f>
        <v>PowerPoint</v>
      </c>
      <c r="J139" s="5" t="str">
        <f ca="1">VLOOKUP(I139,Courses!$B$9:$C$16,2,0)</f>
        <v>Microsoft Office</v>
      </c>
      <c r="K139" s="7">
        <f ca="1">VLOOKUP(I139,Courses!$B$9:$D$16,3,0)</f>
        <v>29</v>
      </c>
      <c r="L139" s="5" t="str">
        <f t="shared" ca="1" si="31"/>
        <v>Paid</v>
      </c>
      <c r="M139" s="8" t="str" cm="1">
        <f t="array" aca="1" ref="M139" ca="1">INDEX('Payment Method'!$A$8:$A$12,RANDBETWEEN(1,5))</f>
        <v>Visa Debit</v>
      </c>
      <c r="N139" s="7">
        <f>IFERROR(SUMIF(Holiday!$A$8:$A$11,B139,Holiday!$C$8:$C$11),0)</f>
        <v>0</v>
      </c>
      <c r="O139" s="7">
        <f t="shared" ca="1" si="32"/>
        <v>29</v>
      </c>
      <c r="P139" s="19">
        <f t="shared" ca="1" si="33"/>
        <v>28.42</v>
      </c>
      <c r="Q139" s="7">
        <f t="shared" ca="1" si="34"/>
        <v>0</v>
      </c>
      <c r="R139" s="8">
        <f ca="1">VLOOKUP(M139,'Payment Method'!$A$8:$B$12,2,0)</f>
        <v>0.02</v>
      </c>
      <c r="S139" s="9">
        <f t="shared" ca="1" si="24"/>
        <v>0.57999999999999829</v>
      </c>
      <c r="T139" s="8">
        <v>0.01</v>
      </c>
      <c r="U139" s="9">
        <f t="shared" ca="1" si="25"/>
        <v>0.28419999999999845</v>
      </c>
      <c r="V139" s="7">
        <f t="shared" ca="1" si="26"/>
        <v>0</v>
      </c>
      <c r="W139" s="7">
        <f t="shared" ca="1" si="27"/>
        <v>28.135800000000003</v>
      </c>
      <c r="X139" s="5" t="str">
        <f t="shared" ca="1" si="35"/>
        <v>Tiktok</v>
      </c>
      <c r="Y139" s="78">
        <f>IF(COUNTIF($C$1:C138,B138)=1,10,"")</f>
        <v>10</v>
      </c>
    </row>
    <row r="140" spans="1:25" x14ac:dyDescent="0.3">
      <c r="A140" s="75">
        <v>139</v>
      </c>
      <c r="B140" s="6">
        <v>46024</v>
      </c>
      <c r="C140" s="6">
        <v>46026</v>
      </c>
      <c r="D140" s="17" t="str">
        <f t="shared" si="28"/>
        <v>January</v>
      </c>
      <c r="E140" s="5" t="str">
        <f t="shared" ca="1" si="29"/>
        <v>STU-382</v>
      </c>
      <c r="F140" s="5" t="str">
        <f ca="1">IF(COUNTIF($E$2:E140,E140)=1,"New Customer","Returning Customer")</f>
        <v>New Customer</v>
      </c>
      <c r="G140" s="5" t="str">
        <f t="shared" ca="1" si="30"/>
        <v>Female</v>
      </c>
      <c r="H140" s="5" t="s">
        <v>138</v>
      </c>
      <c r="I140" s="5" t="str" cm="1">
        <f t="array" aca="1" ref="I140" ca="1">INDEX(Courses!$B$9:$B$16,RANDBETWEEN(1,8))</f>
        <v>Adolescent Psychology</v>
      </c>
      <c r="J140" s="5" t="str">
        <f ca="1">VLOOKUP(I140,Courses!$B$9:$C$16,2,0)</f>
        <v>Psychology</v>
      </c>
      <c r="K140" s="7">
        <f ca="1">VLOOKUP(I140,Courses!$B$9:$D$16,3,0)</f>
        <v>29</v>
      </c>
      <c r="L140" s="5" t="str">
        <f t="shared" ca="1" si="31"/>
        <v>Paid</v>
      </c>
      <c r="M140" s="8" t="str" cm="1">
        <f t="array" aca="1" ref="M140" ca="1">INDEX('Payment Method'!$A$8:$A$12,RANDBETWEEN(1,5))</f>
        <v>Mastercard Credit</v>
      </c>
      <c r="N140" s="7">
        <f>IFERROR(SUMIF(Holiday!$A$8:$A$11,B140,Holiday!$C$8:$C$11),0)</f>
        <v>0</v>
      </c>
      <c r="O140" s="7">
        <f t="shared" ca="1" si="32"/>
        <v>29</v>
      </c>
      <c r="P140" s="19">
        <f t="shared" ca="1" si="33"/>
        <v>27.984999999999999</v>
      </c>
      <c r="Q140" s="7">
        <f t="shared" ca="1" si="34"/>
        <v>0</v>
      </c>
      <c r="R140" s="8">
        <f ca="1">VLOOKUP(M140,'Payment Method'!$A$8:$B$12,2,0)</f>
        <v>3.5000000000000003E-2</v>
      </c>
      <c r="S140" s="9">
        <f t="shared" ca="1" si="24"/>
        <v>1.0150000000000006</v>
      </c>
      <c r="T140" s="8">
        <v>0.01</v>
      </c>
      <c r="U140" s="9">
        <f t="shared" ca="1" si="25"/>
        <v>0.27984999999999971</v>
      </c>
      <c r="V140" s="7">
        <f t="shared" ca="1" si="26"/>
        <v>0</v>
      </c>
      <c r="W140" s="7">
        <f t="shared" ca="1" si="27"/>
        <v>27.70515</v>
      </c>
      <c r="X140" s="5" t="str">
        <f t="shared" ca="1" si="35"/>
        <v>Instagram</v>
      </c>
      <c r="Y140" s="78" t="str">
        <f>IF(COUNTIF($C$1:C139,B139)=1,10,"")</f>
        <v/>
      </c>
    </row>
    <row r="141" spans="1:25" x14ac:dyDescent="0.3">
      <c r="A141" s="76">
        <v>140</v>
      </c>
      <c r="B141" s="6">
        <v>46142</v>
      </c>
      <c r="C141" s="6">
        <v>46145</v>
      </c>
      <c r="D141" s="17" t="str">
        <f t="shared" si="28"/>
        <v>May</v>
      </c>
      <c r="E141" s="5" t="str">
        <f t="shared" ca="1" si="29"/>
        <v>STU-613</v>
      </c>
      <c r="F141" s="5" t="str">
        <f ca="1">IF(COUNTIF($E$2:E141,E141)=1,"New Customer","Returning Customer")</f>
        <v>New Customer</v>
      </c>
      <c r="G141" s="5" t="str">
        <f t="shared" ca="1" si="30"/>
        <v>Male</v>
      </c>
      <c r="H141" s="5" t="s">
        <v>137</v>
      </c>
      <c r="I141" s="5" t="str" cm="1">
        <f t="array" aca="1" ref="I141" ca="1">INDEX(Courses!$B$9:$B$16,RANDBETWEEN(1,8))</f>
        <v>Excel Basics</v>
      </c>
      <c r="J141" s="5" t="str">
        <f ca="1">VLOOKUP(I141,Courses!$B$9:$C$16,2,0)</f>
        <v>Microsoft Office</v>
      </c>
      <c r="K141" s="7">
        <f ca="1">VLOOKUP(I141,Courses!$B$9:$D$16,3,0)</f>
        <v>29</v>
      </c>
      <c r="L141" s="5" t="str">
        <f t="shared" ca="1" si="31"/>
        <v>Paid</v>
      </c>
      <c r="M141" s="8" t="str" cm="1">
        <f t="array" aca="1" ref="M141" ca="1">INDEX('Payment Method'!$A$8:$A$12,RANDBETWEEN(1,5))</f>
        <v>Mastercard Debit</v>
      </c>
      <c r="N141" s="7">
        <f>IFERROR(SUMIF(Holiday!$A$8:$A$11,B141,Holiday!$C$8:$C$11),0)</f>
        <v>0</v>
      </c>
      <c r="O141" s="7">
        <f t="shared" ca="1" si="32"/>
        <v>29</v>
      </c>
      <c r="P141" s="19">
        <f t="shared" ca="1" si="33"/>
        <v>28.42</v>
      </c>
      <c r="Q141" s="7">
        <f t="shared" ca="1" si="34"/>
        <v>0</v>
      </c>
      <c r="R141" s="8">
        <f ca="1">VLOOKUP(M141,'Payment Method'!$A$8:$B$12,2,0)</f>
        <v>0.02</v>
      </c>
      <c r="S141" s="9">
        <f t="shared" ca="1" si="24"/>
        <v>0.57999999999999829</v>
      </c>
      <c r="T141" s="8">
        <v>0.01</v>
      </c>
      <c r="U141" s="9">
        <f t="shared" ca="1" si="25"/>
        <v>0.28419999999999845</v>
      </c>
      <c r="V141" s="7">
        <f t="shared" ca="1" si="26"/>
        <v>0</v>
      </c>
      <c r="W141" s="7">
        <f t="shared" ca="1" si="27"/>
        <v>28.135800000000003</v>
      </c>
      <c r="X141" s="5" t="str">
        <f t="shared" ca="1" si="35"/>
        <v>Facebook</v>
      </c>
      <c r="Y141" s="78" t="str">
        <f>IF(COUNTIF($C$1:C140,B140)=1,10,"")</f>
        <v/>
      </c>
    </row>
    <row r="142" spans="1:25" x14ac:dyDescent="0.3">
      <c r="A142" s="75">
        <v>141</v>
      </c>
      <c r="B142" s="6">
        <v>46029</v>
      </c>
      <c r="C142" s="6">
        <v>46030</v>
      </c>
      <c r="D142" s="17" t="str">
        <f t="shared" si="28"/>
        <v>January</v>
      </c>
      <c r="E142" s="5" t="str">
        <f t="shared" ca="1" si="29"/>
        <v>STU-649</v>
      </c>
      <c r="F142" s="5" t="str">
        <f ca="1">IF(COUNTIF($E$2:E142,E142)=1,"New Customer","Returning Customer")</f>
        <v>New Customer</v>
      </c>
      <c r="G142" s="5" t="str">
        <f t="shared" ca="1" si="30"/>
        <v>Not specified</v>
      </c>
      <c r="H142" s="5" t="s">
        <v>135</v>
      </c>
      <c r="I142" s="5" t="str" cm="1">
        <f t="array" aca="1" ref="I142" ca="1">INDEX(Courses!$B$9:$B$16,RANDBETWEEN(1,8))</f>
        <v>Excel Basics</v>
      </c>
      <c r="J142" s="5" t="str">
        <f ca="1">VLOOKUP(I142,Courses!$B$9:$C$16,2,0)</f>
        <v>Microsoft Office</v>
      </c>
      <c r="K142" s="7">
        <f ca="1">VLOOKUP(I142,Courses!$B$9:$D$16,3,0)</f>
        <v>29</v>
      </c>
      <c r="L142" s="5" t="str">
        <f t="shared" ca="1" si="31"/>
        <v>Refunded</v>
      </c>
      <c r="M142" s="8" t="str" cm="1">
        <f t="array" aca="1" ref="M142" ca="1">INDEX('Payment Method'!$A$8:$A$12,RANDBETWEEN(1,5))</f>
        <v>Mastercard Debit</v>
      </c>
      <c r="N142" s="7">
        <f>IFERROR(SUMIF(Holiday!$A$8:$A$11,B142,Holiday!$C$8:$C$11),0)</f>
        <v>0</v>
      </c>
      <c r="O142" s="7">
        <f t="shared" ca="1" si="32"/>
        <v>29</v>
      </c>
      <c r="P142" s="19">
        <f t="shared" ca="1" si="33"/>
        <v>28.42</v>
      </c>
      <c r="Q142" s="7">
        <f t="shared" ca="1" si="34"/>
        <v>0</v>
      </c>
      <c r="R142" s="8">
        <f ca="1">VLOOKUP(M142,'Payment Method'!$A$8:$B$12,2,0)</f>
        <v>0.02</v>
      </c>
      <c r="S142" s="9">
        <f t="shared" ca="1" si="24"/>
        <v>0.57999999999999829</v>
      </c>
      <c r="T142" s="8">
        <v>0.01</v>
      </c>
      <c r="U142" s="9">
        <f t="shared" ca="1" si="25"/>
        <v>0.28419999999999845</v>
      </c>
      <c r="V142" s="7">
        <f t="shared" ca="1" si="26"/>
        <v>28.135800000000003</v>
      </c>
      <c r="W142" s="7">
        <f t="shared" ca="1" si="27"/>
        <v>0</v>
      </c>
      <c r="X142" s="5" t="str">
        <f t="shared" ca="1" si="35"/>
        <v>Facebook</v>
      </c>
      <c r="Y142" s="78" t="str">
        <f>IF(COUNTIF($C$1:C141,B141)=1,10,"")</f>
        <v/>
      </c>
    </row>
    <row r="143" spans="1:25" x14ac:dyDescent="0.3">
      <c r="A143" s="76">
        <v>142</v>
      </c>
      <c r="B143" s="6">
        <v>46116</v>
      </c>
      <c r="C143" s="6">
        <v>46120</v>
      </c>
      <c r="D143" s="17" t="str">
        <f t="shared" si="28"/>
        <v>April</v>
      </c>
      <c r="E143" s="5" t="str">
        <f t="shared" ca="1" si="29"/>
        <v>STU-878</v>
      </c>
      <c r="F143" s="5" t="str">
        <f ca="1">IF(COUNTIF($E$2:E143,E143)=1,"New Customer","Returning Customer")</f>
        <v>New Customer</v>
      </c>
      <c r="G143" s="5" t="str">
        <f t="shared" ca="1" si="30"/>
        <v>Female</v>
      </c>
      <c r="H143" s="5" t="s">
        <v>139</v>
      </c>
      <c r="I143" s="5" t="str" cm="1">
        <f t="array" aca="1" ref="I143" ca="1">INDEX(Courses!$B$9:$B$16,RANDBETWEEN(1,8))</f>
        <v>SQL</v>
      </c>
      <c r="J143" s="5" t="str">
        <f ca="1">VLOOKUP(I143,Courses!$B$9:$C$16,2,0)</f>
        <v>Data Analytics</v>
      </c>
      <c r="K143" s="7">
        <f ca="1">VLOOKUP(I143,Courses!$B$9:$D$16,3,0)</f>
        <v>99</v>
      </c>
      <c r="L143" s="5" t="str">
        <f t="shared" ca="1" si="31"/>
        <v>Paid</v>
      </c>
      <c r="M143" s="8" t="str" cm="1">
        <f t="array" aca="1" ref="M143" ca="1">INDEX('Payment Method'!$A$8:$A$12,RANDBETWEEN(1,5))</f>
        <v>Visa Credit</v>
      </c>
      <c r="N143" s="7">
        <f>IFERROR(SUMIF(Holiday!$A$8:$A$11,B143,Holiday!$C$8:$C$11),0)</f>
        <v>0</v>
      </c>
      <c r="O143" s="7">
        <f t="shared" ca="1" si="32"/>
        <v>99</v>
      </c>
      <c r="P143" s="19">
        <f t="shared" ca="1" si="33"/>
        <v>95.534999999999997</v>
      </c>
      <c r="Q143" s="7">
        <f t="shared" ca="1" si="34"/>
        <v>0</v>
      </c>
      <c r="R143" s="8">
        <f ca="1">VLOOKUP(M143,'Payment Method'!$A$8:$B$12,2,0)</f>
        <v>3.5000000000000003E-2</v>
      </c>
      <c r="S143" s="9">
        <f t="shared" ca="1" si="24"/>
        <v>3.4650000000000034</v>
      </c>
      <c r="T143" s="8">
        <v>0.01</v>
      </c>
      <c r="U143" s="9">
        <f t="shared" ca="1" si="25"/>
        <v>0.9553499999999957</v>
      </c>
      <c r="V143" s="7">
        <f t="shared" ca="1" si="26"/>
        <v>0</v>
      </c>
      <c r="W143" s="7">
        <f t="shared" ca="1" si="27"/>
        <v>94.579650000000001</v>
      </c>
      <c r="X143" s="5" t="str">
        <f t="shared" ca="1" si="35"/>
        <v>Tiktok</v>
      </c>
      <c r="Y143" s="78">
        <f>IF(COUNTIF($C$1:C142,B142)=1,10,"")</f>
        <v>10</v>
      </c>
    </row>
    <row r="144" spans="1:25" x14ac:dyDescent="0.3">
      <c r="A144" s="75">
        <v>143</v>
      </c>
      <c r="B144" s="6">
        <v>46126</v>
      </c>
      <c r="C144" s="6">
        <v>46128</v>
      </c>
      <c r="D144" s="17" t="str">
        <f t="shared" si="28"/>
        <v>April</v>
      </c>
      <c r="E144" s="5" t="str">
        <f t="shared" ca="1" si="29"/>
        <v>STU-331</v>
      </c>
      <c r="F144" s="5" t="str">
        <f ca="1">IF(COUNTIF($E$2:E144,E144)=1,"New Customer","Returning Customer")</f>
        <v>New Customer</v>
      </c>
      <c r="G144" s="5" t="str">
        <f t="shared" ca="1" si="30"/>
        <v>Not specified</v>
      </c>
      <c r="H144" s="5" t="s">
        <v>139</v>
      </c>
      <c r="I144" s="5" t="str" cm="1">
        <f t="array" aca="1" ref="I144" ca="1">INDEX(Courses!$B$9:$B$16,RANDBETWEEN(1,8))</f>
        <v>Tax Code</v>
      </c>
      <c r="J144" s="5" t="str">
        <f ca="1">VLOOKUP(I144,Courses!$B$9:$C$16,2,0)</f>
        <v>Finance &amp; Taxation</v>
      </c>
      <c r="K144" s="7">
        <f ca="1">VLOOKUP(I144,Courses!$B$9:$D$16,3,0)</f>
        <v>59</v>
      </c>
      <c r="L144" s="5" t="str">
        <f t="shared" ca="1" si="31"/>
        <v>Paid</v>
      </c>
      <c r="M144" s="8" t="str" cm="1">
        <f t="array" aca="1" ref="M144" ca="1">INDEX('Payment Method'!$A$8:$A$12,RANDBETWEEN(1,5))</f>
        <v>Mastercard Debit</v>
      </c>
      <c r="N144" s="7">
        <f>IFERROR(SUMIF(Holiday!$A$8:$A$11,B144,Holiday!$C$8:$C$11),0)</f>
        <v>0</v>
      </c>
      <c r="O144" s="7">
        <f t="shared" ca="1" si="32"/>
        <v>59</v>
      </c>
      <c r="P144" s="19">
        <f t="shared" ca="1" si="33"/>
        <v>57.82</v>
      </c>
      <c r="Q144" s="7">
        <f t="shared" ca="1" si="34"/>
        <v>0</v>
      </c>
      <c r="R144" s="8">
        <f ca="1">VLOOKUP(M144,'Payment Method'!$A$8:$B$12,2,0)</f>
        <v>0.02</v>
      </c>
      <c r="S144" s="9">
        <f t="shared" ca="1" si="24"/>
        <v>1.1799999999999997</v>
      </c>
      <c r="T144" s="8">
        <v>0.01</v>
      </c>
      <c r="U144" s="9">
        <f t="shared" ca="1" si="25"/>
        <v>0.57820000000000249</v>
      </c>
      <c r="V144" s="7">
        <f t="shared" ca="1" si="26"/>
        <v>0</v>
      </c>
      <c r="W144" s="7">
        <f t="shared" ca="1" si="27"/>
        <v>57.241799999999998</v>
      </c>
      <c r="X144" s="5" t="str">
        <f t="shared" ca="1" si="35"/>
        <v>Facebook</v>
      </c>
      <c r="Y144" s="78">
        <f>IF(COUNTIF($C$1:C143,B143)=1,10,"")</f>
        <v>10</v>
      </c>
    </row>
    <row r="145" spans="1:25" x14ac:dyDescent="0.3">
      <c r="A145" s="76">
        <v>144</v>
      </c>
      <c r="B145" s="6">
        <v>46134</v>
      </c>
      <c r="C145" s="6">
        <v>46135</v>
      </c>
      <c r="D145" s="17" t="str">
        <f t="shared" si="28"/>
        <v>April</v>
      </c>
      <c r="E145" s="5" t="str">
        <f t="shared" ca="1" si="29"/>
        <v>STU-190</v>
      </c>
      <c r="F145" s="5" t="str">
        <f ca="1">IF(COUNTIF($E$2:E145,E145)=1,"New Customer","Returning Customer")</f>
        <v>Returning Customer</v>
      </c>
      <c r="G145" s="5" t="str">
        <f t="shared" ca="1" si="30"/>
        <v>Male</v>
      </c>
      <c r="H145" s="5" t="s">
        <v>135</v>
      </c>
      <c r="I145" s="5" t="str" cm="1">
        <f t="array" aca="1" ref="I145" ca="1">INDEX(Courses!$B$9:$B$16,RANDBETWEEN(1,8))</f>
        <v>Microsoft Word</v>
      </c>
      <c r="J145" s="5" t="str">
        <f ca="1">VLOOKUP(I145,Courses!$B$9:$C$16,2,0)</f>
        <v>Microsoft Office</v>
      </c>
      <c r="K145" s="7">
        <f ca="1">VLOOKUP(I145,Courses!$B$9:$D$16,3,0)</f>
        <v>29</v>
      </c>
      <c r="L145" s="5" t="str">
        <f t="shared" ca="1" si="31"/>
        <v>Pending</v>
      </c>
      <c r="M145" s="8" t="str" cm="1">
        <f t="array" aca="1" ref="M145" ca="1">INDEX('Payment Method'!$A$8:$A$12,RANDBETWEEN(1,5))</f>
        <v>Mastercard Credit</v>
      </c>
      <c r="N145" s="7">
        <f>IFERROR(SUMIF(Holiday!$A$8:$A$11,B145,Holiday!$C$8:$C$11),0)</f>
        <v>0</v>
      </c>
      <c r="O145" s="7">
        <f t="shared" ca="1" si="32"/>
        <v>29</v>
      </c>
      <c r="P145" s="19">
        <f t="shared" ca="1" si="33"/>
        <v>27.984999999999999</v>
      </c>
      <c r="Q145" s="7">
        <f t="shared" ca="1" si="34"/>
        <v>27.70515</v>
      </c>
      <c r="R145" s="8">
        <f ca="1">VLOOKUP(M145,'Payment Method'!$A$8:$B$12,2,0)</f>
        <v>3.5000000000000003E-2</v>
      </c>
      <c r="S145" s="9">
        <f t="shared" ca="1" si="24"/>
        <v>1.0150000000000006</v>
      </c>
      <c r="T145" s="8">
        <v>0.01</v>
      </c>
      <c r="U145" s="9">
        <f t="shared" ca="1" si="25"/>
        <v>0.27984999999999971</v>
      </c>
      <c r="V145" s="7">
        <f t="shared" ca="1" si="26"/>
        <v>0</v>
      </c>
      <c r="W145" s="7">
        <f t="shared" ca="1" si="27"/>
        <v>0</v>
      </c>
      <c r="X145" s="5" t="str">
        <f t="shared" ca="1" si="35"/>
        <v>Instagram</v>
      </c>
      <c r="Y145" s="78" t="str">
        <f>IF(COUNTIF($C$1:C144,B144)=1,10,"")</f>
        <v/>
      </c>
    </row>
    <row r="146" spans="1:25" x14ac:dyDescent="0.3">
      <c r="A146" s="75">
        <v>145</v>
      </c>
      <c r="B146" s="6">
        <v>46127</v>
      </c>
      <c r="C146" s="6">
        <v>46128</v>
      </c>
      <c r="D146" s="17" t="str">
        <f t="shared" si="28"/>
        <v>April</v>
      </c>
      <c r="E146" s="5" t="str">
        <f t="shared" ca="1" si="29"/>
        <v>STU-286</v>
      </c>
      <c r="F146" s="5" t="str">
        <f ca="1">IF(COUNTIF($E$2:E146,E146)=1,"New Customer","Returning Customer")</f>
        <v>New Customer</v>
      </c>
      <c r="G146" s="5" t="str">
        <f t="shared" ca="1" si="30"/>
        <v>Male</v>
      </c>
      <c r="H146" s="5" t="s">
        <v>136</v>
      </c>
      <c r="I146" s="5" t="str" cm="1">
        <f t="array" aca="1" ref="I146" ca="1">INDEX(Courses!$B$9:$B$16,RANDBETWEEN(1,8))</f>
        <v>SQL</v>
      </c>
      <c r="J146" s="5" t="str">
        <f ca="1">VLOOKUP(I146,Courses!$B$9:$C$16,2,0)</f>
        <v>Data Analytics</v>
      </c>
      <c r="K146" s="7">
        <f ca="1">VLOOKUP(I146,Courses!$B$9:$D$16,3,0)</f>
        <v>99</v>
      </c>
      <c r="L146" s="5" t="str">
        <f t="shared" ca="1" si="31"/>
        <v>Paid</v>
      </c>
      <c r="M146" s="8" t="str" cm="1">
        <f t="array" aca="1" ref="M146" ca="1">INDEX('Payment Method'!$A$8:$A$12,RANDBETWEEN(1,5))</f>
        <v>Bank Transfer</v>
      </c>
      <c r="N146" s="7">
        <f>IFERROR(SUMIF(Holiday!$A$8:$A$11,B146,Holiday!$C$8:$C$11),0)</f>
        <v>0</v>
      </c>
      <c r="O146" s="7">
        <f t="shared" ca="1" si="32"/>
        <v>99</v>
      </c>
      <c r="P146" s="19">
        <f t="shared" ca="1" si="33"/>
        <v>99</v>
      </c>
      <c r="Q146" s="7">
        <f t="shared" ca="1" si="34"/>
        <v>0</v>
      </c>
      <c r="R146" s="8">
        <f ca="1">VLOOKUP(M146,'Payment Method'!$A$8:$B$12,2,0)</f>
        <v>0</v>
      </c>
      <c r="S146" s="9">
        <f t="shared" ca="1" si="24"/>
        <v>0</v>
      </c>
      <c r="T146" s="8">
        <v>0.01</v>
      </c>
      <c r="U146" s="9">
        <f t="shared" ca="1" si="25"/>
        <v>0.98999999999999488</v>
      </c>
      <c r="V146" s="7">
        <f t="shared" ca="1" si="26"/>
        <v>0</v>
      </c>
      <c r="W146" s="7">
        <f t="shared" ca="1" si="27"/>
        <v>98.01</v>
      </c>
      <c r="X146" s="5" t="str">
        <f t="shared" ca="1" si="35"/>
        <v>Facebook</v>
      </c>
      <c r="Y146" s="78" t="str">
        <f>IF(COUNTIF($C$1:C145,B145)=1,10,"")</f>
        <v/>
      </c>
    </row>
    <row r="147" spans="1:25" x14ac:dyDescent="0.3">
      <c r="A147" s="76">
        <v>146</v>
      </c>
      <c r="B147" s="6">
        <v>46146</v>
      </c>
      <c r="C147" s="6">
        <v>46149</v>
      </c>
      <c r="D147" s="17" t="str">
        <f t="shared" si="28"/>
        <v>May</v>
      </c>
      <c r="E147" s="5" t="str">
        <f t="shared" ca="1" si="29"/>
        <v>STU-888</v>
      </c>
      <c r="F147" s="5" t="str">
        <f ca="1">IF(COUNTIF($E$2:E147,E147)=1,"New Customer","Returning Customer")</f>
        <v>New Customer</v>
      </c>
      <c r="G147" s="5" t="str">
        <f t="shared" ca="1" si="30"/>
        <v>Male</v>
      </c>
      <c r="H147" s="5" t="s">
        <v>141</v>
      </c>
      <c r="I147" s="5" t="str" cm="1">
        <f t="array" aca="1" ref="I147" ca="1">INDEX(Courses!$B$9:$B$16,RANDBETWEEN(1,8))</f>
        <v>Microsoft Word</v>
      </c>
      <c r="J147" s="5" t="str">
        <f ca="1">VLOOKUP(I147,Courses!$B$9:$C$16,2,0)</f>
        <v>Microsoft Office</v>
      </c>
      <c r="K147" s="7">
        <f ca="1">VLOOKUP(I147,Courses!$B$9:$D$16,3,0)</f>
        <v>29</v>
      </c>
      <c r="L147" s="5" t="str">
        <f t="shared" ca="1" si="31"/>
        <v>Paid</v>
      </c>
      <c r="M147" s="8" t="str" cm="1">
        <f t="array" aca="1" ref="M147" ca="1">INDEX('Payment Method'!$A$8:$A$12,RANDBETWEEN(1,5))</f>
        <v>Visa Credit</v>
      </c>
      <c r="N147" s="7">
        <f>IFERROR(SUMIF(Holiday!$A$8:$A$11,B147,Holiday!$C$8:$C$11),0)</f>
        <v>0</v>
      </c>
      <c r="O147" s="7">
        <f t="shared" ca="1" si="32"/>
        <v>29</v>
      </c>
      <c r="P147" s="19">
        <f t="shared" ca="1" si="33"/>
        <v>27.984999999999999</v>
      </c>
      <c r="Q147" s="7">
        <f t="shared" ca="1" si="34"/>
        <v>0</v>
      </c>
      <c r="R147" s="8">
        <f ca="1">VLOOKUP(M147,'Payment Method'!$A$8:$B$12,2,0)</f>
        <v>3.5000000000000003E-2</v>
      </c>
      <c r="S147" s="9">
        <f t="shared" ca="1" si="24"/>
        <v>1.0150000000000006</v>
      </c>
      <c r="T147" s="8">
        <v>0.01</v>
      </c>
      <c r="U147" s="9">
        <f t="shared" ca="1" si="25"/>
        <v>0.27984999999999971</v>
      </c>
      <c r="V147" s="7">
        <f t="shared" ca="1" si="26"/>
        <v>0</v>
      </c>
      <c r="W147" s="7">
        <f t="shared" ca="1" si="27"/>
        <v>27.70515</v>
      </c>
      <c r="X147" s="5" t="str">
        <f t="shared" ca="1" si="35"/>
        <v>Facebook</v>
      </c>
      <c r="Y147" s="78">
        <f>IF(COUNTIF($C$1:C146,B146)=1,10,"")</f>
        <v>10</v>
      </c>
    </row>
    <row r="148" spans="1:25" x14ac:dyDescent="0.3">
      <c r="A148" s="75">
        <v>147</v>
      </c>
      <c r="B148" s="6">
        <v>46224</v>
      </c>
      <c r="C148" s="6">
        <v>46225</v>
      </c>
      <c r="D148" s="17" t="str">
        <f t="shared" si="28"/>
        <v>July</v>
      </c>
      <c r="E148" s="5" t="str">
        <f t="shared" ca="1" si="29"/>
        <v>STU-138</v>
      </c>
      <c r="F148" s="5" t="str">
        <f ca="1">IF(COUNTIF($E$2:E148,E148)=1,"New Customer","Returning Customer")</f>
        <v>New Customer</v>
      </c>
      <c r="G148" s="5" t="str">
        <f t="shared" ca="1" si="30"/>
        <v>Not specified</v>
      </c>
      <c r="H148" s="5" t="s">
        <v>138</v>
      </c>
      <c r="I148" s="5" t="str" cm="1">
        <f t="array" aca="1" ref="I148" ca="1">INDEX(Courses!$B$9:$B$16,RANDBETWEEN(1,8))</f>
        <v>Excel Basics</v>
      </c>
      <c r="J148" s="5" t="str">
        <f ca="1">VLOOKUP(I148,Courses!$B$9:$C$16,2,0)</f>
        <v>Microsoft Office</v>
      </c>
      <c r="K148" s="7">
        <f ca="1">VLOOKUP(I148,Courses!$B$9:$D$16,3,0)</f>
        <v>29</v>
      </c>
      <c r="L148" s="5" t="str">
        <f t="shared" ca="1" si="31"/>
        <v>Pending</v>
      </c>
      <c r="M148" s="8" t="str" cm="1">
        <f t="array" aca="1" ref="M148" ca="1">INDEX('Payment Method'!$A$8:$A$12,RANDBETWEEN(1,5))</f>
        <v>Mastercard Credit</v>
      </c>
      <c r="N148" s="7">
        <f>IFERROR(SUMIF(Holiday!$A$8:$A$11,B148,Holiday!$C$8:$C$11),0)</f>
        <v>0</v>
      </c>
      <c r="O148" s="7">
        <f t="shared" ca="1" si="32"/>
        <v>29</v>
      </c>
      <c r="P148" s="19">
        <f t="shared" ca="1" si="33"/>
        <v>27.984999999999999</v>
      </c>
      <c r="Q148" s="7">
        <f t="shared" ca="1" si="34"/>
        <v>27.70515</v>
      </c>
      <c r="R148" s="8">
        <f ca="1">VLOOKUP(M148,'Payment Method'!$A$8:$B$12,2,0)</f>
        <v>3.5000000000000003E-2</v>
      </c>
      <c r="S148" s="9">
        <f t="shared" ca="1" si="24"/>
        <v>1.0150000000000006</v>
      </c>
      <c r="T148" s="8">
        <v>0.01</v>
      </c>
      <c r="U148" s="9">
        <f t="shared" ca="1" si="25"/>
        <v>0.27984999999999971</v>
      </c>
      <c r="V148" s="7">
        <f t="shared" ca="1" si="26"/>
        <v>0</v>
      </c>
      <c r="W148" s="7">
        <f t="shared" ca="1" si="27"/>
        <v>0</v>
      </c>
      <c r="X148" s="5" t="str">
        <f t="shared" ca="1" si="35"/>
        <v>Instagram</v>
      </c>
      <c r="Y148" s="78" t="str">
        <f>IF(COUNTIF($C$1:C147,B147)=1,10,"")</f>
        <v/>
      </c>
    </row>
    <row r="149" spans="1:25" x14ac:dyDescent="0.3">
      <c r="A149" s="76">
        <v>148</v>
      </c>
      <c r="B149" s="6">
        <v>46212</v>
      </c>
      <c r="C149" s="6">
        <v>46215</v>
      </c>
      <c r="D149" s="17" t="str">
        <f t="shared" si="28"/>
        <v>July</v>
      </c>
      <c r="E149" s="5" t="str">
        <f t="shared" ca="1" si="29"/>
        <v>STU-373</v>
      </c>
      <c r="F149" s="5" t="str">
        <f ca="1">IF(COUNTIF($E$2:E149,E149)=1,"New Customer","Returning Customer")</f>
        <v>New Customer</v>
      </c>
      <c r="G149" s="5" t="str">
        <f t="shared" ca="1" si="30"/>
        <v>Female</v>
      </c>
      <c r="H149" s="5" t="s">
        <v>141</v>
      </c>
      <c r="I149" s="5" t="str" cm="1">
        <f t="array" aca="1" ref="I149" ca="1">INDEX(Courses!$B$9:$B$16,RANDBETWEEN(1,8))</f>
        <v>Complete Excel Course</v>
      </c>
      <c r="J149" s="5" t="str">
        <f ca="1">VLOOKUP(I149,Courses!$B$9:$C$16,2,0)</f>
        <v>Microsoft Office</v>
      </c>
      <c r="K149" s="7">
        <f ca="1">VLOOKUP(I149,Courses!$B$9:$D$16,3,0)</f>
        <v>59</v>
      </c>
      <c r="L149" s="5" t="str">
        <f t="shared" ca="1" si="31"/>
        <v>Paid</v>
      </c>
      <c r="M149" s="8" t="str" cm="1">
        <f t="array" aca="1" ref="M149" ca="1">INDEX('Payment Method'!$A$8:$A$12,RANDBETWEEN(1,5))</f>
        <v>Visa Credit</v>
      </c>
      <c r="N149" s="7">
        <f>IFERROR(SUMIF(Holiday!$A$8:$A$11,B149,Holiday!$C$8:$C$11),0)</f>
        <v>0</v>
      </c>
      <c r="O149" s="7">
        <f t="shared" ca="1" si="32"/>
        <v>59</v>
      </c>
      <c r="P149" s="19">
        <f t="shared" ca="1" si="33"/>
        <v>56.935000000000002</v>
      </c>
      <c r="Q149" s="7">
        <f t="shared" ca="1" si="34"/>
        <v>0</v>
      </c>
      <c r="R149" s="8">
        <f ca="1">VLOOKUP(M149,'Payment Method'!$A$8:$B$12,2,0)</f>
        <v>3.5000000000000003E-2</v>
      </c>
      <c r="S149" s="9">
        <f t="shared" ca="1" si="24"/>
        <v>2.0649999999999977</v>
      </c>
      <c r="T149" s="8">
        <v>0.01</v>
      </c>
      <c r="U149" s="9">
        <f t="shared" ca="1" si="25"/>
        <v>0.56935000000000002</v>
      </c>
      <c r="V149" s="7">
        <f t="shared" ca="1" si="26"/>
        <v>0</v>
      </c>
      <c r="W149" s="7">
        <f t="shared" ca="1" si="27"/>
        <v>56.365650000000002</v>
      </c>
      <c r="X149" s="5" t="str">
        <f t="shared" ca="1" si="35"/>
        <v>Tiktok</v>
      </c>
      <c r="Y149" s="78" t="str">
        <f>IF(COUNTIF($C$1:C148,B148)=1,10,"")</f>
        <v/>
      </c>
    </row>
    <row r="150" spans="1:25" x14ac:dyDescent="0.3">
      <c r="A150" s="75">
        <v>149</v>
      </c>
      <c r="B150" s="6">
        <v>46086</v>
      </c>
      <c r="C150" s="6">
        <v>46091</v>
      </c>
      <c r="D150" s="17" t="str">
        <f t="shared" si="28"/>
        <v>March</v>
      </c>
      <c r="E150" s="5" t="str">
        <f t="shared" ca="1" si="29"/>
        <v>STU-352</v>
      </c>
      <c r="F150" s="5" t="str">
        <f ca="1">IF(COUNTIF($E$2:E150,E150)=1,"New Customer","Returning Customer")</f>
        <v>New Customer</v>
      </c>
      <c r="G150" s="5" t="str">
        <f t="shared" ca="1" si="30"/>
        <v>Male</v>
      </c>
      <c r="H150" s="5" t="s">
        <v>142</v>
      </c>
      <c r="I150" s="5" t="str" cm="1">
        <f t="array" aca="1" ref="I150" ca="1">INDEX(Courses!$B$9:$B$16,RANDBETWEEN(1,8))</f>
        <v>Power BI</v>
      </c>
      <c r="J150" s="5" t="str">
        <f ca="1">VLOOKUP(I150,Courses!$B$9:$C$16,2,0)</f>
        <v>Data Analytics</v>
      </c>
      <c r="K150" s="7">
        <f ca="1">VLOOKUP(I150,Courses!$B$9:$D$16,3,0)</f>
        <v>59</v>
      </c>
      <c r="L150" s="5" t="str">
        <f t="shared" ca="1" si="31"/>
        <v>Refunded</v>
      </c>
      <c r="M150" s="8" t="str" cm="1">
        <f t="array" aca="1" ref="M150" ca="1">INDEX('Payment Method'!$A$8:$A$12,RANDBETWEEN(1,5))</f>
        <v>Mastercard Debit</v>
      </c>
      <c r="N150" s="7">
        <f>IFERROR(SUMIF(Holiday!$A$8:$A$11,B150,Holiday!$C$8:$C$11),0)</f>
        <v>0</v>
      </c>
      <c r="O150" s="7">
        <f t="shared" ca="1" si="32"/>
        <v>59</v>
      </c>
      <c r="P150" s="19">
        <f t="shared" ca="1" si="33"/>
        <v>57.82</v>
      </c>
      <c r="Q150" s="7">
        <f t="shared" ca="1" si="34"/>
        <v>0</v>
      </c>
      <c r="R150" s="8">
        <f ca="1">VLOOKUP(M150,'Payment Method'!$A$8:$B$12,2,0)</f>
        <v>0.02</v>
      </c>
      <c r="S150" s="9">
        <f t="shared" ca="1" si="24"/>
        <v>1.1799999999999997</v>
      </c>
      <c r="T150" s="8">
        <v>0.01</v>
      </c>
      <c r="U150" s="9">
        <f t="shared" ca="1" si="25"/>
        <v>0.57820000000000249</v>
      </c>
      <c r="V150" s="7">
        <f t="shared" ca="1" si="26"/>
        <v>57.241799999999998</v>
      </c>
      <c r="W150" s="7">
        <f t="shared" ca="1" si="27"/>
        <v>0</v>
      </c>
      <c r="X150" s="5" t="str">
        <f t="shared" ca="1" si="35"/>
        <v>Instagram</v>
      </c>
      <c r="Y150" s="78">
        <f>IF(COUNTIF($C$1:C149,B149)=1,10,"")</f>
        <v>10</v>
      </c>
    </row>
    <row r="151" spans="1:25" x14ac:dyDescent="0.3">
      <c r="A151" s="76">
        <v>150</v>
      </c>
      <c r="B151" s="6">
        <v>46150</v>
      </c>
      <c r="C151" s="6">
        <v>46152</v>
      </c>
      <c r="D151" s="17" t="str">
        <f t="shared" si="28"/>
        <v>May</v>
      </c>
      <c r="E151" s="5" t="str">
        <f t="shared" ca="1" si="29"/>
        <v>STU-304</v>
      </c>
      <c r="F151" s="5" t="str">
        <f ca="1">IF(COUNTIF($E$2:E151,E151)=1,"New Customer","Returning Customer")</f>
        <v>Returning Customer</v>
      </c>
      <c r="G151" s="5" t="str">
        <f t="shared" ca="1" si="30"/>
        <v>Not specified</v>
      </c>
      <c r="H151" s="5" t="s">
        <v>139</v>
      </c>
      <c r="I151" s="5" t="str" cm="1">
        <f t="array" aca="1" ref="I151" ca="1">INDEX(Courses!$B$9:$B$16,RANDBETWEEN(1,8))</f>
        <v>Microsoft Word</v>
      </c>
      <c r="J151" s="5" t="str">
        <f ca="1">VLOOKUP(I151,Courses!$B$9:$C$16,2,0)</f>
        <v>Microsoft Office</v>
      </c>
      <c r="K151" s="7">
        <f ca="1">VLOOKUP(I151,Courses!$B$9:$D$16,3,0)</f>
        <v>29</v>
      </c>
      <c r="L151" s="5" t="str">
        <f t="shared" ca="1" si="31"/>
        <v>Pending</v>
      </c>
      <c r="M151" s="8" t="str" cm="1">
        <f t="array" aca="1" ref="M151" ca="1">INDEX('Payment Method'!$A$8:$A$12,RANDBETWEEN(1,5))</f>
        <v>Visa Credit</v>
      </c>
      <c r="N151" s="7">
        <f>IFERROR(SUMIF(Holiday!$A$8:$A$11,B151,Holiday!$C$8:$C$11),0)</f>
        <v>0</v>
      </c>
      <c r="O151" s="7">
        <f t="shared" ca="1" si="32"/>
        <v>29</v>
      </c>
      <c r="P151" s="19">
        <f t="shared" ca="1" si="33"/>
        <v>27.984999999999999</v>
      </c>
      <c r="Q151" s="7">
        <f t="shared" ca="1" si="34"/>
        <v>27.70515</v>
      </c>
      <c r="R151" s="8">
        <f ca="1">VLOOKUP(M151,'Payment Method'!$A$8:$B$12,2,0)</f>
        <v>3.5000000000000003E-2</v>
      </c>
      <c r="S151" s="9">
        <f t="shared" ca="1" si="24"/>
        <v>1.0150000000000006</v>
      </c>
      <c r="T151" s="8">
        <v>0.01</v>
      </c>
      <c r="U151" s="9">
        <f t="shared" ca="1" si="25"/>
        <v>0.27984999999999971</v>
      </c>
      <c r="V151" s="7">
        <f t="shared" ca="1" si="26"/>
        <v>0</v>
      </c>
      <c r="W151" s="7">
        <f t="shared" ca="1" si="27"/>
        <v>0</v>
      </c>
      <c r="X151" s="5" t="str">
        <f t="shared" ca="1" si="35"/>
        <v>Tiktok</v>
      </c>
      <c r="Y151" s="78">
        <f>IF(COUNTIF($C$1:C150,B150)=1,10,"")</f>
        <v>10</v>
      </c>
    </row>
    <row r="152" spans="1:25" x14ac:dyDescent="0.3">
      <c r="A152" s="75">
        <v>151</v>
      </c>
      <c r="B152" s="6">
        <v>46178</v>
      </c>
      <c r="C152" s="6">
        <v>46181</v>
      </c>
      <c r="D152" s="17" t="str">
        <f t="shared" si="28"/>
        <v>June</v>
      </c>
      <c r="E152" s="5" t="str">
        <f t="shared" ca="1" si="29"/>
        <v>STU-336</v>
      </c>
      <c r="F152" s="5" t="str">
        <f ca="1">IF(COUNTIF($E$2:E152,E152)=1,"New Customer","Returning Customer")</f>
        <v>New Customer</v>
      </c>
      <c r="G152" s="5" t="str">
        <f t="shared" ca="1" si="30"/>
        <v>Male</v>
      </c>
      <c r="H152" s="5" t="s">
        <v>137</v>
      </c>
      <c r="I152" s="5" t="str" cm="1">
        <f t="array" aca="1" ref="I152" ca="1">INDEX(Courses!$B$9:$B$16,RANDBETWEEN(1,8))</f>
        <v>SQL</v>
      </c>
      <c r="J152" s="5" t="str">
        <f ca="1">VLOOKUP(I152,Courses!$B$9:$C$16,2,0)</f>
        <v>Data Analytics</v>
      </c>
      <c r="K152" s="7">
        <f ca="1">VLOOKUP(I152,Courses!$B$9:$D$16,3,0)</f>
        <v>99</v>
      </c>
      <c r="L152" s="5" t="str">
        <f t="shared" ca="1" si="31"/>
        <v>Paid</v>
      </c>
      <c r="M152" s="8" t="str" cm="1">
        <f t="array" aca="1" ref="M152" ca="1">INDEX('Payment Method'!$A$8:$A$12,RANDBETWEEN(1,5))</f>
        <v>Visa Credit</v>
      </c>
      <c r="N152" s="7">
        <f>IFERROR(SUMIF(Holiday!$A$8:$A$11,B152,Holiday!$C$8:$C$11),0)</f>
        <v>0</v>
      </c>
      <c r="O152" s="7">
        <f t="shared" ca="1" si="32"/>
        <v>99</v>
      </c>
      <c r="P152" s="19">
        <f t="shared" ca="1" si="33"/>
        <v>95.534999999999997</v>
      </c>
      <c r="Q152" s="7">
        <f t="shared" ca="1" si="34"/>
        <v>0</v>
      </c>
      <c r="R152" s="8">
        <f ca="1">VLOOKUP(M152,'Payment Method'!$A$8:$B$12,2,0)</f>
        <v>3.5000000000000003E-2</v>
      </c>
      <c r="S152" s="9">
        <f t="shared" ca="1" si="24"/>
        <v>3.4650000000000034</v>
      </c>
      <c r="T152" s="8">
        <v>0.01</v>
      </c>
      <c r="U152" s="9">
        <f t="shared" ca="1" si="25"/>
        <v>0.9553499999999957</v>
      </c>
      <c r="V152" s="7">
        <f t="shared" ca="1" si="26"/>
        <v>0</v>
      </c>
      <c r="W152" s="7">
        <f t="shared" ca="1" si="27"/>
        <v>94.579650000000001</v>
      </c>
      <c r="X152" s="5" t="str">
        <f t="shared" ca="1" si="35"/>
        <v>Tiktok</v>
      </c>
      <c r="Y152" s="78" t="str">
        <f>IF(COUNTIF($C$1:C151,B151)=1,10,"")</f>
        <v/>
      </c>
    </row>
    <row r="153" spans="1:25" x14ac:dyDescent="0.3">
      <c r="A153" s="76">
        <v>152</v>
      </c>
      <c r="B153" s="6">
        <v>46079</v>
      </c>
      <c r="C153" s="6">
        <v>46082</v>
      </c>
      <c r="D153" s="17" t="str">
        <f t="shared" si="28"/>
        <v>March</v>
      </c>
      <c r="E153" s="5" t="str">
        <f t="shared" ca="1" si="29"/>
        <v>STU-645</v>
      </c>
      <c r="F153" s="5" t="str">
        <f ca="1">IF(COUNTIF($E$2:E153,E153)=1,"New Customer","Returning Customer")</f>
        <v>New Customer</v>
      </c>
      <c r="G153" s="5" t="str">
        <f t="shared" ca="1" si="30"/>
        <v>Male</v>
      </c>
      <c r="H153" s="5" t="s">
        <v>142</v>
      </c>
      <c r="I153" s="5" t="str" cm="1">
        <f t="array" aca="1" ref="I153" ca="1">INDEX(Courses!$B$9:$B$16,RANDBETWEEN(1,8))</f>
        <v>Adolescent Psychology</v>
      </c>
      <c r="J153" s="5" t="str">
        <f ca="1">VLOOKUP(I153,Courses!$B$9:$C$16,2,0)</f>
        <v>Psychology</v>
      </c>
      <c r="K153" s="7">
        <f ca="1">VLOOKUP(I153,Courses!$B$9:$D$16,3,0)</f>
        <v>29</v>
      </c>
      <c r="L153" s="5" t="str">
        <f t="shared" ca="1" si="31"/>
        <v>Paid</v>
      </c>
      <c r="M153" s="8" t="str" cm="1">
        <f t="array" aca="1" ref="M153" ca="1">INDEX('Payment Method'!$A$8:$A$12,RANDBETWEEN(1,5))</f>
        <v>Bank Transfer</v>
      </c>
      <c r="N153" s="7">
        <f>IFERROR(SUMIF(Holiday!$A$8:$A$11,B153,Holiday!$C$8:$C$11),0)</f>
        <v>0</v>
      </c>
      <c r="O153" s="7">
        <f t="shared" ca="1" si="32"/>
        <v>29</v>
      </c>
      <c r="P153" s="19">
        <f t="shared" ca="1" si="33"/>
        <v>29</v>
      </c>
      <c r="Q153" s="7">
        <f t="shared" ca="1" si="34"/>
        <v>0</v>
      </c>
      <c r="R153" s="8">
        <f ca="1">VLOOKUP(M153,'Payment Method'!$A$8:$B$12,2,0)</f>
        <v>0</v>
      </c>
      <c r="S153" s="9">
        <f t="shared" ca="1" si="24"/>
        <v>0</v>
      </c>
      <c r="T153" s="8">
        <v>0.01</v>
      </c>
      <c r="U153" s="9">
        <f t="shared" ca="1" si="25"/>
        <v>0.28999999999999915</v>
      </c>
      <c r="V153" s="7">
        <f t="shared" ca="1" si="26"/>
        <v>0</v>
      </c>
      <c r="W153" s="7">
        <f t="shared" ca="1" si="27"/>
        <v>28.71</v>
      </c>
      <c r="X153" s="5" t="str">
        <f t="shared" ca="1" si="35"/>
        <v>Instagram</v>
      </c>
      <c r="Y153" s="78" t="str">
        <f>IF(COUNTIF($C$1:C152,B152)=1,10,"")</f>
        <v/>
      </c>
    </row>
    <row r="154" spans="1:25" x14ac:dyDescent="0.3">
      <c r="A154" s="75">
        <v>153</v>
      </c>
      <c r="B154" s="6">
        <v>46175</v>
      </c>
      <c r="C154" s="6">
        <v>46176</v>
      </c>
      <c r="D154" s="17" t="str">
        <f t="shared" si="28"/>
        <v>June</v>
      </c>
      <c r="E154" s="5" t="str">
        <f t="shared" ca="1" si="29"/>
        <v>STU-232</v>
      </c>
      <c r="F154" s="5" t="str">
        <f ca="1">IF(COUNTIF($E$2:E154,E154)=1,"New Customer","Returning Customer")</f>
        <v>New Customer</v>
      </c>
      <c r="G154" s="5" t="str">
        <f t="shared" ca="1" si="30"/>
        <v>Male</v>
      </c>
      <c r="H154" s="5" t="s">
        <v>136</v>
      </c>
      <c r="I154" s="5" t="str" cm="1">
        <f t="array" aca="1" ref="I154" ca="1">INDEX(Courses!$B$9:$B$16,RANDBETWEEN(1,8))</f>
        <v>Power BI</v>
      </c>
      <c r="J154" s="5" t="str">
        <f ca="1">VLOOKUP(I154,Courses!$B$9:$C$16,2,0)</f>
        <v>Data Analytics</v>
      </c>
      <c r="K154" s="7">
        <f ca="1">VLOOKUP(I154,Courses!$B$9:$D$16,3,0)</f>
        <v>59</v>
      </c>
      <c r="L154" s="5" t="str">
        <f t="shared" ca="1" si="31"/>
        <v>Pending</v>
      </c>
      <c r="M154" s="8" t="str" cm="1">
        <f t="array" aca="1" ref="M154" ca="1">INDEX('Payment Method'!$A$8:$A$12,RANDBETWEEN(1,5))</f>
        <v>Mastercard Credit</v>
      </c>
      <c r="N154" s="7">
        <f>IFERROR(SUMIF(Holiday!$A$8:$A$11,B154,Holiday!$C$8:$C$11),0)</f>
        <v>0</v>
      </c>
      <c r="O154" s="7">
        <f t="shared" ca="1" si="32"/>
        <v>59</v>
      </c>
      <c r="P154" s="19">
        <f t="shared" ca="1" si="33"/>
        <v>56.935000000000002</v>
      </c>
      <c r="Q154" s="7">
        <f t="shared" ca="1" si="34"/>
        <v>56.365650000000002</v>
      </c>
      <c r="R154" s="8">
        <f ca="1">VLOOKUP(M154,'Payment Method'!$A$8:$B$12,2,0)</f>
        <v>3.5000000000000003E-2</v>
      </c>
      <c r="S154" s="9">
        <f t="shared" ca="1" si="24"/>
        <v>2.0649999999999977</v>
      </c>
      <c r="T154" s="8">
        <v>0.01</v>
      </c>
      <c r="U154" s="9">
        <f t="shared" ca="1" si="25"/>
        <v>0.56935000000000002</v>
      </c>
      <c r="V154" s="7">
        <f t="shared" ca="1" si="26"/>
        <v>0</v>
      </c>
      <c r="W154" s="7">
        <f t="shared" ca="1" si="27"/>
        <v>0</v>
      </c>
      <c r="X154" s="5" t="str">
        <f t="shared" ca="1" si="35"/>
        <v>Instagram</v>
      </c>
      <c r="Y154" s="78" t="str">
        <f>IF(COUNTIF($C$1:C153,B153)=1,10,"")</f>
        <v/>
      </c>
    </row>
    <row r="155" spans="1:25" x14ac:dyDescent="0.3">
      <c r="A155" s="76">
        <v>154</v>
      </c>
      <c r="B155" s="6">
        <v>46134</v>
      </c>
      <c r="C155" s="6">
        <v>46136</v>
      </c>
      <c r="D155" s="17" t="str">
        <f t="shared" si="28"/>
        <v>April</v>
      </c>
      <c r="E155" s="5" t="str">
        <f t="shared" ca="1" si="29"/>
        <v>STU-593</v>
      </c>
      <c r="F155" s="5" t="str">
        <f ca="1">IF(COUNTIF($E$2:E155,E155)=1,"New Customer","Returning Customer")</f>
        <v>New Customer</v>
      </c>
      <c r="G155" s="5" t="str">
        <f t="shared" ca="1" si="30"/>
        <v>Female</v>
      </c>
      <c r="H155" s="5" t="s">
        <v>138</v>
      </c>
      <c r="I155" s="5" t="str" cm="1">
        <f t="array" aca="1" ref="I155" ca="1">INDEX(Courses!$B$9:$B$16,RANDBETWEEN(1,8))</f>
        <v>SQL</v>
      </c>
      <c r="J155" s="5" t="str">
        <f ca="1">VLOOKUP(I155,Courses!$B$9:$C$16,2,0)</f>
        <v>Data Analytics</v>
      </c>
      <c r="K155" s="7">
        <f ca="1">VLOOKUP(I155,Courses!$B$9:$D$16,3,0)</f>
        <v>99</v>
      </c>
      <c r="L155" s="5" t="str">
        <f t="shared" ca="1" si="31"/>
        <v>Pending</v>
      </c>
      <c r="M155" s="8" t="str" cm="1">
        <f t="array" aca="1" ref="M155" ca="1">INDEX('Payment Method'!$A$8:$A$12,RANDBETWEEN(1,5))</f>
        <v>Visa Credit</v>
      </c>
      <c r="N155" s="7">
        <f>IFERROR(SUMIF(Holiday!$A$8:$A$11,B155,Holiday!$C$8:$C$11),0)</f>
        <v>0</v>
      </c>
      <c r="O155" s="7">
        <f t="shared" ca="1" si="32"/>
        <v>99</v>
      </c>
      <c r="P155" s="19">
        <f t="shared" ca="1" si="33"/>
        <v>95.534999999999997</v>
      </c>
      <c r="Q155" s="7">
        <f t="shared" ca="1" si="34"/>
        <v>94.579650000000001</v>
      </c>
      <c r="R155" s="8">
        <f ca="1">VLOOKUP(M155,'Payment Method'!$A$8:$B$12,2,0)</f>
        <v>3.5000000000000003E-2</v>
      </c>
      <c r="S155" s="9">
        <f t="shared" ca="1" si="24"/>
        <v>3.4650000000000034</v>
      </c>
      <c r="T155" s="8">
        <v>0.01</v>
      </c>
      <c r="U155" s="9">
        <f t="shared" ca="1" si="25"/>
        <v>0.9553499999999957</v>
      </c>
      <c r="V155" s="7">
        <f t="shared" ca="1" si="26"/>
        <v>0</v>
      </c>
      <c r="W155" s="7">
        <f t="shared" ca="1" si="27"/>
        <v>0</v>
      </c>
      <c r="X155" s="5" t="str">
        <f t="shared" ca="1" si="35"/>
        <v>Tiktok</v>
      </c>
      <c r="Y155" s="78">
        <f>IF(COUNTIF($C$1:C154,B154)=1,10,"")</f>
        <v>10</v>
      </c>
    </row>
    <row r="156" spans="1:25" x14ac:dyDescent="0.3">
      <c r="A156" s="75">
        <v>155</v>
      </c>
      <c r="B156" s="6">
        <v>46110</v>
      </c>
      <c r="C156" s="6">
        <v>46114</v>
      </c>
      <c r="D156" s="17" t="str">
        <f t="shared" si="28"/>
        <v>April</v>
      </c>
      <c r="E156" s="5" t="str">
        <f t="shared" ca="1" si="29"/>
        <v>STU-444</v>
      </c>
      <c r="F156" s="5" t="str">
        <f ca="1">IF(COUNTIF($E$2:E156,E156)=1,"New Customer","Returning Customer")</f>
        <v>New Customer</v>
      </c>
      <c r="G156" s="5" t="str">
        <f t="shared" ca="1" si="30"/>
        <v>Male</v>
      </c>
      <c r="H156" s="5" t="s">
        <v>140</v>
      </c>
      <c r="I156" s="5" t="str" cm="1">
        <f t="array" aca="1" ref="I156" ca="1">INDEX(Courses!$B$9:$B$16,RANDBETWEEN(1,8))</f>
        <v>PowerPoint</v>
      </c>
      <c r="J156" s="5" t="str">
        <f ca="1">VLOOKUP(I156,Courses!$B$9:$C$16,2,0)</f>
        <v>Microsoft Office</v>
      </c>
      <c r="K156" s="7">
        <f ca="1">VLOOKUP(I156,Courses!$B$9:$D$16,3,0)</f>
        <v>29</v>
      </c>
      <c r="L156" s="5" t="str">
        <f t="shared" ca="1" si="31"/>
        <v>Paid</v>
      </c>
      <c r="M156" s="8" t="str" cm="1">
        <f t="array" aca="1" ref="M156" ca="1">INDEX('Payment Method'!$A$8:$A$12,RANDBETWEEN(1,5))</f>
        <v>Mastercard Credit</v>
      </c>
      <c r="N156" s="7">
        <f>IFERROR(SUMIF(Holiday!$A$8:$A$11,B156,Holiday!$C$8:$C$11),0)</f>
        <v>0</v>
      </c>
      <c r="O156" s="7">
        <f t="shared" ca="1" si="32"/>
        <v>29</v>
      </c>
      <c r="P156" s="19">
        <f t="shared" ca="1" si="33"/>
        <v>27.984999999999999</v>
      </c>
      <c r="Q156" s="7">
        <f t="shared" ca="1" si="34"/>
        <v>0</v>
      </c>
      <c r="R156" s="8">
        <f ca="1">VLOOKUP(M156,'Payment Method'!$A$8:$B$12,2,0)</f>
        <v>3.5000000000000003E-2</v>
      </c>
      <c r="S156" s="9">
        <f t="shared" ca="1" si="24"/>
        <v>1.0150000000000006</v>
      </c>
      <c r="T156" s="8">
        <v>0.01</v>
      </c>
      <c r="U156" s="9">
        <f t="shared" ca="1" si="25"/>
        <v>0.27984999999999971</v>
      </c>
      <c r="V156" s="7">
        <f t="shared" ca="1" si="26"/>
        <v>0</v>
      </c>
      <c r="W156" s="7">
        <f t="shared" ca="1" si="27"/>
        <v>27.70515</v>
      </c>
      <c r="X156" s="5" t="str">
        <f t="shared" ca="1" si="35"/>
        <v>Tiktok</v>
      </c>
      <c r="Y156" s="78" t="str">
        <f>IF(COUNTIF($C$1:C155,B155)=1,10,"")</f>
        <v/>
      </c>
    </row>
    <row r="157" spans="1:25" x14ac:dyDescent="0.3">
      <c r="A157" s="76">
        <v>156</v>
      </c>
      <c r="B157" s="6">
        <v>46233</v>
      </c>
      <c r="C157" s="6">
        <v>46114</v>
      </c>
      <c r="D157" s="17" t="str">
        <f t="shared" si="28"/>
        <v>April</v>
      </c>
      <c r="E157" s="5" t="str">
        <f t="shared" ca="1" si="29"/>
        <v>STU-190</v>
      </c>
      <c r="F157" s="5" t="str">
        <f ca="1">IF(COUNTIF($E$2:E157,E157)=1,"New Customer","Returning Customer")</f>
        <v>Returning Customer</v>
      </c>
      <c r="G157" s="5" t="str">
        <f t="shared" ca="1" si="30"/>
        <v>Female</v>
      </c>
      <c r="H157" s="5" t="s">
        <v>137</v>
      </c>
      <c r="I157" s="5" t="str" cm="1">
        <f t="array" aca="1" ref="I157" ca="1">INDEX(Courses!$B$9:$B$16,RANDBETWEEN(1,8))</f>
        <v>Tax Code</v>
      </c>
      <c r="J157" s="5" t="str">
        <f ca="1">VLOOKUP(I157,Courses!$B$9:$C$16,2,0)</f>
        <v>Finance &amp; Taxation</v>
      </c>
      <c r="K157" s="7">
        <f ca="1">VLOOKUP(I157,Courses!$B$9:$D$16,3,0)</f>
        <v>59</v>
      </c>
      <c r="L157" s="5" t="str">
        <f t="shared" ca="1" si="31"/>
        <v>Paid</v>
      </c>
      <c r="M157" s="8" t="str" cm="1">
        <f t="array" aca="1" ref="M157" ca="1">INDEX('Payment Method'!$A$8:$A$12,RANDBETWEEN(1,5))</f>
        <v>Mastercard Debit</v>
      </c>
      <c r="N157" s="7">
        <f>IFERROR(SUMIF(Holiday!$A$8:$A$11,B157,Holiday!$C$8:$C$11),0)</f>
        <v>0</v>
      </c>
      <c r="O157" s="7">
        <f t="shared" ca="1" si="32"/>
        <v>59</v>
      </c>
      <c r="P157" s="19">
        <f t="shared" ca="1" si="33"/>
        <v>57.82</v>
      </c>
      <c r="Q157" s="7">
        <f t="shared" ca="1" si="34"/>
        <v>0</v>
      </c>
      <c r="R157" s="8">
        <f ca="1">VLOOKUP(M157,'Payment Method'!$A$8:$B$12,2,0)</f>
        <v>0.02</v>
      </c>
      <c r="S157" s="9">
        <f t="shared" ca="1" si="24"/>
        <v>1.1799999999999997</v>
      </c>
      <c r="T157" s="8">
        <v>0.01</v>
      </c>
      <c r="U157" s="9">
        <f t="shared" ca="1" si="25"/>
        <v>0.57820000000000249</v>
      </c>
      <c r="V157" s="7">
        <f t="shared" ca="1" si="26"/>
        <v>0</v>
      </c>
      <c r="W157" s="7">
        <f t="shared" ca="1" si="27"/>
        <v>57.241799999999998</v>
      </c>
      <c r="X157" s="5" t="str">
        <f t="shared" ca="1" si="35"/>
        <v>Tiktok</v>
      </c>
      <c r="Y157" s="78" t="str">
        <f>IF(COUNTIF($C$1:C156,B156)=1,10,"")</f>
        <v/>
      </c>
    </row>
    <row r="158" spans="1:25" x14ac:dyDescent="0.3">
      <c r="A158" s="75">
        <v>157</v>
      </c>
      <c r="B158" s="6">
        <v>46210</v>
      </c>
      <c r="C158" s="6">
        <v>46211</v>
      </c>
      <c r="D158" s="17" t="str">
        <f t="shared" si="28"/>
        <v>July</v>
      </c>
      <c r="E158" s="5" t="str">
        <f t="shared" ca="1" si="29"/>
        <v>STU-488</v>
      </c>
      <c r="F158" s="5" t="str">
        <f ca="1">IF(COUNTIF($E$2:E158,E158)=1,"New Customer","Returning Customer")</f>
        <v>Returning Customer</v>
      </c>
      <c r="G158" s="5" t="str">
        <f t="shared" ca="1" si="30"/>
        <v>Not specified</v>
      </c>
      <c r="H158" s="5" t="s">
        <v>139</v>
      </c>
      <c r="I158" s="5" t="str" cm="1">
        <f t="array" aca="1" ref="I158" ca="1">INDEX(Courses!$B$9:$B$16,RANDBETWEEN(1,8))</f>
        <v>Microsoft Word</v>
      </c>
      <c r="J158" s="5" t="str">
        <f ca="1">VLOOKUP(I158,Courses!$B$9:$C$16,2,0)</f>
        <v>Microsoft Office</v>
      </c>
      <c r="K158" s="7">
        <f ca="1">VLOOKUP(I158,Courses!$B$9:$D$16,3,0)</f>
        <v>29</v>
      </c>
      <c r="L158" s="5" t="str">
        <f t="shared" ca="1" si="31"/>
        <v>Paid</v>
      </c>
      <c r="M158" s="8" t="str" cm="1">
        <f t="array" aca="1" ref="M158" ca="1">INDEX('Payment Method'!$A$8:$A$12,RANDBETWEEN(1,5))</f>
        <v>Bank Transfer</v>
      </c>
      <c r="N158" s="7">
        <f>IFERROR(SUMIF(Holiday!$A$8:$A$11,B158,Holiday!$C$8:$C$11),0)</f>
        <v>0</v>
      </c>
      <c r="O158" s="7">
        <f t="shared" ca="1" si="32"/>
        <v>29</v>
      </c>
      <c r="P158" s="19">
        <f t="shared" ca="1" si="33"/>
        <v>29</v>
      </c>
      <c r="Q158" s="7">
        <f t="shared" ca="1" si="34"/>
        <v>0</v>
      </c>
      <c r="R158" s="8">
        <f ca="1">VLOOKUP(M158,'Payment Method'!$A$8:$B$12,2,0)</f>
        <v>0</v>
      </c>
      <c r="S158" s="9">
        <f t="shared" ca="1" si="24"/>
        <v>0</v>
      </c>
      <c r="T158" s="8">
        <v>0.01</v>
      </c>
      <c r="U158" s="9">
        <f t="shared" ca="1" si="25"/>
        <v>0.28999999999999915</v>
      </c>
      <c r="V158" s="7">
        <f t="shared" ca="1" si="26"/>
        <v>0</v>
      </c>
      <c r="W158" s="7">
        <f t="shared" ca="1" si="27"/>
        <v>28.71</v>
      </c>
      <c r="X158" s="5" t="str">
        <f t="shared" ca="1" si="35"/>
        <v>Instagram</v>
      </c>
      <c r="Y158" s="78">
        <f>IF(COUNTIF($C$1:C157,B157)=1,10,"")</f>
        <v>10</v>
      </c>
    </row>
    <row r="159" spans="1:25" x14ac:dyDescent="0.3">
      <c r="A159" s="76">
        <v>158</v>
      </c>
      <c r="B159" s="6">
        <v>46039</v>
      </c>
      <c r="C159" s="6">
        <v>46044</v>
      </c>
      <c r="D159" s="17" t="str">
        <f t="shared" si="28"/>
        <v>January</v>
      </c>
      <c r="E159" s="5" t="str">
        <f t="shared" ca="1" si="29"/>
        <v>STU-22</v>
      </c>
      <c r="F159" s="5" t="str">
        <f ca="1">IF(COUNTIF($E$2:E159,E159)=1,"New Customer","Returning Customer")</f>
        <v>New Customer</v>
      </c>
      <c r="G159" s="5" t="str">
        <f t="shared" ca="1" si="30"/>
        <v>Male</v>
      </c>
      <c r="H159" s="5" t="s">
        <v>139</v>
      </c>
      <c r="I159" s="5" t="str" cm="1">
        <f t="array" aca="1" ref="I159" ca="1">INDEX(Courses!$B$9:$B$16,RANDBETWEEN(1,8))</f>
        <v>Tax Code</v>
      </c>
      <c r="J159" s="5" t="str">
        <f ca="1">VLOOKUP(I159,Courses!$B$9:$C$16,2,0)</f>
        <v>Finance &amp; Taxation</v>
      </c>
      <c r="K159" s="7">
        <f ca="1">VLOOKUP(I159,Courses!$B$9:$D$16,3,0)</f>
        <v>59</v>
      </c>
      <c r="L159" s="5" t="str">
        <f t="shared" ca="1" si="31"/>
        <v>Paid</v>
      </c>
      <c r="M159" s="8" t="str" cm="1">
        <f t="array" aca="1" ref="M159" ca="1">INDEX('Payment Method'!$A$8:$A$12,RANDBETWEEN(1,5))</f>
        <v>Visa Debit</v>
      </c>
      <c r="N159" s="7">
        <f>IFERROR(SUMIF(Holiday!$A$8:$A$11,B159,Holiday!$C$8:$C$11),0)</f>
        <v>0</v>
      </c>
      <c r="O159" s="7">
        <f t="shared" ca="1" si="32"/>
        <v>59</v>
      </c>
      <c r="P159" s="19">
        <f t="shared" ca="1" si="33"/>
        <v>57.82</v>
      </c>
      <c r="Q159" s="7">
        <f t="shared" ca="1" si="34"/>
        <v>0</v>
      </c>
      <c r="R159" s="8">
        <f ca="1">VLOOKUP(M159,'Payment Method'!$A$8:$B$12,2,0)</f>
        <v>0.02</v>
      </c>
      <c r="S159" s="9">
        <f t="shared" ca="1" si="24"/>
        <v>1.1799999999999997</v>
      </c>
      <c r="T159" s="8">
        <v>0.01</v>
      </c>
      <c r="U159" s="9">
        <f t="shared" ca="1" si="25"/>
        <v>0.57820000000000249</v>
      </c>
      <c r="V159" s="7">
        <f t="shared" ca="1" si="26"/>
        <v>0</v>
      </c>
      <c r="W159" s="7">
        <f t="shared" ca="1" si="27"/>
        <v>57.241799999999998</v>
      </c>
      <c r="X159" s="5" t="str">
        <f t="shared" ca="1" si="35"/>
        <v>Tiktok</v>
      </c>
      <c r="Y159" s="78">
        <f>IF(COUNTIF($C$1:C158,B158)=1,10,"")</f>
        <v>10</v>
      </c>
    </row>
    <row r="160" spans="1:25" x14ac:dyDescent="0.3">
      <c r="A160" s="75">
        <v>159</v>
      </c>
      <c r="B160" s="6">
        <v>46191</v>
      </c>
      <c r="C160" s="6">
        <v>46192</v>
      </c>
      <c r="D160" s="17" t="str">
        <f t="shared" si="28"/>
        <v>June</v>
      </c>
      <c r="E160" s="5" t="str">
        <f t="shared" ca="1" si="29"/>
        <v>STU-174</v>
      </c>
      <c r="F160" s="5" t="str">
        <f ca="1">IF(COUNTIF($E$2:E160,E160)=1,"New Customer","Returning Customer")</f>
        <v>New Customer</v>
      </c>
      <c r="G160" s="5" t="str">
        <f t="shared" ca="1" si="30"/>
        <v>Not specified</v>
      </c>
      <c r="H160" s="5" t="s">
        <v>141</v>
      </c>
      <c r="I160" s="5" t="str" cm="1">
        <f t="array" aca="1" ref="I160" ca="1">INDEX(Courses!$B$9:$B$16,RANDBETWEEN(1,8))</f>
        <v>Tax Code</v>
      </c>
      <c r="J160" s="5" t="str">
        <f ca="1">VLOOKUP(I160,Courses!$B$9:$C$16,2,0)</f>
        <v>Finance &amp; Taxation</v>
      </c>
      <c r="K160" s="7">
        <f ca="1">VLOOKUP(I160,Courses!$B$9:$D$16,3,0)</f>
        <v>59</v>
      </c>
      <c r="L160" s="5" t="str">
        <f t="shared" ca="1" si="31"/>
        <v>Refunded</v>
      </c>
      <c r="M160" s="8" t="str" cm="1">
        <f t="array" aca="1" ref="M160" ca="1">INDEX('Payment Method'!$A$8:$A$12,RANDBETWEEN(1,5))</f>
        <v>Visa Credit</v>
      </c>
      <c r="N160" s="7">
        <f>IFERROR(SUMIF(Holiday!$A$8:$A$11,B160,Holiday!$C$8:$C$11),0)</f>
        <v>0</v>
      </c>
      <c r="O160" s="7">
        <f t="shared" ca="1" si="32"/>
        <v>59</v>
      </c>
      <c r="P160" s="19">
        <f t="shared" ca="1" si="33"/>
        <v>56.935000000000002</v>
      </c>
      <c r="Q160" s="7">
        <f t="shared" ca="1" si="34"/>
        <v>0</v>
      </c>
      <c r="R160" s="8">
        <f ca="1">VLOOKUP(M160,'Payment Method'!$A$8:$B$12,2,0)</f>
        <v>3.5000000000000003E-2</v>
      </c>
      <c r="S160" s="9">
        <f t="shared" ca="1" si="24"/>
        <v>2.0649999999999977</v>
      </c>
      <c r="T160" s="8">
        <v>0.01</v>
      </c>
      <c r="U160" s="9">
        <f t="shared" ca="1" si="25"/>
        <v>0.56935000000000002</v>
      </c>
      <c r="V160" s="7">
        <f t="shared" ca="1" si="26"/>
        <v>56.365650000000002</v>
      </c>
      <c r="W160" s="7">
        <f t="shared" ca="1" si="27"/>
        <v>0</v>
      </c>
      <c r="X160" s="5" t="str">
        <f t="shared" ca="1" si="35"/>
        <v>Tiktok</v>
      </c>
      <c r="Y160" s="78" t="str">
        <f>IF(COUNTIF($C$1:C159,B159)=1,10,"")</f>
        <v/>
      </c>
    </row>
    <row r="161" spans="1:25" x14ac:dyDescent="0.3">
      <c r="A161" s="76">
        <v>160</v>
      </c>
      <c r="B161" s="6">
        <v>46137</v>
      </c>
      <c r="C161" s="6">
        <v>46140</v>
      </c>
      <c r="D161" s="17" t="str">
        <f t="shared" si="28"/>
        <v>April</v>
      </c>
      <c r="E161" s="5" t="str">
        <f t="shared" ca="1" si="29"/>
        <v>STU-279</v>
      </c>
      <c r="F161" s="5" t="str">
        <f ca="1">IF(COUNTIF($E$2:E161,E161)=1,"New Customer","Returning Customer")</f>
        <v>New Customer</v>
      </c>
      <c r="G161" s="5" t="str">
        <f t="shared" ca="1" si="30"/>
        <v>Not specified</v>
      </c>
      <c r="H161" s="5" t="s">
        <v>140</v>
      </c>
      <c r="I161" s="5" t="str" cm="1">
        <f t="array" aca="1" ref="I161" ca="1">INDEX(Courses!$B$9:$B$16,RANDBETWEEN(1,8))</f>
        <v>Excel Basics</v>
      </c>
      <c r="J161" s="5" t="str">
        <f ca="1">VLOOKUP(I161,Courses!$B$9:$C$16,2,0)</f>
        <v>Microsoft Office</v>
      </c>
      <c r="K161" s="7">
        <f ca="1">VLOOKUP(I161,Courses!$B$9:$D$16,3,0)</f>
        <v>29</v>
      </c>
      <c r="L161" s="5" t="str">
        <f t="shared" ca="1" si="31"/>
        <v>Paid</v>
      </c>
      <c r="M161" s="8" t="str" cm="1">
        <f t="array" aca="1" ref="M161" ca="1">INDEX('Payment Method'!$A$8:$A$12,RANDBETWEEN(1,5))</f>
        <v>Bank Transfer</v>
      </c>
      <c r="N161" s="7">
        <f>IFERROR(SUMIF(Holiday!$A$8:$A$11,B161,Holiday!$C$8:$C$11),0)</f>
        <v>0</v>
      </c>
      <c r="O161" s="7">
        <f t="shared" ca="1" si="32"/>
        <v>29</v>
      </c>
      <c r="P161" s="19">
        <f t="shared" ca="1" si="33"/>
        <v>29</v>
      </c>
      <c r="Q161" s="7">
        <f t="shared" ca="1" si="34"/>
        <v>0</v>
      </c>
      <c r="R161" s="8">
        <f ca="1">VLOOKUP(M161,'Payment Method'!$A$8:$B$12,2,0)</f>
        <v>0</v>
      </c>
      <c r="S161" s="9">
        <f t="shared" ca="1" si="24"/>
        <v>0</v>
      </c>
      <c r="T161" s="8">
        <v>0.01</v>
      </c>
      <c r="U161" s="9">
        <f t="shared" ca="1" si="25"/>
        <v>0.28999999999999915</v>
      </c>
      <c r="V161" s="7">
        <f t="shared" ca="1" si="26"/>
        <v>0</v>
      </c>
      <c r="W161" s="7">
        <f t="shared" ca="1" si="27"/>
        <v>28.71</v>
      </c>
      <c r="X161" s="5" t="str">
        <f t="shared" ca="1" si="35"/>
        <v>Facebook</v>
      </c>
      <c r="Y161" s="78" t="str">
        <f>IF(COUNTIF($C$1:C160,B160)=1,10,"")</f>
        <v/>
      </c>
    </row>
    <row r="162" spans="1:25" x14ac:dyDescent="0.3">
      <c r="A162" s="75">
        <v>161</v>
      </c>
      <c r="B162" s="6">
        <v>46133</v>
      </c>
      <c r="C162" s="6">
        <v>46133</v>
      </c>
      <c r="D162" s="17" t="str">
        <f t="shared" si="28"/>
        <v>April</v>
      </c>
      <c r="E162" s="5" t="str">
        <f t="shared" ca="1" si="29"/>
        <v>STU-979</v>
      </c>
      <c r="F162" s="5" t="str">
        <f ca="1">IF(COUNTIF($E$2:E162,E162)=1,"New Customer","Returning Customer")</f>
        <v>New Customer</v>
      </c>
      <c r="G162" s="5" t="str">
        <f t="shared" ca="1" si="30"/>
        <v>Not specified</v>
      </c>
      <c r="H162" s="5" t="s">
        <v>138</v>
      </c>
      <c r="I162" s="5" t="str" cm="1">
        <f t="array" aca="1" ref="I162" ca="1">INDEX(Courses!$B$9:$B$16,RANDBETWEEN(1,8))</f>
        <v>PowerPoint</v>
      </c>
      <c r="J162" s="5" t="str">
        <f ca="1">VLOOKUP(I162,Courses!$B$9:$C$16,2,0)</f>
        <v>Microsoft Office</v>
      </c>
      <c r="K162" s="7">
        <f ca="1">VLOOKUP(I162,Courses!$B$9:$D$16,3,0)</f>
        <v>29</v>
      </c>
      <c r="L162" s="5" t="str">
        <f t="shared" ca="1" si="31"/>
        <v>Pending</v>
      </c>
      <c r="M162" s="8" t="str" cm="1">
        <f t="array" aca="1" ref="M162" ca="1">INDEX('Payment Method'!$A$8:$A$12,RANDBETWEEN(1,5))</f>
        <v>Visa Debit</v>
      </c>
      <c r="N162" s="7">
        <f>IFERROR(SUMIF(Holiday!$A$8:$A$11,B162,Holiday!$C$8:$C$11),0)</f>
        <v>0</v>
      </c>
      <c r="O162" s="7">
        <f t="shared" ca="1" si="32"/>
        <v>29</v>
      </c>
      <c r="P162" s="19">
        <f t="shared" ca="1" si="33"/>
        <v>28.42</v>
      </c>
      <c r="Q162" s="7">
        <f t="shared" ca="1" si="34"/>
        <v>28.135800000000003</v>
      </c>
      <c r="R162" s="8">
        <f ca="1">VLOOKUP(M162,'Payment Method'!$A$8:$B$12,2,0)</f>
        <v>0.02</v>
      </c>
      <c r="S162" s="9">
        <f t="shared" ca="1" si="24"/>
        <v>0.57999999999999829</v>
      </c>
      <c r="T162" s="8">
        <v>0.01</v>
      </c>
      <c r="U162" s="9">
        <f t="shared" ca="1" si="25"/>
        <v>0.28419999999999845</v>
      </c>
      <c r="V162" s="7">
        <f t="shared" ca="1" si="26"/>
        <v>0</v>
      </c>
      <c r="W162" s="7">
        <f t="shared" ca="1" si="27"/>
        <v>0</v>
      </c>
      <c r="X162" s="5" t="str">
        <f t="shared" ca="1" si="35"/>
        <v>Tiktok</v>
      </c>
      <c r="Y162" s="78" t="str">
        <f>IF(COUNTIF($C$1:C161,B161)=1,10,"")</f>
        <v/>
      </c>
    </row>
    <row r="163" spans="1:25" x14ac:dyDescent="0.3">
      <c r="A163" s="76">
        <v>162</v>
      </c>
      <c r="B163" s="6">
        <v>46023</v>
      </c>
      <c r="C163" s="6">
        <v>46024</v>
      </c>
      <c r="D163" s="17" t="str">
        <f t="shared" si="28"/>
        <v>January</v>
      </c>
      <c r="E163" s="5" t="str">
        <f t="shared" ca="1" si="29"/>
        <v>STU-382</v>
      </c>
      <c r="F163" s="5" t="str">
        <f ca="1">IF(COUNTIF($E$2:E163,E163)=1,"New Customer","Returning Customer")</f>
        <v>Returning Customer</v>
      </c>
      <c r="G163" s="5" t="str">
        <f t="shared" ca="1" si="30"/>
        <v>Not specified</v>
      </c>
      <c r="H163" s="5" t="s">
        <v>136</v>
      </c>
      <c r="I163" s="5" t="str" cm="1">
        <f t="array" aca="1" ref="I163" ca="1">INDEX(Courses!$B$9:$B$16,RANDBETWEEN(1,8))</f>
        <v>PowerPoint</v>
      </c>
      <c r="J163" s="5" t="str">
        <f ca="1">VLOOKUP(I163,Courses!$B$9:$C$16,2,0)</f>
        <v>Microsoft Office</v>
      </c>
      <c r="K163" s="7">
        <f ca="1">VLOOKUP(I163,Courses!$B$9:$D$16,3,0)</f>
        <v>29</v>
      </c>
      <c r="L163" s="5" t="str">
        <f t="shared" ca="1" si="31"/>
        <v>Paid</v>
      </c>
      <c r="M163" s="8" t="str" cm="1">
        <f t="array" aca="1" ref="M163" ca="1">INDEX('Payment Method'!$A$8:$A$12,RANDBETWEEN(1,5))</f>
        <v>Bank Transfer</v>
      </c>
      <c r="N163" s="7">
        <f>IFERROR(SUMIF(Holiday!$A$8:$A$11,B163,Holiday!$C$8:$C$11),0)</f>
        <v>20</v>
      </c>
      <c r="O163" s="7">
        <f t="shared" ca="1" si="32"/>
        <v>-551</v>
      </c>
      <c r="P163" s="19">
        <f t="shared" ca="1" si="33"/>
        <v>-551</v>
      </c>
      <c r="Q163" s="7">
        <f t="shared" ca="1" si="34"/>
        <v>0</v>
      </c>
      <c r="R163" s="8">
        <f ca="1">VLOOKUP(M163,'Payment Method'!$A$8:$B$12,2,0)</f>
        <v>0</v>
      </c>
      <c r="S163" s="9">
        <f t="shared" ca="1" si="24"/>
        <v>0</v>
      </c>
      <c r="T163" s="8">
        <v>0.01</v>
      </c>
      <c r="U163" s="9">
        <f t="shared" ca="1" si="25"/>
        <v>-5.5099999999999909</v>
      </c>
      <c r="V163" s="7">
        <f t="shared" ca="1" si="26"/>
        <v>0</v>
      </c>
      <c r="W163" s="7">
        <f t="shared" ca="1" si="27"/>
        <v>-545.49</v>
      </c>
      <c r="X163" s="5" t="str">
        <f t="shared" ca="1" si="35"/>
        <v>Instagram</v>
      </c>
      <c r="Y163" s="78" t="str">
        <f>IF(COUNTIF($C$1:C162,B162)=1,10,"")</f>
        <v/>
      </c>
    </row>
    <row r="164" spans="1:25" x14ac:dyDescent="0.3">
      <c r="A164" s="75">
        <v>163</v>
      </c>
      <c r="B164" s="6">
        <v>46093</v>
      </c>
      <c r="C164" s="6">
        <v>46096</v>
      </c>
      <c r="D164" s="17" t="str">
        <f t="shared" si="28"/>
        <v>March</v>
      </c>
      <c r="E164" s="5" t="str">
        <f t="shared" ca="1" si="29"/>
        <v>STU-696</v>
      </c>
      <c r="F164" s="5" t="str">
        <f ca="1">IF(COUNTIF($E$2:E164,E164)=1,"New Customer","Returning Customer")</f>
        <v>New Customer</v>
      </c>
      <c r="G164" s="5" t="str">
        <f t="shared" ca="1" si="30"/>
        <v>Female</v>
      </c>
      <c r="H164" s="5" t="s">
        <v>135</v>
      </c>
      <c r="I164" s="5" t="str" cm="1">
        <f t="array" aca="1" ref="I164" ca="1">INDEX(Courses!$B$9:$B$16,RANDBETWEEN(1,8))</f>
        <v>Tax Code</v>
      </c>
      <c r="J164" s="5" t="str">
        <f ca="1">VLOOKUP(I164,Courses!$B$9:$C$16,2,0)</f>
        <v>Finance &amp; Taxation</v>
      </c>
      <c r="K164" s="7">
        <f ca="1">VLOOKUP(I164,Courses!$B$9:$D$16,3,0)</f>
        <v>59</v>
      </c>
      <c r="L164" s="5" t="str">
        <f t="shared" ca="1" si="31"/>
        <v>Refunded</v>
      </c>
      <c r="M164" s="8" t="str" cm="1">
        <f t="array" aca="1" ref="M164" ca="1">INDEX('Payment Method'!$A$8:$A$12,RANDBETWEEN(1,5))</f>
        <v>Mastercard Debit</v>
      </c>
      <c r="N164" s="7">
        <f>IFERROR(SUMIF(Holiday!$A$8:$A$11,B164,Holiday!$C$8:$C$11),0)</f>
        <v>0</v>
      </c>
      <c r="O164" s="7">
        <f t="shared" ca="1" si="32"/>
        <v>59</v>
      </c>
      <c r="P164" s="19">
        <f t="shared" ca="1" si="33"/>
        <v>57.82</v>
      </c>
      <c r="Q164" s="7">
        <f t="shared" ca="1" si="34"/>
        <v>0</v>
      </c>
      <c r="R164" s="8">
        <f ca="1">VLOOKUP(M164,'Payment Method'!$A$8:$B$12,2,0)</f>
        <v>0.02</v>
      </c>
      <c r="S164" s="9">
        <f t="shared" ca="1" si="24"/>
        <v>1.1799999999999997</v>
      </c>
      <c r="T164" s="8">
        <v>0.01</v>
      </c>
      <c r="U164" s="9">
        <f t="shared" ca="1" si="25"/>
        <v>0.57820000000000249</v>
      </c>
      <c r="V164" s="7">
        <f t="shared" ca="1" si="26"/>
        <v>57.241799999999998</v>
      </c>
      <c r="W164" s="7">
        <f t="shared" ca="1" si="27"/>
        <v>0</v>
      </c>
      <c r="X164" s="5" t="str">
        <f t="shared" ca="1" si="35"/>
        <v>Facebook</v>
      </c>
      <c r="Y164" s="78" t="str">
        <f>IF(COUNTIF($C$1:C163,B163)=1,10,"")</f>
        <v/>
      </c>
    </row>
    <row r="165" spans="1:25" x14ac:dyDescent="0.3">
      <c r="A165" s="76">
        <v>164</v>
      </c>
      <c r="B165" s="6">
        <v>46137</v>
      </c>
      <c r="C165" s="6">
        <v>46141</v>
      </c>
      <c r="D165" s="17" t="str">
        <f t="shared" si="28"/>
        <v>April</v>
      </c>
      <c r="E165" s="5" t="str">
        <f t="shared" ca="1" si="29"/>
        <v>STU-689</v>
      </c>
      <c r="F165" s="5" t="str">
        <f ca="1">IF(COUNTIF($E$2:E165,E165)=1,"New Customer","Returning Customer")</f>
        <v>New Customer</v>
      </c>
      <c r="G165" s="5" t="str">
        <f t="shared" ca="1" si="30"/>
        <v>Not specified</v>
      </c>
      <c r="H165" s="5" t="s">
        <v>138</v>
      </c>
      <c r="I165" s="5" t="str" cm="1">
        <f t="array" aca="1" ref="I165" ca="1">INDEX(Courses!$B$9:$B$16,RANDBETWEEN(1,8))</f>
        <v>Excel Basics</v>
      </c>
      <c r="J165" s="5" t="str">
        <f ca="1">VLOOKUP(I165,Courses!$B$9:$C$16,2,0)</f>
        <v>Microsoft Office</v>
      </c>
      <c r="K165" s="7">
        <f ca="1">VLOOKUP(I165,Courses!$B$9:$D$16,3,0)</f>
        <v>29</v>
      </c>
      <c r="L165" s="5" t="str">
        <f t="shared" ca="1" si="31"/>
        <v>Paid</v>
      </c>
      <c r="M165" s="8" t="str" cm="1">
        <f t="array" aca="1" ref="M165" ca="1">INDEX('Payment Method'!$A$8:$A$12,RANDBETWEEN(1,5))</f>
        <v>Bank Transfer</v>
      </c>
      <c r="N165" s="7">
        <f>IFERROR(SUMIF(Holiday!$A$8:$A$11,B165,Holiday!$C$8:$C$11),0)</f>
        <v>0</v>
      </c>
      <c r="O165" s="7">
        <f t="shared" ca="1" si="32"/>
        <v>29</v>
      </c>
      <c r="P165" s="19">
        <f t="shared" ca="1" si="33"/>
        <v>29</v>
      </c>
      <c r="Q165" s="7">
        <f t="shared" ca="1" si="34"/>
        <v>0</v>
      </c>
      <c r="R165" s="8">
        <f ca="1">VLOOKUP(M165,'Payment Method'!$A$8:$B$12,2,0)</f>
        <v>0</v>
      </c>
      <c r="S165" s="9">
        <f t="shared" ca="1" si="24"/>
        <v>0</v>
      </c>
      <c r="T165" s="8">
        <v>0.01</v>
      </c>
      <c r="U165" s="9">
        <f t="shared" ca="1" si="25"/>
        <v>0.28999999999999915</v>
      </c>
      <c r="V165" s="7">
        <f t="shared" ca="1" si="26"/>
        <v>0</v>
      </c>
      <c r="W165" s="7">
        <f t="shared" ca="1" si="27"/>
        <v>28.71</v>
      </c>
      <c r="X165" s="5" t="str">
        <f t="shared" ca="1" si="35"/>
        <v>Instagram</v>
      </c>
      <c r="Y165" s="78" t="str">
        <f>IF(COUNTIF($C$1:C164,B164)=1,10,"")</f>
        <v/>
      </c>
    </row>
    <row r="166" spans="1:25" x14ac:dyDescent="0.3">
      <c r="A166" s="75">
        <v>165</v>
      </c>
      <c r="B166" s="6">
        <v>46047</v>
      </c>
      <c r="C166" s="6">
        <v>46052</v>
      </c>
      <c r="D166" s="17" t="str">
        <f t="shared" si="28"/>
        <v>January</v>
      </c>
      <c r="E166" s="5" t="str">
        <f t="shared" ca="1" si="29"/>
        <v>STU-29</v>
      </c>
      <c r="F166" s="5" t="str">
        <f ca="1">IF(COUNTIF($E$2:E166,E166)=1,"New Customer","Returning Customer")</f>
        <v>Returning Customer</v>
      </c>
      <c r="G166" s="5" t="str">
        <f t="shared" ca="1" si="30"/>
        <v>Female</v>
      </c>
      <c r="H166" s="5" t="s">
        <v>136</v>
      </c>
      <c r="I166" s="5" t="str" cm="1">
        <f t="array" aca="1" ref="I166" ca="1">INDEX(Courses!$B$9:$B$16,RANDBETWEEN(1,8))</f>
        <v>Tax Code</v>
      </c>
      <c r="J166" s="5" t="str">
        <f ca="1">VLOOKUP(I166,Courses!$B$9:$C$16,2,0)</f>
        <v>Finance &amp; Taxation</v>
      </c>
      <c r="K166" s="7">
        <f ca="1">VLOOKUP(I166,Courses!$B$9:$D$16,3,0)</f>
        <v>59</v>
      </c>
      <c r="L166" s="5" t="str">
        <f t="shared" ca="1" si="31"/>
        <v>Pending</v>
      </c>
      <c r="M166" s="8" t="str" cm="1">
        <f t="array" aca="1" ref="M166" ca="1">INDEX('Payment Method'!$A$8:$A$12,RANDBETWEEN(1,5))</f>
        <v>Mastercard Debit</v>
      </c>
      <c r="N166" s="7">
        <f>IFERROR(SUMIF(Holiday!$A$8:$A$11,B166,Holiday!$C$8:$C$11),0)</f>
        <v>0</v>
      </c>
      <c r="O166" s="7">
        <f t="shared" ca="1" si="32"/>
        <v>59</v>
      </c>
      <c r="P166" s="19">
        <f t="shared" ca="1" si="33"/>
        <v>57.82</v>
      </c>
      <c r="Q166" s="7">
        <f t="shared" ca="1" si="34"/>
        <v>57.241799999999998</v>
      </c>
      <c r="R166" s="8">
        <f ca="1">VLOOKUP(M166,'Payment Method'!$A$8:$B$12,2,0)</f>
        <v>0.02</v>
      </c>
      <c r="S166" s="9">
        <f t="shared" ca="1" si="24"/>
        <v>1.1799999999999997</v>
      </c>
      <c r="T166" s="8">
        <v>0.01</v>
      </c>
      <c r="U166" s="9">
        <f t="shared" ca="1" si="25"/>
        <v>0.57820000000000249</v>
      </c>
      <c r="V166" s="7">
        <f t="shared" ca="1" si="26"/>
        <v>0</v>
      </c>
      <c r="W166" s="7">
        <f t="shared" ca="1" si="27"/>
        <v>0</v>
      </c>
      <c r="X166" s="5" t="str">
        <f t="shared" ca="1" si="35"/>
        <v>Instagram</v>
      </c>
      <c r="Y166" s="78" t="str">
        <f>IF(COUNTIF($C$1:C165,B165)=1,10,"")</f>
        <v/>
      </c>
    </row>
    <row r="167" spans="1:25" x14ac:dyDescent="0.3">
      <c r="A167" s="76">
        <v>166</v>
      </c>
      <c r="B167" s="6">
        <v>46043</v>
      </c>
      <c r="C167" s="6">
        <v>46045</v>
      </c>
      <c r="D167" s="17" t="str">
        <f t="shared" si="28"/>
        <v>January</v>
      </c>
      <c r="E167" s="5" t="str">
        <f t="shared" ca="1" si="29"/>
        <v>STU-346</v>
      </c>
      <c r="F167" s="5" t="str">
        <f ca="1">IF(COUNTIF($E$2:E167,E167)=1,"New Customer","Returning Customer")</f>
        <v>New Customer</v>
      </c>
      <c r="G167" s="5" t="str">
        <f t="shared" ca="1" si="30"/>
        <v>Male</v>
      </c>
      <c r="H167" s="5" t="s">
        <v>136</v>
      </c>
      <c r="I167" s="5" t="str" cm="1">
        <f t="array" aca="1" ref="I167" ca="1">INDEX(Courses!$B$9:$B$16,RANDBETWEEN(1,8))</f>
        <v>Excel Basics</v>
      </c>
      <c r="J167" s="5" t="str">
        <f ca="1">VLOOKUP(I167,Courses!$B$9:$C$16,2,0)</f>
        <v>Microsoft Office</v>
      </c>
      <c r="K167" s="7">
        <f ca="1">VLOOKUP(I167,Courses!$B$9:$D$16,3,0)</f>
        <v>29</v>
      </c>
      <c r="L167" s="5" t="str">
        <f t="shared" ca="1" si="31"/>
        <v>Pending</v>
      </c>
      <c r="M167" s="8" t="str" cm="1">
        <f t="array" aca="1" ref="M167" ca="1">INDEX('Payment Method'!$A$8:$A$12,RANDBETWEEN(1,5))</f>
        <v>Mastercard Debit</v>
      </c>
      <c r="N167" s="7">
        <f>IFERROR(SUMIF(Holiday!$A$8:$A$11,B167,Holiday!$C$8:$C$11),0)</f>
        <v>0</v>
      </c>
      <c r="O167" s="7">
        <f t="shared" ca="1" si="32"/>
        <v>29</v>
      </c>
      <c r="P167" s="19">
        <f t="shared" ca="1" si="33"/>
        <v>28.42</v>
      </c>
      <c r="Q167" s="7">
        <f t="shared" ca="1" si="34"/>
        <v>28.135800000000003</v>
      </c>
      <c r="R167" s="8">
        <f ca="1">VLOOKUP(M167,'Payment Method'!$A$8:$B$12,2,0)</f>
        <v>0.02</v>
      </c>
      <c r="S167" s="9">
        <f t="shared" ca="1" si="24"/>
        <v>0.57999999999999829</v>
      </c>
      <c r="T167" s="8">
        <v>0.01</v>
      </c>
      <c r="U167" s="9">
        <f t="shared" ca="1" si="25"/>
        <v>0.28419999999999845</v>
      </c>
      <c r="V167" s="7">
        <f t="shared" ca="1" si="26"/>
        <v>0</v>
      </c>
      <c r="W167" s="7">
        <f t="shared" ca="1" si="27"/>
        <v>0</v>
      </c>
      <c r="X167" s="5" t="str">
        <f t="shared" ca="1" si="35"/>
        <v>Instagram</v>
      </c>
      <c r="Y167" s="78" t="str">
        <f>IF(COUNTIF($C$1:C166,B166)=1,10,"")</f>
        <v/>
      </c>
    </row>
    <row r="168" spans="1:25" x14ac:dyDescent="0.3">
      <c r="A168" s="75">
        <v>167</v>
      </c>
      <c r="B168" s="6">
        <v>46188</v>
      </c>
      <c r="C168" s="6">
        <v>46192</v>
      </c>
      <c r="D168" s="17" t="str">
        <f t="shared" si="28"/>
        <v>June</v>
      </c>
      <c r="E168" s="5" t="str">
        <f t="shared" ca="1" si="29"/>
        <v>STU-258</v>
      </c>
      <c r="F168" s="5" t="str">
        <f ca="1">IF(COUNTIF($E$2:E168,E168)=1,"New Customer","Returning Customer")</f>
        <v>New Customer</v>
      </c>
      <c r="G168" s="5" t="str">
        <f t="shared" ca="1" si="30"/>
        <v>Not specified</v>
      </c>
      <c r="H168" s="5" t="s">
        <v>136</v>
      </c>
      <c r="I168" s="5" t="str" cm="1">
        <f t="array" aca="1" ref="I168" ca="1">INDEX(Courses!$B$9:$B$16,RANDBETWEEN(1,8))</f>
        <v>PowerPoint</v>
      </c>
      <c r="J168" s="5" t="str">
        <f ca="1">VLOOKUP(I168,Courses!$B$9:$C$16,2,0)</f>
        <v>Microsoft Office</v>
      </c>
      <c r="K168" s="7">
        <f ca="1">VLOOKUP(I168,Courses!$B$9:$D$16,3,0)</f>
        <v>29</v>
      </c>
      <c r="L168" s="5" t="str">
        <f t="shared" ca="1" si="31"/>
        <v>Refunded</v>
      </c>
      <c r="M168" s="8" t="str" cm="1">
        <f t="array" aca="1" ref="M168" ca="1">INDEX('Payment Method'!$A$8:$A$12,RANDBETWEEN(1,5))</f>
        <v>Mastercard Credit</v>
      </c>
      <c r="N168" s="7">
        <f>IFERROR(SUMIF(Holiday!$A$8:$A$11,B168,Holiday!$C$8:$C$11),0)</f>
        <v>0</v>
      </c>
      <c r="O168" s="7">
        <f t="shared" ca="1" si="32"/>
        <v>29</v>
      </c>
      <c r="P168" s="19">
        <f t="shared" ca="1" si="33"/>
        <v>27.984999999999999</v>
      </c>
      <c r="Q168" s="7">
        <f t="shared" ca="1" si="34"/>
        <v>0</v>
      </c>
      <c r="R168" s="8">
        <f ca="1">VLOOKUP(M168,'Payment Method'!$A$8:$B$12,2,0)</f>
        <v>3.5000000000000003E-2</v>
      </c>
      <c r="S168" s="9">
        <f t="shared" ca="1" si="24"/>
        <v>1.0150000000000006</v>
      </c>
      <c r="T168" s="8">
        <v>0.01</v>
      </c>
      <c r="U168" s="9">
        <f t="shared" ca="1" si="25"/>
        <v>0.27984999999999971</v>
      </c>
      <c r="V168" s="7">
        <f t="shared" ca="1" si="26"/>
        <v>27.70515</v>
      </c>
      <c r="W168" s="7">
        <f t="shared" ca="1" si="27"/>
        <v>0</v>
      </c>
      <c r="X168" s="5" t="str">
        <f t="shared" ca="1" si="35"/>
        <v>Tiktok</v>
      </c>
      <c r="Y168" s="78">
        <f>IF(COUNTIF($C$1:C167,B167)=1,10,"")</f>
        <v>10</v>
      </c>
    </row>
    <row r="169" spans="1:25" x14ac:dyDescent="0.3">
      <c r="A169" s="76">
        <v>168</v>
      </c>
      <c r="B169" s="6">
        <v>46124</v>
      </c>
      <c r="C169" s="6">
        <v>46129</v>
      </c>
      <c r="D169" s="17" t="str">
        <f t="shared" si="28"/>
        <v>April</v>
      </c>
      <c r="E169" s="5" t="str">
        <f t="shared" ca="1" si="29"/>
        <v>STU-686</v>
      </c>
      <c r="F169" s="5" t="str">
        <f ca="1">IF(COUNTIF($E$2:E169,E169)=1,"New Customer","Returning Customer")</f>
        <v>New Customer</v>
      </c>
      <c r="G169" s="5" t="str">
        <f t="shared" ca="1" si="30"/>
        <v>Female</v>
      </c>
      <c r="H169" s="5" t="s">
        <v>139</v>
      </c>
      <c r="I169" s="5" t="str" cm="1">
        <f t="array" aca="1" ref="I169" ca="1">INDEX(Courses!$B$9:$B$16,RANDBETWEEN(1,8))</f>
        <v>Adolescent Psychology</v>
      </c>
      <c r="J169" s="5" t="str">
        <f ca="1">VLOOKUP(I169,Courses!$B$9:$C$16,2,0)</f>
        <v>Psychology</v>
      </c>
      <c r="K169" s="7">
        <f ca="1">VLOOKUP(I169,Courses!$B$9:$D$16,3,0)</f>
        <v>29</v>
      </c>
      <c r="L169" s="5" t="str">
        <f t="shared" ca="1" si="31"/>
        <v>Pending</v>
      </c>
      <c r="M169" s="8" t="str" cm="1">
        <f t="array" aca="1" ref="M169" ca="1">INDEX('Payment Method'!$A$8:$A$12,RANDBETWEEN(1,5))</f>
        <v>Visa Debit</v>
      </c>
      <c r="N169" s="7">
        <f>IFERROR(SUMIF(Holiday!$A$8:$A$11,B169,Holiday!$C$8:$C$11),0)</f>
        <v>0</v>
      </c>
      <c r="O169" s="7">
        <f t="shared" ca="1" si="32"/>
        <v>29</v>
      </c>
      <c r="P169" s="19">
        <f t="shared" ca="1" si="33"/>
        <v>28.42</v>
      </c>
      <c r="Q169" s="7">
        <f t="shared" ca="1" si="34"/>
        <v>28.135800000000003</v>
      </c>
      <c r="R169" s="8">
        <f ca="1">VLOOKUP(M169,'Payment Method'!$A$8:$B$12,2,0)</f>
        <v>0.02</v>
      </c>
      <c r="S169" s="9">
        <f t="shared" ca="1" si="24"/>
        <v>0.57999999999999829</v>
      </c>
      <c r="T169" s="8">
        <v>0.01</v>
      </c>
      <c r="U169" s="9">
        <f t="shared" ca="1" si="25"/>
        <v>0.28419999999999845</v>
      </c>
      <c r="V169" s="7">
        <f t="shared" ca="1" si="26"/>
        <v>0</v>
      </c>
      <c r="W169" s="7">
        <f t="shared" ca="1" si="27"/>
        <v>0</v>
      </c>
      <c r="X169" s="5" t="str">
        <f t="shared" ca="1" si="35"/>
        <v>Instagram</v>
      </c>
      <c r="Y169" s="78">
        <f>IF(COUNTIF($C$1:C168,B168)=1,10,"")</f>
        <v>10</v>
      </c>
    </row>
    <row r="170" spans="1:25" x14ac:dyDescent="0.3">
      <c r="A170" s="75">
        <v>169</v>
      </c>
      <c r="B170" s="6">
        <v>46218</v>
      </c>
      <c r="C170" s="6">
        <v>46219</v>
      </c>
      <c r="D170" s="17" t="str">
        <f t="shared" si="28"/>
        <v>July</v>
      </c>
      <c r="E170" s="5" t="str">
        <f t="shared" ca="1" si="29"/>
        <v>STU-645</v>
      </c>
      <c r="F170" s="5" t="str">
        <f ca="1">IF(COUNTIF($E$2:E170,E170)=1,"New Customer","Returning Customer")</f>
        <v>Returning Customer</v>
      </c>
      <c r="G170" s="5" t="str">
        <f t="shared" ca="1" si="30"/>
        <v>Not specified</v>
      </c>
      <c r="H170" s="5" t="s">
        <v>136</v>
      </c>
      <c r="I170" s="5" t="str" cm="1">
        <f t="array" aca="1" ref="I170" ca="1">INDEX(Courses!$B$9:$B$16,RANDBETWEEN(1,8))</f>
        <v>Microsoft Word</v>
      </c>
      <c r="J170" s="5" t="str">
        <f ca="1">VLOOKUP(I170,Courses!$B$9:$C$16,2,0)</f>
        <v>Microsoft Office</v>
      </c>
      <c r="K170" s="7">
        <f ca="1">VLOOKUP(I170,Courses!$B$9:$D$16,3,0)</f>
        <v>29</v>
      </c>
      <c r="L170" s="5" t="str">
        <f t="shared" ca="1" si="31"/>
        <v>Pending</v>
      </c>
      <c r="M170" s="8" t="str" cm="1">
        <f t="array" aca="1" ref="M170" ca="1">INDEX('Payment Method'!$A$8:$A$12,RANDBETWEEN(1,5))</f>
        <v>Visa Credit</v>
      </c>
      <c r="N170" s="7">
        <f>IFERROR(SUMIF(Holiday!$A$8:$A$11,B170,Holiday!$C$8:$C$11),0)</f>
        <v>0</v>
      </c>
      <c r="O170" s="7">
        <f t="shared" ca="1" si="32"/>
        <v>29</v>
      </c>
      <c r="P170" s="19">
        <f t="shared" ca="1" si="33"/>
        <v>27.984999999999999</v>
      </c>
      <c r="Q170" s="7">
        <f t="shared" ca="1" si="34"/>
        <v>27.70515</v>
      </c>
      <c r="R170" s="8">
        <f ca="1">VLOOKUP(M170,'Payment Method'!$A$8:$B$12,2,0)</f>
        <v>3.5000000000000003E-2</v>
      </c>
      <c r="S170" s="9">
        <f t="shared" ca="1" si="24"/>
        <v>1.0150000000000006</v>
      </c>
      <c r="T170" s="8">
        <v>0.01</v>
      </c>
      <c r="U170" s="9">
        <f t="shared" ca="1" si="25"/>
        <v>0.27984999999999971</v>
      </c>
      <c r="V170" s="7">
        <f t="shared" ca="1" si="26"/>
        <v>0</v>
      </c>
      <c r="W170" s="7">
        <f t="shared" ca="1" si="27"/>
        <v>0</v>
      </c>
      <c r="X170" s="5" t="str">
        <f t="shared" ca="1" si="35"/>
        <v>Tiktok</v>
      </c>
      <c r="Y170" s="78">
        <f>IF(COUNTIF($C$1:C169,B169)=1,10,"")</f>
        <v>10</v>
      </c>
    </row>
    <row r="171" spans="1:25" x14ac:dyDescent="0.3">
      <c r="A171" s="76">
        <v>170</v>
      </c>
      <c r="B171" s="6">
        <v>46141</v>
      </c>
      <c r="C171" s="6">
        <v>46141</v>
      </c>
      <c r="D171" s="17" t="str">
        <f t="shared" si="28"/>
        <v>April</v>
      </c>
      <c r="E171" s="5" t="str">
        <f t="shared" ca="1" si="29"/>
        <v>STU-513</v>
      </c>
      <c r="F171" s="5" t="str">
        <f ca="1">IF(COUNTIF($E$2:E171,E171)=1,"New Customer","Returning Customer")</f>
        <v>New Customer</v>
      </c>
      <c r="G171" s="5" t="str">
        <f t="shared" ca="1" si="30"/>
        <v>Not specified</v>
      </c>
      <c r="H171" s="5" t="s">
        <v>137</v>
      </c>
      <c r="I171" s="5" t="str" cm="1">
        <f t="array" aca="1" ref="I171" ca="1">INDEX(Courses!$B$9:$B$16,RANDBETWEEN(1,8))</f>
        <v>Excel Basics</v>
      </c>
      <c r="J171" s="5" t="str">
        <f ca="1">VLOOKUP(I171,Courses!$B$9:$C$16,2,0)</f>
        <v>Microsoft Office</v>
      </c>
      <c r="K171" s="7">
        <f ca="1">VLOOKUP(I171,Courses!$B$9:$D$16,3,0)</f>
        <v>29</v>
      </c>
      <c r="L171" s="5" t="str">
        <f t="shared" ca="1" si="31"/>
        <v>Pending</v>
      </c>
      <c r="M171" s="8" t="str" cm="1">
        <f t="array" aca="1" ref="M171" ca="1">INDEX('Payment Method'!$A$8:$A$12,RANDBETWEEN(1,5))</f>
        <v>Mastercard Credit</v>
      </c>
      <c r="N171" s="7">
        <f>IFERROR(SUMIF(Holiday!$A$8:$A$11,B171,Holiday!$C$8:$C$11),0)</f>
        <v>0</v>
      </c>
      <c r="O171" s="7">
        <f t="shared" ca="1" si="32"/>
        <v>29</v>
      </c>
      <c r="P171" s="19">
        <f t="shared" ca="1" si="33"/>
        <v>27.984999999999999</v>
      </c>
      <c r="Q171" s="7">
        <f t="shared" ca="1" si="34"/>
        <v>27.70515</v>
      </c>
      <c r="R171" s="8">
        <f ca="1">VLOOKUP(M171,'Payment Method'!$A$8:$B$12,2,0)</f>
        <v>3.5000000000000003E-2</v>
      </c>
      <c r="S171" s="9">
        <f t="shared" ca="1" si="24"/>
        <v>1.0150000000000006</v>
      </c>
      <c r="T171" s="8">
        <v>0.01</v>
      </c>
      <c r="U171" s="9">
        <f t="shared" ca="1" si="25"/>
        <v>0.27984999999999971</v>
      </c>
      <c r="V171" s="7">
        <f t="shared" ca="1" si="26"/>
        <v>0</v>
      </c>
      <c r="W171" s="7">
        <f t="shared" ca="1" si="27"/>
        <v>0</v>
      </c>
      <c r="X171" s="5" t="str">
        <f t="shared" ca="1" si="35"/>
        <v>Facebook</v>
      </c>
      <c r="Y171" s="78" t="str">
        <f>IF(COUNTIF($C$1:C170,B170)=1,10,"")</f>
        <v/>
      </c>
    </row>
    <row r="172" spans="1:25" x14ac:dyDescent="0.3">
      <c r="A172" s="75">
        <v>171</v>
      </c>
      <c r="B172" s="6">
        <v>46185</v>
      </c>
      <c r="C172" s="6">
        <v>46187</v>
      </c>
      <c r="D172" s="17" t="str">
        <f t="shared" si="28"/>
        <v>June</v>
      </c>
      <c r="E172" s="5" t="str">
        <f t="shared" ca="1" si="29"/>
        <v>STU-963</v>
      </c>
      <c r="F172" s="5" t="str">
        <f ca="1">IF(COUNTIF($E$2:E172,E172)=1,"New Customer","Returning Customer")</f>
        <v>New Customer</v>
      </c>
      <c r="G172" s="5" t="str">
        <f t="shared" ca="1" si="30"/>
        <v>Male</v>
      </c>
      <c r="H172" s="5" t="s">
        <v>135</v>
      </c>
      <c r="I172" s="5" t="str" cm="1">
        <f t="array" aca="1" ref="I172" ca="1">INDEX(Courses!$B$9:$B$16,RANDBETWEEN(1,8))</f>
        <v>SQL</v>
      </c>
      <c r="J172" s="5" t="str">
        <f ca="1">VLOOKUP(I172,Courses!$B$9:$C$16,2,0)</f>
        <v>Data Analytics</v>
      </c>
      <c r="K172" s="7">
        <f ca="1">VLOOKUP(I172,Courses!$B$9:$D$16,3,0)</f>
        <v>99</v>
      </c>
      <c r="L172" s="5" t="str">
        <f t="shared" ca="1" si="31"/>
        <v>Pending</v>
      </c>
      <c r="M172" s="8" t="str" cm="1">
        <f t="array" aca="1" ref="M172" ca="1">INDEX('Payment Method'!$A$8:$A$12,RANDBETWEEN(1,5))</f>
        <v>Visa Credit</v>
      </c>
      <c r="N172" s="7">
        <f>IFERROR(SUMIF(Holiday!$A$8:$A$11,B172,Holiday!$C$8:$C$11),0)</f>
        <v>0</v>
      </c>
      <c r="O172" s="7">
        <f t="shared" ca="1" si="32"/>
        <v>99</v>
      </c>
      <c r="P172" s="19">
        <f t="shared" ca="1" si="33"/>
        <v>95.534999999999997</v>
      </c>
      <c r="Q172" s="7">
        <f t="shared" ca="1" si="34"/>
        <v>94.579650000000001</v>
      </c>
      <c r="R172" s="8">
        <f ca="1">VLOOKUP(M172,'Payment Method'!$A$8:$B$12,2,0)</f>
        <v>3.5000000000000003E-2</v>
      </c>
      <c r="S172" s="9">
        <f t="shared" ca="1" si="24"/>
        <v>3.4650000000000034</v>
      </c>
      <c r="T172" s="8">
        <v>0.01</v>
      </c>
      <c r="U172" s="9">
        <f t="shared" ca="1" si="25"/>
        <v>0.9553499999999957</v>
      </c>
      <c r="V172" s="7">
        <f t="shared" ca="1" si="26"/>
        <v>0</v>
      </c>
      <c r="W172" s="7">
        <f t="shared" ca="1" si="27"/>
        <v>0</v>
      </c>
      <c r="X172" s="5" t="str">
        <f t="shared" ca="1" si="35"/>
        <v>Instagram</v>
      </c>
      <c r="Y172" s="78" t="str">
        <f>IF(COUNTIF($C$1:C171,B171)=1,10,"")</f>
        <v/>
      </c>
    </row>
    <row r="173" spans="1:25" x14ac:dyDescent="0.3">
      <c r="A173" s="76">
        <v>172</v>
      </c>
      <c r="B173" s="6">
        <v>46156</v>
      </c>
      <c r="C173" s="6">
        <v>46157</v>
      </c>
      <c r="D173" s="17" t="str">
        <f t="shared" si="28"/>
        <v>May</v>
      </c>
      <c r="E173" s="5" t="str">
        <f t="shared" ca="1" si="29"/>
        <v>STU-540</v>
      </c>
      <c r="F173" s="5" t="str">
        <f ca="1">IF(COUNTIF($E$2:E173,E173)=1,"New Customer","Returning Customer")</f>
        <v>New Customer</v>
      </c>
      <c r="G173" s="5" t="str">
        <f t="shared" ca="1" si="30"/>
        <v>Not specified</v>
      </c>
      <c r="H173" s="5" t="s">
        <v>142</v>
      </c>
      <c r="I173" s="5" t="str" cm="1">
        <f t="array" aca="1" ref="I173" ca="1">INDEX(Courses!$B$9:$B$16,RANDBETWEEN(1,8))</f>
        <v>Tax Code</v>
      </c>
      <c r="J173" s="5" t="str">
        <f ca="1">VLOOKUP(I173,Courses!$B$9:$C$16,2,0)</f>
        <v>Finance &amp; Taxation</v>
      </c>
      <c r="K173" s="7">
        <f ca="1">VLOOKUP(I173,Courses!$B$9:$D$16,3,0)</f>
        <v>59</v>
      </c>
      <c r="L173" s="5" t="str">
        <f t="shared" ca="1" si="31"/>
        <v>Paid</v>
      </c>
      <c r="M173" s="8" t="str" cm="1">
        <f t="array" aca="1" ref="M173" ca="1">INDEX('Payment Method'!$A$8:$A$12,RANDBETWEEN(1,5))</f>
        <v>Visa Credit</v>
      </c>
      <c r="N173" s="7">
        <f>IFERROR(SUMIF(Holiday!$A$8:$A$11,B173,Holiday!$C$8:$C$11),0)</f>
        <v>0</v>
      </c>
      <c r="O173" s="7">
        <f t="shared" ca="1" si="32"/>
        <v>59</v>
      </c>
      <c r="P173" s="19">
        <f t="shared" ca="1" si="33"/>
        <v>56.935000000000002</v>
      </c>
      <c r="Q173" s="7">
        <f t="shared" ca="1" si="34"/>
        <v>0</v>
      </c>
      <c r="R173" s="8">
        <f ca="1">VLOOKUP(M173,'Payment Method'!$A$8:$B$12,2,0)</f>
        <v>3.5000000000000003E-2</v>
      </c>
      <c r="S173" s="9">
        <f t="shared" ca="1" si="24"/>
        <v>2.0649999999999977</v>
      </c>
      <c r="T173" s="8">
        <v>0.01</v>
      </c>
      <c r="U173" s="9">
        <f t="shared" ca="1" si="25"/>
        <v>0.56935000000000002</v>
      </c>
      <c r="V173" s="7">
        <f t="shared" ca="1" si="26"/>
        <v>0</v>
      </c>
      <c r="W173" s="7">
        <f t="shared" ca="1" si="27"/>
        <v>56.365650000000002</v>
      </c>
      <c r="X173" s="5" t="str">
        <f t="shared" ca="1" si="35"/>
        <v>Tiktok</v>
      </c>
      <c r="Y173" s="78" t="str">
        <f>IF(COUNTIF($C$1:C172,B172)=1,10,"")</f>
        <v/>
      </c>
    </row>
    <row r="174" spans="1:25" x14ac:dyDescent="0.3">
      <c r="A174" s="75">
        <v>173</v>
      </c>
      <c r="B174" s="6">
        <v>46208</v>
      </c>
      <c r="C174" s="6">
        <v>46212</v>
      </c>
      <c r="D174" s="17" t="str">
        <f t="shared" si="28"/>
        <v>July</v>
      </c>
      <c r="E174" s="5" t="str">
        <f t="shared" ca="1" si="29"/>
        <v>STU-285</v>
      </c>
      <c r="F174" s="5" t="str">
        <f ca="1">IF(COUNTIF($E$2:E174,E174)=1,"New Customer","Returning Customer")</f>
        <v>New Customer</v>
      </c>
      <c r="G174" s="5" t="str">
        <f t="shared" ca="1" si="30"/>
        <v>Female</v>
      </c>
      <c r="H174" s="5" t="s">
        <v>142</v>
      </c>
      <c r="I174" s="5" t="str" cm="1">
        <f t="array" aca="1" ref="I174" ca="1">INDEX(Courses!$B$9:$B$16,RANDBETWEEN(1,8))</f>
        <v>SQL</v>
      </c>
      <c r="J174" s="5" t="str">
        <f ca="1">VLOOKUP(I174,Courses!$B$9:$C$16,2,0)</f>
        <v>Data Analytics</v>
      </c>
      <c r="K174" s="7">
        <f ca="1">VLOOKUP(I174,Courses!$B$9:$D$16,3,0)</f>
        <v>99</v>
      </c>
      <c r="L174" s="5" t="str">
        <f t="shared" ca="1" si="31"/>
        <v>Pending</v>
      </c>
      <c r="M174" s="8" t="str" cm="1">
        <f t="array" aca="1" ref="M174" ca="1">INDEX('Payment Method'!$A$8:$A$12,RANDBETWEEN(1,5))</f>
        <v>Mastercard Debit</v>
      </c>
      <c r="N174" s="7">
        <f>IFERROR(SUMIF(Holiday!$A$8:$A$11,B174,Holiday!$C$8:$C$11),0)</f>
        <v>0</v>
      </c>
      <c r="O174" s="7">
        <f t="shared" ca="1" si="32"/>
        <v>99</v>
      </c>
      <c r="P174" s="19">
        <f t="shared" ca="1" si="33"/>
        <v>97.02</v>
      </c>
      <c r="Q174" s="7">
        <f t="shared" ca="1" si="34"/>
        <v>96.049799999999991</v>
      </c>
      <c r="R174" s="8">
        <f ca="1">VLOOKUP(M174,'Payment Method'!$A$8:$B$12,2,0)</f>
        <v>0.02</v>
      </c>
      <c r="S174" s="9">
        <f t="shared" ca="1" si="24"/>
        <v>1.980000000000004</v>
      </c>
      <c r="T174" s="8">
        <v>0.01</v>
      </c>
      <c r="U174" s="9">
        <f t="shared" ca="1" si="25"/>
        <v>0.9702000000000055</v>
      </c>
      <c r="V174" s="7">
        <f t="shared" ca="1" si="26"/>
        <v>0</v>
      </c>
      <c r="W174" s="7">
        <f t="shared" ca="1" si="27"/>
        <v>0</v>
      </c>
      <c r="X174" s="5" t="str">
        <f t="shared" ca="1" si="35"/>
        <v>Instagram</v>
      </c>
      <c r="Y174" s="78">
        <f>IF(COUNTIF($C$1:C173,B173)=1,10,"")</f>
        <v>10</v>
      </c>
    </row>
    <row r="175" spans="1:25" x14ac:dyDescent="0.3">
      <c r="A175" s="76">
        <v>174</v>
      </c>
      <c r="B175" s="6">
        <v>46040</v>
      </c>
      <c r="C175" s="6">
        <v>46040</v>
      </c>
      <c r="D175" s="17" t="str">
        <f t="shared" si="28"/>
        <v>January</v>
      </c>
      <c r="E175" s="5" t="str">
        <f t="shared" ca="1" si="29"/>
        <v>STU-734</v>
      </c>
      <c r="F175" s="5" t="str">
        <f ca="1">IF(COUNTIF($E$2:E175,E175)=1,"New Customer","Returning Customer")</f>
        <v>New Customer</v>
      </c>
      <c r="G175" s="5" t="str">
        <f t="shared" ca="1" si="30"/>
        <v>Not specified</v>
      </c>
      <c r="H175" s="5" t="s">
        <v>135</v>
      </c>
      <c r="I175" s="5" t="str" cm="1">
        <f t="array" aca="1" ref="I175" ca="1">INDEX(Courses!$B$9:$B$16,RANDBETWEEN(1,8))</f>
        <v>SQL</v>
      </c>
      <c r="J175" s="5" t="str">
        <f ca="1">VLOOKUP(I175,Courses!$B$9:$C$16,2,0)</f>
        <v>Data Analytics</v>
      </c>
      <c r="K175" s="7">
        <f ca="1">VLOOKUP(I175,Courses!$B$9:$D$16,3,0)</f>
        <v>99</v>
      </c>
      <c r="L175" s="5" t="str">
        <f t="shared" ca="1" si="31"/>
        <v>Paid</v>
      </c>
      <c r="M175" s="8" t="str" cm="1">
        <f t="array" aca="1" ref="M175" ca="1">INDEX('Payment Method'!$A$8:$A$12,RANDBETWEEN(1,5))</f>
        <v>Bank Transfer</v>
      </c>
      <c r="N175" s="7">
        <f>IFERROR(SUMIF(Holiday!$A$8:$A$11,B175,Holiday!$C$8:$C$11),0)</f>
        <v>0</v>
      </c>
      <c r="O175" s="7">
        <f t="shared" ca="1" si="32"/>
        <v>99</v>
      </c>
      <c r="P175" s="19">
        <f t="shared" ca="1" si="33"/>
        <v>99</v>
      </c>
      <c r="Q175" s="7">
        <f t="shared" ca="1" si="34"/>
        <v>0</v>
      </c>
      <c r="R175" s="8">
        <f ca="1">VLOOKUP(M175,'Payment Method'!$A$8:$B$12,2,0)</f>
        <v>0</v>
      </c>
      <c r="S175" s="9">
        <f t="shared" ca="1" si="24"/>
        <v>0</v>
      </c>
      <c r="T175" s="8">
        <v>0.01</v>
      </c>
      <c r="U175" s="9">
        <f t="shared" ca="1" si="25"/>
        <v>0.98999999999999488</v>
      </c>
      <c r="V175" s="7">
        <f t="shared" ca="1" si="26"/>
        <v>0</v>
      </c>
      <c r="W175" s="7">
        <f t="shared" ca="1" si="27"/>
        <v>98.01</v>
      </c>
      <c r="X175" s="5" t="str">
        <f t="shared" ca="1" si="35"/>
        <v>Facebook</v>
      </c>
      <c r="Y175" s="78" t="str">
        <f>IF(COUNTIF($C$1:C174,B174)=1,10,"")</f>
        <v/>
      </c>
    </row>
    <row r="176" spans="1:25" x14ac:dyDescent="0.3">
      <c r="A176" s="75">
        <v>175</v>
      </c>
      <c r="B176" s="6">
        <v>46048</v>
      </c>
      <c r="C176" s="6">
        <v>46051</v>
      </c>
      <c r="D176" s="17" t="str">
        <f t="shared" si="28"/>
        <v>January</v>
      </c>
      <c r="E176" s="5" t="str">
        <f t="shared" ca="1" si="29"/>
        <v>STU-156</v>
      </c>
      <c r="F176" s="5" t="str">
        <f ca="1">IF(COUNTIF($E$2:E176,E176)=1,"New Customer","Returning Customer")</f>
        <v>New Customer</v>
      </c>
      <c r="G176" s="5" t="str">
        <f t="shared" ca="1" si="30"/>
        <v>Not specified</v>
      </c>
      <c r="H176" s="5" t="s">
        <v>135</v>
      </c>
      <c r="I176" s="5" t="str" cm="1">
        <f t="array" aca="1" ref="I176" ca="1">INDEX(Courses!$B$9:$B$16,RANDBETWEEN(1,8))</f>
        <v>Power BI</v>
      </c>
      <c r="J176" s="5" t="str">
        <f ca="1">VLOOKUP(I176,Courses!$B$9:$C$16,2,0)</f>
        <v>Data Analytics</v>
      </c>
      <c r="K176" s="7">
        <f ca="1">VLOOKUP(I176,Courses!$B$9:$D$16,3,0)</f>
        <v>59</v>
      </c>
      <c r="L176" s="5" t="str">
        <f t="shared" ca="1" si="31"/>
        <v>Paid</v>
      </c>
      <c r="M176" s="8" t="str" cm="1">
        <f t="array" aca="1" ref="M176" ca="1">INDEX('Payment Method'!$A$8:$A$12,RANDBETWEEN(1,5))</f>
        <v>Bank Transfer</v>
      </c>
      <c r="N176" s="7">
        <f>IFERROR(SUMIF(Holiday!$A$8:$A$11,B176,Holiday!$C$8:$C$11),0)</f>
        <v>0</v>
      </c>
      <c r="O176" s="7">
        <f t="shared" ca="1" si="32"/>
        <v>59</v>
      </c>
      <c r="P176" s="19">
        <f t="shared" ca="1" si="33"/>
        <v>59</v>
      </c>
      <c r="Q176" s="7">
        <f t="shared" ca="1" si="34"/>
        <v>0</v>
      </c>
      <c r="R176" s="8">
        <f ca="1">VLOOKUP(M176,'Payment Method'!$A$8:$B$12,2,0)</f>
        <v>0</v>
      </c>
      <c r="S176" s="9">
        <f t="shared" ca="1" si="24"/>
        <v>0</v>
      </c>
      <c r="T176" s="8">
        <v>0.01</v>
      </c>
      <c r="U176" s="9">
        <f t="shared" ca="1" si="25"/>
        <v>0.59000000000000341</v>
      </c>
      <c r="V176" s="7">
        <f t="shared" ca="1" si="26"/>
        <v>0</v>
      </c>
      <c r="W176" s="7">
        <f t="shared" ca="1" si="27"/>
        <v>58.41</v>
      </c>
      <c r="X176" s="5" t="str">
        <f t="shared" ca="1" si="35"/>
        <v>Tiktok</v>
      </c>
      <c r="Y176" s="78" t="str">
        <f>IF(COUNTIF($C$1:C175,B175)=1,10,"")</f>
        <v/>
      </c>
    </row>
    <row r="177" spans="1:25" x14ac:dyDescent="0.3">
      <c r="A177" s="76">
        <v>176</v>
      </c>
      <c r="B177" s="6">
        <v>46175</v>
      </c>
      <c r="C177" s="6">
        <v>46179</v>
      </c>
      <c r="D177" s="17" t="str">
        <f t="shared" si="28"/>
        <v>June</v>
      </c>
      <c r="E177" s="5" t="str">
        <f t="shared" ca="1" si="29"/>
        <v>STU-888</v>
      </c>
      <c r="F177" s="5" t="str">
        <f ca="1">IF(COUNTIF($E$2:E177,E177)=1,"New Customer","Returning Customer")</f>
        <v>Returning Customer</v>
      </c>
      <c r="G177" s="5" t="str">
        <f t="shared" ca="1" si="30"/>
        <v>Not specified</v>
      </c>
      <c r="H177" s="5" t="s">
        <v>140</v>
      </c>
      <c r="I177" s="5" t="str" cm="1">
        <f t="array" aca="1" ref="I177" ca="1">INDEX(Courses!$B$9:$B$16,RANDBETWEEN(1,8))</f>
        <v>SQL</v>
      </c>
      <c r="J177" s="5" t="str">
        <f ca="1">VLOOKUP(I177,Courses!$B$9:$C$16,2,0)</f>
        <v>Data Analytics</v>
      </c>
      <c r="K177" s="7">
        <f ca="1">VLOOKUP(I177,Courses!$B$9:$D$16,3,0)</f>
        <v>99</v>
      </c>
      <c r="L177" s="5" t="str">
        <f t="shared" ca="1" si="31"/>
        <v>Paid</v>
      </c>
      <c r="M177" s="8" t="str" cm="1">
        <f t="array" aca="1" ref="M177" ca="1">INDEX('Payment Method'!$A$8:$A$12,RANDBETWEEN(1,5))</f>
        <v>Mastercard Debit</v>
      </c>
      <c r="N177" s="7">
        <f>IFERROR(SUMIF(Holiday!$A$8:$A$11,B177,Holiday!$C$8:$C$11),0)</f>
        <v>0</v>
      </c>
      <c r="O177" s="7">
        <f t="shared" ca="1" si="32"/>
        <v>99</v>
      </c>
      <c r="P177" s="19">
        <f t="shared" ca="1" si="33"/>
        <v>97.02</v>
      </c>
      <c r="Q177" s="7">
        <f t="shared" ca="1" si="34"/>
        <v>0</v>
      </c>
      <c r="R177" s="8">
        <f ca="1">VLOOKUP(M177,'Payment Method'!$A$8:$B$12,2,0)</f>
        <v>0.02</v>
      </c>
      <c r="S177" s="9">
        <f t="shared" ca="1" si="24"/>
        <v>1.980000000000004</v>
      </c>
      <c r="T177" s="8">
        <v>0.01</v>
      </c>
      <c r="U177" s="9">
        <f t="shared" ca="1" si="25"/>
        <v>0.9702000000000055</v>
      </c>
      <c r="V177" s="7">
        <f t="shared" ca="1" si="26"/>
        <v>0</v>
      </c>
      <c r="W177" s="7">
        <f t="shared" ca="1" si="27"/>
        <v>96.049799999999991</v>
      </c>
      <c r="X177" s="5" t="str">
        <f t="shared" ca="1" si="35"/>
        <v>Facebook</v>
      </c>
      <c r="Y177" s="78" t="str">
        <f>IF(COUNTIF($C$1:C176,B176)=1,10,"")</f>
        <v/>
      </c>
    </row>
    <row r="178" spans="1:25" x14ac:dyDescent="0.3">
      <c r="A178" s="75">
        <v>177</v>
      </c>
      <c r="B178" s="6">
        <v>46225</v>
      </c>
      <c r="C178" s="6">
        <v>46230</v>
      </c>
      <c r="D178" s="17" t="str">
        <f t="shared" si="28"/>
        <v>July</v>
      </c>
      <c r="E178" s="5" t="str">
        <f t="shared" ca="1" si="29"/>
        <v>STU-578</v>
      </c>
      <c r="F178" s="5" t="str">
        <f ca="1">IF(COUNTIF($E$2:E178,E178)=1,"New Customer","Returning Customer")</f>
        <v>New Customer</v>
      </c>
      <c r="G178" s="5" t="str">
        <f t="shared" ca="1" si="30"/>
        <v>Female</v>
      </c>
      <c r="H178" s="5" t="s">
        <v>137</v>
      </c>
      <c r="I178" s="5" t="str" cm="1">
        <f t="array" aca="1" ref="I178" ca="1">INDEX(Courses!$B$9:$B$16,RANDBETWEEN(1,8))</f>
        <v>Microsoft Word</v>
      </c>
      <c r="J178" s="5" t="str">
        <f ca="1">VLOOKUP(I178,Courses!$B$9:$C$16,2,0)</f>
        <v>Microsoft Office</v>
      </c>
      <c r="K178" s="7">
        <f ca="1">VLOOKUP(I178,Courses!$B$9:$D$16,3,0)</f>
        <v>29</v>
      </c>
      <c r="L178" s="5" t="str">
        <f t="shared" ca="1" si="31"/>
        <v>Paid</v>
      </c>
      <c r="M178" s="8" t="str" cm="1">
        <f t="array" aca="1" ref="M178" ca="1">INDEX('Payment Method'!$A$8:$A$12,RANDBETWEEN(1,5))</f>
        <v>Mastercard Credit</v>
      </c>
      <c r="N178" s="7">
        <f>IFERROR(SUMIF(Holiday!$A$8:$A$11,B178,Holiday!$C$8:$C$11),0)</f>
        <v>0</v>
      </c>
      <c r="O178" s="7">
        <f t="shared" ca="1" si="32"/>
        <v>29</v>
      </c>
      <c r="P178" s="19">
        <f t="shared" ca="1" si="33"/>
        <v>27.984999999999999</v>
      </c>
      <c r="Q178" s="7">
        <f t="shared" ca="1" si="34"/>
        <v>0</v>
      </c>
      <c r="R178" s="8">
        <f ca="1">VLOOKUP(M178,'Payment Method'!$A$8:$B$12,2,0)</f>
        <v>3.5000000000000003E-2</v>
      </c>
      <c r="S178" s="9">
        <f t="shared" ca="1" si="24"/>
        <v>1.0150000000000006</v>
      </c>
      <c r="T178" s="8">
        <v>0.01</v>
      </c>
      <c r="U178" s="9">
        <f t="shared" ca="1" si="25"/>
        <v>0.27984999999999971</v>
      </c>
      <c r="V178" s="7">
        <f t="shared" ca="1" si="26"/>
        <v>0</v>
      </c>
      <c r="W178" s="7">
        <f t="shared" ca="1" si="27"/>
        <v>27.70515</v>
      </c>
      <c r="X178" s="5" t="str">
        <f t="shared" ca="1" si="35"/>
        <v>Tiktok</v>
      </c>
      <c r="Y178" s="78">
        <f>IF(COUNTIF($C$1:C177,B177)=1,10,"")</f>
        <v>10</v>
      </c>
    </row>
    <row r="179" spans="1:25" x14ac:dyDescent="0.3">
      <c r="A179" s="76">
        <v>178</v>
      </c>
      <c r="B179" s="6">
        <v>46035</v>
      </c>
      <c r="C179" s="6">
        <v>46035</v>
      </c>
      <c r="D179" s="17" t="str">
        <f t="shared" si="28"/>
        <v>January</v>
      </c>
      <c r="E179" s="5" t="str">
        <f t="shared" ca="1" si="29"/>
        <v>STU-408</v>
      </c>
      <c r="F179" s="5" t="str">
        <f ca="1">IF(COUNTIF($E$2:E179,E179)=1,"New Customer","Returning Customer")</f>
        <v>New Customer</v>
      </c>
      <c r="G179" s="5" t="str">
        <f t="shared" ca="1" si="30"/>
        <v>Male</v>
      </c>
      <c r="H179" s="5" t="s">
        <v>139</v>
      </c>
      <c r="I179" s="5" t="str" cm="1">
        <f t="array" aca="1" ref="I179" ca="1">INDEX(Courses!$B$9:$B$16,RANDBETWEEN(1,8))</f>
        <v>Microsoft Word</v>
      </c>
      <c r="J179" s="5" t="str">
        <f ca="1">VLOOKUP(I179,Courses!$B$9:$C$16,2,0)</f>
        <v>Microsoft Office</v>
      </c>
      <c r="K179" s="7">
        <f ca="1">VLOOKUP(I179,Courses!$B$9:$D$16,3,0)</f>
        <v>29</v>
      </c>
      <c r="L179" s="5" t="str">
        <f t="shared" ca="1" si="31"/>
        <v>Paid</v>
      </c>
      <c r="M179" s="8" t="str" cm="1">
        <f t="array" aca="1" ref="M179" ca="1">INDEX('Payment Method'!$A$8:$A$12,RANDBETWEEN(1,5))</f>
        <v>Mastercard Credit</v>
      </c>
      <c r="N179" s="7">
        <f>IFERROR(SUMIF(Holiday!$A$8:$A$11,B179,Holiday!$C$8:$C$11),0)</f>
        <v>0</v>
      </c>
      <c r="O179" s="7">
        <f t="shared" ca="1" si="32"/>
        <v>29</v>
      </c>
      <c r="P179" s="19">
        <f t="shared" ca="1" si="33"/>
        <v>27.984999999999999</v>
      </c>
      <c r="Q179" s="7">
        <f t="shared" ca="1" si="34"/>
        <v>0</v>
      </c>
      <c r="R179" s="8">
        <f ca="1">VLOOKUP(M179,'Payment Method'!$A$8:$B$12,2,0)</f>
        <v>3.5000000000000003E-2</v>
      </c>
      <c r="S179" s="9">
        <f t="shared" ca="1" si="24"/>
        <v>1.0150000000000006</v>
      </c>
      <c r="T179" s="8">
        <v>0.01</v>
      </c>
      <c r="U179" s="9">
        <f t="shared" ca="1" si="25"/>
        <v>0.27984999999999971</v>
      </c>
      <c r="V179" s="7">
        <f t="shared" ca="1" si="26"/>
        <v>0</v>
      </c>
      <c r="W179" s="7">
        <f t="shared" ca="1" si="27"/>
        <v>27.70515</v>
      </c>
      <c r="X179" s="5" t="str">
        <f t="shared" ca="1" si="35"/>
        <v>Tiktok</v>
      </c>
      <c r="Y179" s="78">
        <f>IF(COUNTIF($C$1:C178,B178)=1,10,"")</f>
        <v>10</v>
      </c>
    </row>
    <row r="180" spans="1:25" x14ac:dyDescent="0.3">
      <c r="A180" s="75">
        <v>179</v>
      </c>
      <c r="B180" s="6">
        <v>46037</v>
      </c>
      <c r="C180" s="6">
        <v>46037</v>
      </c>
      <c r="D180" s="17" t="str">
        <f t="shared" si="28"/>
        <v>January</v>
      </c>
      <c r="E180" s="5" t="str">
        <f t="shared" ca="1" si="29"/>
        <v>STU-680</v>
      </c>
      <c r="F180" s="5" t="str">
        <f ca="1">IF(COUNTIF($E$2:E180,E180)=1,"New Customer","Returning Customer")</f>
        <v>New Customer</v>
      </c>
      <c r="G180" s="5" t="str">
        <f t="shared" ca="1" si="30"/>
        <v>Male</v>
      </c>
      <c r="H180" s="5" t="s">
        <v>138</v>
      </c>
      <c r="I180" s="5" t="str" cm="1">
        <f t="array" aca="1" ref="I180" ca="1">INDEX(Courses!$B$9:$B$16,RANDBETWEEN(1,8))</f>
        <v>Complete Excel Course</v>
      </c>
      <c r="J180" s="5" t="str">
        <f ca="1">VLOOKUP(I180,Courses!$B$9:$C$16,2,0)</f>
        <v>Microsoft Office</v>
      </c>
      <c r="K180" s="7">
        <f ca="1">VLOOKUP(I180,Courses!$B$9:$D$16,3,0)</f>
        <v>59</v>
      </c>
      <c r="L180" s="5" t="str">
        <f t="shared" ca="1" si="31"/>
        <v>Pending</v>
      </c>
      <c r="M180" s="8" t="str" cm="1">
        <f t="array" aca="1" ref="M180" ca="1">INDEX('Payment Method'!$A$8:$A$12,RANDBETWEEN(1,5))</f>
        <v>Bank Transfer</v>
      </c>
      <c r="N180" s="7">
        <f>IFERROR(SUMIF(Holiday!$A$8:$A$11,B180,Holiday!$C$8:$C$11),0)</f>
        <v>0</v>
      </c>
      <c r="O180" s="7">
        <f t="shared" ca="1" si="32"/>
        <v>59</v>
      </c>
      <c r="P180" s="19">
        <f t="shared" ca="1" si="33"/>
        <v>59</v>
      </c>
      <c r="Q180" s="7">
        <f t="shared" ca="1" si="34"/>
        <v>58.41</v>
      </c>
      <c r="R180" s="8">
        <f ca="1">VLOOKUP(M180,'Payment Method'!$A$8:$B$12,2,0)</f>
        <v>0</v>
      </c>
      <c r="S180" s="9">
        <f t="shared" ca="1" si="24"/>
        <v>0</v>
      </c>
      <c r="T180" s="8">
        <v>0.01</v>
      </c>
      <c r="U180" s="9">
        <f t="shared" ca="1" si="25"/>
        <v>0.59000000000000341</v>
      </c>
      <c r="V180" s="7">
        <f t="shared" ca="1" si="26"/>
        <v>0</v>
      </c>
      <c r="W180" s="7">
        <f t="shared" ca="1" si="27"/>
        <v>0</v>
      </c>
      <c r="X180" s="5" t="str">
        <f t="shared" ca="1" si="35"/>
        <v>Facebook</v>
      </c>
      <c r="Y180" s="78" t="str">
        <f>IF(COUNTIF($C$1:C179,B179)=1,10,"")</f>
        <v/>
      </c>
    </row>
    <row r="181" spans="1:25" x14ac:dyDescent="0.3">
      <c r="A181" s="76">
        <v>180</v>
      </c>
      <c r="B181" s="6">
        <v>46223</v>
      </c>
      <c r="C181" s="6">
        <v>46228</v>
      </c>
      <c r="D181" s="17" t="str">
        <f t="shared" si="28"/>
        <v>July</v>
      </c>
      <c r="E181" s="5" t="str">
        <f t="shared" ca="1" si="29"/>
        <v>STU-272</v>
      </c>
      <c r="F181" s="5" t="str">
        <f ca="1">IF(COUNTIF($E$2:E181,E181)=1,"New Customer","Returning Customer")</f>
        <v>New Customer</v>
      </c>
      <c r="G181" s="5" t="str">
        <f t="shared" ca="1" si="30"/>
        <v>Not specified</v>
      </c>
      <c r="H181" s="5" t="s">
        <v>139</v>
      </c>
      <c r="I181" s="5" t="str" cm="1">
        <f t="array" aca="1" ref="I181" ca="1">INDEX(Courses!$B$9:$B$16,RANDBETWEEN(1,8))</f>
        <v>Microsoft Word</v>
      </c>
      <c r="J181" s="5" t="str">
        <f ca="1">VLOOKUP(I181,Courses!$B$9:$C$16,2,0)</f>
        <v>Microsoft Office</v>
      </c>
      <c r="K181" s="7">
        <f ca="1">VLOOKUP(I181,Courses!$B$9:$D$16,3,0)</f>
        <v>29</v>
      </c>
      <c r="L181" s="5" t="str">
        <f t="shared" ca="1" si="31"/>
        <v>Paid</v>
      </c>
      <c r="M181" s="8" t="str" cm="1">
        <f t="array" aca="1" ref="M181" ca="1">INDEX('Payment Method'!$A$8:$A$12,RANDBETWEEN(1,5))</f>
        <v>Visa Credit</v>
      </c>
      <c r="N181" s="7">
        <f>IFERROR(SUMIF(Holiday!$A$8:$A$11,B181,Holiday!$C$8:$C$11),0)</f>
        <v>0</v>
      </c>
      <c r="O181" s="7">
        <f t="shared" ca="1" si="32"/>
        <v>29</v>
      </c>
      <c r="P181" s="19">
        <f t="shared" ca="1" si="33"/>
        <v>27.984999999999999</v>
      </c>
      <c r="Q181" s="7">
        <f t="shared" ca="1" si="34"/>
        <v>0</v>
      </c>
      <c r="R181" s="8">
        <f ca="1">VLOOKUP(M181,'Payment Method'!$A$8:$B$12,2,0)</f>
        <v>3.5000000000000003E-2</v>
      </c>
      <c r="S181" s="9">
        <f t="shared" ca="1" si="24"/>
        <v>1.0150000000000006</v>
      </c>
      <c r="T181" s="8">
        <v>0.01</v>
      </c>
      <c r="U181" s="9">
        <f t="shared" ca="1" si="25"/>
        <v>0.27984999999999971</v>
      </c>
      <c r="V181" s="7">
        <f t="shared" ca="1" si="26"/>
        <v>0</v>
      </c>
      <c r="W181" s="7">
        <f t="shared" ca="1" si="27"/>
        <v>27.70515</v>
      </c>
      <c r="X181" s="5" t="str">
        <f t="shared" ca="1" si="35"/>
        <v>Tiktok</v>
      </c>
      <c r="Y181" s="78">
        <f>IF(COUNTIF($C$1:C180,B180)=1,10,"")</f>
        <v>10</v>
      </c>
    </row>
    <row r="182" spans="1:25" x14ac:dyDescent="0.3">
      <c r="A182" s="75">
        <v>181</v>
      </c>
      <c r="B182" s="6">
        <v>46032</v>
      </c>
      <c r="C182" s="6">
        <v>46035</v>
      </c>
      <c r="D182" s="17" t="str">
        <f t="shared" si="28"/>
        <v>January</v>
      </c>
      <c r="E182" s="5" t="str">
        <f t="shared" ca="1" si="29"/>
        <v>STU-203</v>
      </c>
      <c r="F182" s="5" t="str">
        <f ca="1">IF(COUNTIF($E$2:E182,E182)=1,"New Customer","Returning Customer")</f>
        <v>New Customer</v>
      </c>
      <c r="G182" s="5" t="str">
        <f t="shared" ca="1" si="30"/>
        <v>Male</v>
      </c>
      <c r="H182" s="5" t="s">
        <v>138</v>
      </c>
      <c r="I182" s="5" t="str" cm="1">
        <f t="array" aca="1" ref="I182" ca="1">INDEX(Courses!$B$9:$B$16,RANDBETWEEN(1,8))</f>
        <v>Microsoft Word</v>
      </c>
      <c r="J182" s="5" t="str">
        <f ca="1">VLOOKUP(I182,Courses!$B$9:$C$16,2,0)</f>
        <v>Microsoft Office</v>
      </c>
      <c r="K182" s="7">
        <f ca="1">VLOOKUP(I182,Courses!$B$9:$D$16,3,0)</f>
        <v>29</v>
      </c>
      <c r="L182" s="5" t="str">
        <f t="shared" ca="1" si="31"/>
        <v>Paid</v>
      </c>
      <c r="M182" s="8" t="str" cm="1">
        <f t="array" aca="1" ref="M182" ca="1">INDEX('Payment Method'!$A$8:$A$12,RANDBETWEEN(1,5))</f>
        <v>Mastercard Debit</v>
      </c>
      <c r="N182" s="7">
        <f>IFERROR(SUMIF(Holiday!$A$8:$A$11,B182,Holiday!$C$8:$C$11),0)</f>
        <v>0</v>
      </c>
      <c r="O182" s="7">
        <f t="shared" ca="1" si="32"/>
        <v>29</v>
      </c>
      <c r="P182" s="19">
        <f t="shared" ca="1" si="33"/>
        <v>28.42</v>
      </c>
      <c r="Q182" s="7">
        <f t="shared" ca="1" si="34"/>
        <v>0</v>
      </c>
      <c r="R182" s="8">
        <f ca="1">VLOOKUP(M182,'Payment Method'!$A$8:$B$12,2,0)</f>
        <v>0.02</v>
      </c>
      <c r="S182" s="9">
        <f t="shared" ca="1" si="24"/>
        <v>0.57999999999999829</v>
      </c>
      <c r="T182" s="8">
        <v>0.01</v>
      </c>
      <c r="U182" s="9">
        <f t="shared" ca="1" si="25"/>
        <v>0.28419999999999845</v>
      </c>
      <c r="V182" s="7">
        <f t="shared" ca="1" si="26"/>
        <v>0</v>
      </c>
      <c r="W182" s="7">
        <f t="shared" ca="1" si="27"/>
        <v>28.135800000000003</v>
      </c>
      <c r="X182" s="5" t="str">
        <f t="shared" ca="1" si="35"/>
        <v>Facebook</v>
      </c>
      <c r="Y182" s="78" t="str">
        <f>IF(COUNTIF($C$1:C181,B181)=1,10,"")</f>
        <v/>
      </c>
    </row>
    <row r="183" spans="1:25" x14ac:dyDescent="0.3">
      <c r="A183" s="76">
        <v>182</v>
      </c>
      <c r="B183" s="6">
        <v>46087</v>
      </c>
      <c r="C183" s="6">
        <v>46087</v>
      </c>
      <c r="D183" s="17" t="str">
        <f t="shared" si="28"/>
        <v>March</v>
      </c>
      <c r="E183" s="5" t="str">
        <f t="shared" ca="1" si="29"/>
        <v>STU-403</v>
      </c>
      <c r="F183" s="5" t="str">
        <f ca="1">IF(COUNTIF($E$2:E183,E183)=1,"New Customer","Returning Customer")</f>
        <v>Returning Customer</v>
      </c>
      <c r="G183" s="5" t="str">
        <f t="shared" ca="1" si="30"/>
        <v>Male</v>
      </c>
      <c r="H183" s="5" t="s">
        <v>140</v>
      </c>
      <c r="I183" s="5" t="str" cm="1">
        <f t="array" aca="1" ref="I183" ca="1">INDEX(Courses!$B$9:$B$16,RANDBETWEEN(1,8))</f>
        <v>PowerPoint</v>
      </c>
      <c r="J183" s="5" t="str">
        <f ca="1">VLOOKUP(I183,Courses!$B$9:$C$16,2,0)</f>
        <v>Microsoft Office</v>
      </c>
      <c r="K183" s="7">
        <f ca="1">VLOOKUP(I183,Courses!$B$9:$D$16,3,0)</f>
        <v>29</v>
      </c>
      <c r="L183" s="5" t="str">
        <f t="shared" ca="1" si="31"/>
        <v>Paid</v>
      </c>
      <c r="M183" s="8" t="str" cm="1">
        <f t="array" aca="1" ref="M183" ca="1">INDEX('Payment Method'!$A$8:$A$12,RANDBETWEEN(1,5))</f>
        <v>Mastercard Debit</v>
      </c>
      <c r="N183" s="7">
        <f>IFERROR(SUMIF(Holiday!$A$8:$A$11,B183,Holiday!$C$8:$C$11),0)</f>
        <v>0</v>
      </c>
      <c r="O183" s="7">
        <f t="shared" ca="1" si="32"/>
        <v>29</v>
      </c>
      <c r="P183" s="19">
        <f t="shared" ca="1" si="33"/>
        <v>28.42</v>
      </c>
      <c r="Q183" s="7">
        <f t="shared" ca="1" si="34"/>
        <v>0</v>
      </c>
      <c r="R183" s="8">
        <f ca="1">VLOOKUP(M183,'Payment Method'!$A$8:$B$12,2,0)</f>
        <v>0.02</v>
      </c>
      <c r="S183" s="9">
        <f t="shared" ca="1" si="24"/>
        <v>0.57999999999999829</v>
      </c>
      <c r="T183" s="8">
        <v>0.01</v>
      </c>
      <c r="U183" s="9">
        <f t="shared" ca="1" si="25"/>
        <v>0.28419999999999845</v>
      </c>
      <c r="V183" s="7">
        <f t="shared" ca="1" si="26"/>
        <v>0</v>
      </c>
      <c r="W183" s="7">
        <f t="shared" ca="1" si="27"/>
        <v>28.135800000000003</v>
      </c>
      <c r="X183" s="5" t="str">
        <f t="shared" ca="1" si="35"/>
        <v>Tiktok</v>
      </c>
      <c r="Y183" s="78" t="str">
        <f>IF(COUNTIF($C$1:C182,B182)=1,10,"")</f>
        <v/>
      </c>
    </row>
    <row r="184" spans="1:25" x14ac:dyDescent="0.3">
      <c r="A184" s="75">
        <v>183</v>
      </c>
      <c r="B184" s="6">
        <v>46045</v>
      </c>
      <c r="C184" s="6">
        <v>46047</v>
      </c>
      <c r="D184" s="17" t="str">
        <f t="shared" si="28"/>
        <v>January</v>
      </c>
      <c r="E184" s="5" t="str">
        <f t="shared" ca="1" si="29"/>
        <v>STU-442</v>
      </c>
      <c r="F184" s="5" t="str">
        <f ca="1">IF(COUNTIF($E$2:E184,E184)=1,"New Customer","Returning Customer")</f>
        <v>Returning Customer</v>
      </c>
      <c r="G184" s="5" t="str">
        <f t="shared" ca="1" si="30"/>
        <v>Male</v>
      </c>
      <c r="H184" s="5" t="s">
        <v>136</v>
      </c>
      <c r="I184" s="5" t="str" cm="1">
        <f t="array" aca="1" ref="I184" ca="1">INDEX(Courses!$B$9:$B$16,RANDBETWEEN(1,8))</f>
        <v>Adolescent Psychology</v>
      </c>
      <c r="J184" s="5" t="str">
        <f ca="1">VLOOKUP(I184,Courses!$B$9:$C$16,2,0)</f>
        <v>Psychology</v>
      </c>
      <c r="K184" s="7">
        <f ca="1">VLOOKUP(I184,Courses!$B$9:$D$16,3,0)</f>
        <v>29</v>
      </c>
      <c r="L184" s="5" t="str">
        <f t="shared" ca="1" si="31"/>
        <v>Refunded</v>
      </c>
      <c r="M184" s="8" t="str" cm="1">
        <f t="array" aca="1" ref="M184" ca="1">INDEX('Payment Method'!$A$8:$A$12,RANDBETWEEN(1,5))</f>
        <v>Mastercard Credit</v>
      </c>
      <c r="N184" s="7">
        <f>IFERROR(SUMIF(Holiday!$A$8:$A$11,B184,Holiday!$C$8:$C$11),0)</f>
        <v>0</v>
      </c>
      <c r="O184" s="7">
        <f t="shared" ca="1" si="32"/>
        <v>29</v>
      </c>
      <c r="P184" s="19">
        <f t="shared" ca="1" si="33"/>
        <v>27.984999999999999</v>
      </c>
      <c r="Q184" s="7">
        <f t="shared" ca="1" si="34"/>
        <v>0</v>
      </c>
      <c r="R184" s="8">
        <f ca="1">VLOOKUP(M184,'Payment Method'!$A$8:$B$12,2,0)</f>
        <v>3.5000000000000003E-2</v>
      </c>
      <c r="S184" s="9">
        <f t="shared" ca="1" si="24"/>
        <v>1.0150000000000006</v>
      </c>
      <c r="T184" s="8">
        <v>0.01</v>
      </c>
      <c r="U184" s="9">
        <f t="shared" ca="1" si="25"/>
        <v>0.27984999999999971</v>
      </c>
      <c r="V184" s="7">
        <f t="shared" ca="1" si="26"/>
        <v>27.70515</v>
      </c>
      <c r="W184" s="7">
        <f t="shared" ca="1" si="27"/>
        <v>0</v>
      </c>
      <c r="X184" s="5" t="str">
        <f t="shared" ca="1" si="35"/>
        <v>Facebook</v>
      </c>
      <c r="Y184" s="78" t="str">
        <f>IF(COUNTIF($C$1:C183,B183)=1,10,"")</f>
        <v/>
      </c>
    </row>
    <row r="185" spans="1:25" x14ac:dyDescent="0.3">
      <c r="A185" s="76">
        <v>184</v>
      </c>
      <c r="B185" s="6">
        <v>46045</v>
      </c>
      <c r="C185" s="6">
        <v>46048</v>
      </c>
      <c r="D185" s="17" t="str">
        <f t="shared" si="28"/>
        <v>January</v>
      </c>
      <c r="E185" s="5" t="str">
        <f t="shared" ca="1" si="29"/>
        <v>STU-242</v>
      </c>
      <c r="F185" s="5" t="str">
        <f ca="1">IF(COUNTIF($E$2:E185,E185)=1,"New Customer","Returning Customer")</f>
        <v>New Customer</v>
      </c>
      <c r="G185" s="5" t="str">
        <f t="shared" ca="1" si="30"/>
        <v>Male</v>
      </c>
      <c r="H185" s="5" t="s">
        <v>138</v>
      </c>
      <c r="I185" s="5" t="str" cm="1">
        <f t="array" aca="1" ref="I185" ca="1">INDEX(Courses!$B$9:$B$16,RANDBETWEEN(1,8))</f>
        <v>PowerPoint</v>
      </c>
      <c r="J185" s="5" t="str">
        <f ca="1">VLOOKUP(I185,Courses!$B$9:$C$16,2,0)</f>
        <v>Microsoft Office</v>
      </c>
      <c r="K185" s="7">
        <f ca="1">VLOOKUP(I185,Courses!$B$9:$D$16,3,0)</f>
        <v>29</v>
      </c>
      <c r="L185" s="5" t="str">
        <f t="shared" ca="1" si="31"/>
        <v>Pending</v>
      </c>
      <c r="M185" s="8" t="str" cm="1">
        <f t="array" aca="1" ref="M185" ca="1">INDEX('Payment Method'!$A$8:$A$12,RANDBETWEEN(1,5))</f>
        <v>Mastercard Credit</v>
      </c>
      <c r="N185" s="7">
        <f>IFERROR(SUMIF(Holiday!$A$8:$A$11,B185,Holiday!$C$8:$C$11),0)</f>
        <v>0</v>
      </c>
      <c r="O185" s="7">
        <f t="shared" ca="1" si="32"/>
        <v>29</v>
      </c>
      <c r="P185" s="19">
        <f t="shared" ca="1" si="33"/>
        <v>27.984999999999999</v>
      </c>
      <c r="Q185" s="7">
        <f t="shared" ca="1" si="34"/>
        <v>27.70515</v>
      </c>
      <c r="R185" s="8">
        <f ca="1">VLOOKUP(M185,'Payment Method'!$A$8:$B$12,2,0)</f>
        <v>3.5000000000000003E-2</v>
      </c>
      <c r="S185" s="9">
        <f t="shared" ca="1" si="24"/>
        <v>1.0150000000000006</v>
      </c>
      <c r="T185" s="8">
        <v>0.01</v>
      </c>
      <c r="U185" s="9">
        <f t="shared" ca="1" si="25"/>
        <v>0.27984999999999971</v>
      </c>
      <c r="V185" s="7">
        <f t="shared" ca="1" si="26"/>
        <v>0</v>
      </c>
      <c r="W185" s="7">
        <f t="shared" ca="1" si="27"/>
        <v>0</v>
      </c>
      <c r="X185" s="5" t="str">
        <f t="shared" ca="1" si="35"/>
        <v>Facebook</v>
      </c>
      <c r="Y185" s="78" t="str">
        <f>IF(COUNTIF($C$1:C184,B184)=1,10,"")</f>
        <v/>
      </c>
    </row>
    <row r="186" spans="1:25" x14ac:dyDescent="0.3">
      <c r="A186" s="75">
        <v>185</v>
      </c>
      <c r="B186" s="6">
        <v>46203</v>
      </c>
      <c r="C186" s="6">
        <v>46208</v>
      </c>
      <c r="D186" s="17" t="str">
        <f t="shared" si="28"/>
        <v>July</v>
      </c>
      <c r="E186" s="5" t="str">
        <f t="shared" ca="1" si="29"/>
        <v>STU-989</v>
      </c>
      <c r="F186" s="5" t="str">
        <f ca="1">IF(COUNTIF($E$2:E186,E186)=1,"New Customer","Returning Customer")</f>
        <v>New Customer</v>
      </c>
      <c r="G186" s="5" t="str">
        <f t="shared" ca="1" si="30"/>
        <v>Male</v>
      </c>
      <c r="H186" s="5" t="s">
        <v>138</v>
      </c>
      <c r="I186" s="5" t="str" cm="1">
        <f t="array" aca="1" ref="I186" ca="1">INDEX(Courses!$B$9:$B$16,RANDBETWEEN(1,8))</f>
        <v>Complete Excel Course</v>
      </c>
      <c r="J186" s="5" t="str">
        <f ca="1">VLOOKUP(I186,Courses!$B$9:$C$16,2,0)</f>
        <v>Microsoft Office</v>
      </c>
      <c r="K186" s="7">
        <f ca="1">VLOOKUP(I186,Courses!$B$9:$D$16,3,0)</f>
        <v>59</v>
      </c>
      <c r="L186" s="5" t="str">
        <f t="shared" ca="1" si="31"/>
        <v>Paid</v>
      </c>
      <c r="M186" s="8" t="str" cm="1">
        <f t="array" aca="1" ref="M186" ca="1">INDEX('Payment Method'!$A$8:$A$12,RANDBETWEEN(1,5))</f>
        <v>Visa Debit</v>
      </c>
      <c r="N186" s="7">
        <f>IFERROR(SUMIF(Holiday!$A$8:$A$11,B186,Holiday!$C$8:$C$11),0)</f>
        <v>0</v>
      </c>
      <c r="O186" s="7">
        <f t="shared" ca="1" si="32"/>
        <v>59</v>
      </c>
      <c r="P186" s="19">
        <f t="shared" ca="1" si="33"/>
        <v>57.82</v>
      </c>
      <c r="Q186" s="7">
        <f t="shared" ca="1" si="34"/>
        <v>0</v>
      </c>
      <c r="R186" s="8">
        <f ca="1">VLOOKUP(M186,'Payment Method'!$A$8:$B$12,2,0)</f>
        <v>0.02</v>
      </c>
      <c r="S186" s="9">
        <f t="shared" ca="1" si="24"/>
        <v>1.1799999999999997</v>
      </c>
      <c r="T186" s="8">
        <v>0.01</v>
      </c>
      <c r="U186" s="9">
        <f t="shared" ca="1" si="25"/>
        <v>0.57820000000000249</v>
      </c>
      <c r="V186" s="7">
        <f t="shared" ca="1" si="26"/>
        <v>0</v>
      </c>
      <c r="W186" s="7">
        <f t="shared" ca="1" si="27"/>
        <v>57.241799999999998</v>
      </c>
      <c r="X186" s="5" t="str">
        <f t="shared" ca="1" si="35"/>
        <v>Tiktok</v>
      </c>
      <c r="Y186" s="78" t="str">
        <f>IF(COUNTIF($C$1:C185,B185)=1,10,"")</f>
        <v/>
      </c>
    </row>
    <row r="187" spans="1:25" x14ac:dyDescent="0.3">
      <c r="A187" s="76">
        <v>186</v>
      </c>
      <c r="B187" s="6">
        <v>46121</v>
      </c>
      <c r="C187" s="6">
        <v>46121</v>
      </c>
      <c r="D187" s="17" t="str">
        <f t="shared" si="28"/>
        <v>April</v>
      </c>
      <c r="E187" s="5" t="str">
        <f t="shared" ca="1" si="29"/>
        <v>STU-2</v>
      </c>
      <c r="F187" s="5" t="str">
        <f ca="1">IF(COUNTIF($E$2:E187,E187)=1,"New Customer","Returning Customer")</f>
        <v>Returning Customer</v>
      </c>
      <c r="G187" s="5" t="str">
        <f t="shared" ca="1" si="30"/>
        <v>Female</v>
      </c>
      <c r="H187" s="5" t="s">
        <v>140</v>
      </c>
      <c r="I187" s="5" t="str" cm="1">
        <f t="array" aca="1" ref="I187" ca="1">INDEX(Courses!$B$9:$B$16,RANDBETWEEN(1,8))</f>
        <v>Excel Basics</v>
      </c>
      <c r="J187" s="5" t="str">
        <f ca="1">VLOOKUP(I187,Courses!$B$9:$C$16,2,0)</f>
        <v>Microsoft Office</v>
      </c>
      <c r="K187" s="7">
        <f ca="1">VLOOKUP(I187,Courses!$B$9:$D$16,3,0)</f>
        <v>29</v>
      </c>
      <c r="L187" s="5" t="str">
        <f t="shared" ca="1" si="31"/>
        <v>Pending</v>
      </c>
      <c r="M187" s="8" t="str" cm="1">
        <f t="array" aca="1" ref="M187" ca="1">INDEX('Payment Method'!$A$8:$A$12,RANDBETWEEN(1,5))</f>
        <v>Bank Transfer</v>
      </c>
      <c r="N187" s="7">
        <f>IFERROR(SUMIF(Holiday!$A$8:$A$11,B187,Holiday!$C$8:$C$11),0)</f>
        <v>0</v>
      </c>
      <c r="O187" s="7">
        <f t="shared" ca="1" si="32"/>
        <v>29</v>
      </c>
      <c r="P187" s="19">
        <f t="shared" ca="1" si="33"/>
        <v>29</v>
      </c>
      <c r="Q187" s="7">
        <f t="shared" ca="1" si="34"/>
        <v>28.71</v>
      </c>
      <c r="R187" s="8">
        <f ca="1">VLOOKUP(M187,'Payment Method'!$A$8:$B$12,2,0)</f>
        <v>0</v>
      </c>
      <c r="S187" s="9">
        <f t="shared" ca="1" si="24"/>
        <v>0</v>
      </c>
      <c r="T187" s="8">
        <v>0.01</v>
      </c>
      <c r="U187" s="9">
        <f t="shared" ca="1" si="25"/>
        <v>0.28999999999999915</v>
      </c>
      <c r="V187" s="7">
        <f t="shared" ca="1" si="26"/>
        <v>0</v>
      </c>
      <c r="W187" s="7">
        <f t="shared" ca="1" si="27"/>
        <v>0</v>
      </c>
      <c r="X187" s="5" t="str">
        <f t="shared" ca="1" si="35"/>
        <v>Tiktok</v>
      </c>
      <c r="Y187" s="78">
        <f>IF(COUNTIF($C$1:C186,B186)=1,10,"")</f>
        <v>10</v>
      </c>
    </row>
    <row r="188" spans="1:25" x14ac:dyDescent="0.3">
      <c r="A188" s="75">
        <v>187</v>
      </c>
      <c r="B188" s="6">
        <v>46229</v>
      </c>
      <c r="C188" s="6">
        <v>46229</v>
      </c>
      <c r="D188" s="17" t="str">
        <f t="shared" si="28"/>
        <v>July</v>
      </c>
      <c r="E188" s="5" t="str">
        <f t="shared" ca="1" si="29"/>
        <v>STU-66</v>
      </c>
      <c r="F188" s="5" t="str">
        <f ca="1">IF(COUNTIF($E$2:E188,E188)=1,"New Customer","Returning Customer")</f>
        <v>New Customer</v>
      </c>
      <c r="G188" s="5" t="str">
        <f t="shared" ca="1" si="30"/>
        <v>Female</v>
      </c>
      <c r="H188" s="5" t="s">
        <v>140</v>
      </c>
      <c r="I188" s="5" t="str" cm="1">
        <f t="array" aca="1" ref="I188" ca="1">INDEX(Courses!$B$9:$B$16,RANDBETWEEN(1,8))</f>
        <v>Adolescent Psychology</v>
      </c>
      <c r="J188" s="5" t="str">
        <f ca="1">VLOOKUP(I188,Courses!$B$9:$C$16,2,0)</f>
        <v>Psychology</v>
      </c>
      <c r="K188" s="7">
        <f ca="1">VLOOKUP(I188,Courses!$B$9:$D$16,3,0)</f>
        <v>29</v>
      </c>
      <c r="L188" s="5" t="str">
        <f t="shared" ca="1" si="31"/>
        <v>Paid</v>
      </c>
      <c r="M188" s="8" t="str" cm="1">
        <f t="array" aca="1" ref="M188" ca="1">INDEX('Payment Method'!$A$8:$A$12,RANDBETWEEN(1,5))</f>
        <v>Mastercard Debit</v>
      </c>
      <c r="N188" s="7">
        <f>IFERROR(SUMIF(Holiday!$A$8:$A$11,B188,Holiday!$C$8:$C$11),0)</f>
        <v>0</v>
      </c>
      <c r="O188" s="7">
        <f t="shared" ca="1" si="32"/>
        <v>29</v>
      </c>
      <c r="P188" s="19">
        <f t="shared" ca="1" si="33"/>
        <v>28.42</v>
      </c>
      <c r="Q188" s="7">
        <f t="shared" ca="1" si="34"/>
        <v>0</v>
      </c>
      <c r="R188" s="8">
        <f ca="1">VLOOKUP(M188,'Payment Method'!$A$8:$B$12,2,0)</f>
        <v>0.02</v>
      </c>
      <c r="S188" s="9">
        <f t="shared" ca="1" si="24"/>
        <v>0.57999999999999829</v>
      </c>
      <c r="T188" s="8">
        <v>0.01</v>
      </c>
      <c r="U188" s="9">
        <f t="shared" ca="1" si="25"/>
        <v>0.28419999999999845</v>
      </c>
      <c r="V188" s="7">
        <f t="shared" ca="1" si="26"/>
        <v>0</v>
      </c>
      <c r="W188" s="7">
        <f t="shared" ca="1" si="27"/>
        <v>28.135800000000003</v>
      </c>
      <c r="X188" s="5" t="str">
        <f t="shared" ca="1" si="35"/>
        <v>Facebook</v>
      </c>
      <c r="Y188" s="78" t="str">
        <f>IF(COUNTIF($C$1:C187,B187)=1,10,"")</f>
        <v/>
      </c>
    </row>
    <row r="189" spans="1:25" x14ac:dyDescent="0.3">
      <c r="A189" s="76">
        <v>188</v>
      </c>
      <c r="B189" s="6">
        <v>46203</v>
      </c>
      <c r="C189" s="6">
        <v>46203</v>
      </c>
      <c r="D189" s="17" t="str">
        <f t="shared" si="28"/>
        <v>June</v>
      </c>
      <c r="E189" s="5" t="str">
        <f t="shared" ca="1" si="29"/>
        <v>STU-216</v>
      </c>
      <c r="F189" s="5" t="str">
        <f ca="1">IF(COUNTIF($E$2:E189,E189)=1,"New Customer","Returning Customer")</f>
        <v>New Customer</v>
      </c>
      <c r="G189" s="5" t="str">
        <f t="shared" ca="1" si="30"/>
        <v>Male</v>
      </c>
      <c r="H189" s="5" t="s">
        <v>142</v>
      </c>
      <c r="I189" s="5" t="str" cm="1">
        <f t="array" aca="1" ref="I189" ca="1">INDEX(Courses!$B$9:$B$16,RANDBETWEEN(1,8))</f>
        <v>Adolescent Psychology</v>
      </c>
      <c r="J189" s="5" t="str">
        <f ca="1">VLOOKUP(I189,Courses!$B$9:$C$16,2,0)</f>
        <v>Psychology</v>
      </c>
      <c r="K189" s="7">
        <f ca="1">VLOOKUP(I189,Courses!$B$9:$D$16,3,0)</f>
        <v>29</v>
      </c>
      <c r="L189" s="5" t="str">
        <f t="shared" ca="1" si="31"/>
        <v>Pending</v>
      </c>
      <c r="M189" s="8" t="str" cm="1">
        <f t="array" aca="1" ref="M189" ca="1">INDEX('Payment Method'!$A$8:$A$12,RANDBETWEEN(1,5))</f>
        <v>Mastercard Credit</v>
      </c>
      <c r="N189" s="7">
        <f>IFERROR(SUMIF(Holiday!$A$8:$A$11,B189,Holiday!$C$8:$C$11),0)</f>
        <v>0</v>
      </c>
      <c r="O189" s="7">
        <f t="shared" ca="1" si="32"/>
        <v>29</v>
      </c>
      <c r="P189" s="19">
        <f t="shared" ca="1" si="33"/>
        <v>27.984999999999999</v>
      </c>
      <c r="Q189" s="7">
        <f t="shared" ca="1" si="34"/>
        <v>27.70515</v>
      </c>
      <c r="R189" s="8">
        <f ca="1">VLOOKUP(M189,'Payment Method'!$A$8:$B$12,2,0)</f>
        <v>3.5000000000000003E-2</v>
      </c>
      <c r="S189" s="9">
        <f t="shared" ca="1" si="24"/>
        <v>1.0150000000000006</v>
      </c>
      <c r="T189" s="8">
        <v>0.01</v>
      </c>
      <c r="U189" s="9">
        <f t="shared" ca="1" si="25"/>
        <v>0.27984999999999971</v>
      </c>
      <c r="V189" s="7">
        <f t="shared" ca="1" si="26"/>
        <v>0</v>
      </c>
      <c r="W189" s="7">
        <f t="shared" ca="1" si="27"/>
        <v>0</v>
      </c>
      <c r="X189" s="5" t="str">
        <f t="shared" ca="1" si="35"/>
        <v>Tiktok</v>
      </c>
      <c r="Y189" s="78">
        <f>IF(COUNTIF($C$1:C188,B188)=1,10,"")</f>
        <v>10</v>
      </c>
    </row>
    <row r="190" spans="1:25" x14ac:dyDescent="0.3">
      <c r="A190" s="75">
        <v>189</v>
      </c>
      <c r="B190" s="6">
        <v>46176</v>
      </c>
      <c r="C190" s="6">
        <v>46180</v>
      </c>
      <c r="D190" s="17" t="str">
        <f t="shared" si="28"/>
        <v>June</v>
      </c>
      <c r="E190" s="5" t="str">
        <f t="shared" ca="1" si="29"/>
        <v>STU-380</v>
      </c>
      <c r="F190" s="5" t="str">
        <f ca="1">IF(COUNTIF($E$2:E190,E190)=1,"New Customer","Returning Customer")</f>
        <v>New Customer</v>
      </c>
      <c r="G190" s="5" t="str">
        <f t="shared" ca="1" si="30"/>
        <v>Female</v>
      </c>
      <c r="H190" s="5" t="s">
        <v>140</v>
      </c>
      <c r="I190" s="5" t="str" cm="1">
        <f t="array" aca="1" ref="I190" ca="1">INDEX(Courses!$B$9:$B$16,RANDBETWEEN(1,8))</f>
        <v>Complete Excel Course</v>
      </c>
      <c r="J190" s="5" t="str">
        <f ca="1">VLOOKUP(I190,Courses!$B$9:$C$16,2,0)</f>
        <v>Microsoft Office</v>
      </c>
      <c r="K190" s="7">
        <f ca="1">VLOOKUP(I190,Courses!$B$9:$D$16,3,0)</f>
        <v>59</v>
      </c>
      <c r="L190" s="5" t="str">
        <f t="shared" ca="1" si="31"/>
        <v>Paid</v>
      </c>
      <c r="M190" s="8" t="str" cm="1">
        <f t="array" aca="1" ref="M190" ca="1">INDEX('Payment Method'!$A$8:$A$12,RANDBETWEEN(1,5))</f>
        <v>Mastercard Debit</v>
      </c>
      <c r="N190" s="7">
        <f>IFERROR(SUMIF(Holiday!$A$8:$A$11,B190,Holiday!$C$8:$C$11),0)</f>
        <v>0</v>
      </c>
      <c r="O190" s="7">
        <f t="shared" ca="1" si="32"/>
        <v>59</v>
      </c>
      <c r="P190" s="19">
        <f t="shared" ca="1" si="33"/>
        <v>57.82</v>
      </c>
      <c r="Q190" s="7">
        <f t="shared" ca="1" si="34"/>
        <v>0</v>
      </c>
      <c r="R190" s="8">
        <f ca="1">VLOOKUP(M190,'Payment Method'!$A$8:$B$12,2,0)</f>
        <v>0.02</v>
      </c>
      <c r="S190" s="9">
        <f t="shared" ca="1" si="24"/>
        <v>1.1799999999999997</v>
      </c>
      <c r="T190" s="8">
        <v>0.01</v>
      </c>
      <c r="U190" s="9">
        <f t="shared" ca="1" si="25"/>
        <v>0.57820000000000249</v>
      </c>
      <c r="V190" s="7">
        <f t="shared" ca="1" si="26"/>
        <v>0</v>
      </c>
      <c r="W190" s="7">
        <f t="shared" ca="1" si="27"/>
        <v>57.241799999999998</v>
      </c>
      <c r="X190" s="5" t="str">
        <f t="shared" ca="1" si="35"/>
        <v>Instagram</v>
      </c>
      <c r="Y190" s="78" t="str">
        <f>IF(COUNTIF($C$1:C189,B189)=1,10,"")</f>
        <v/>
      </c>
    </row>
    <row r="191" spans="1:25" x14ac:dyDescent="0.3">
      <c r="A191" s="76">
        <v>190</v>
      </c>
      <c r="B191" s="6">
        <v>46072</v>
      </c>
      <c r="C191" s="6">
        <v>46072</v>
      </c>
      <c r="D191" s="17" t="str">
        <f t="shared" si="28"/>
        <v>February</v>
      </c>
      <c r="E191" s="5" t="str">
        <f t="shared" ca="1" si="29"/>
        <v>STU-556</v>
      </c>
      <c r="F191" s="5" t="str">
        <f ca="1">IF(COUNTIF($E$2:E191,E191)=1,"New Customer","Returning Customer")</f>
        <v>New Customer</v>
      </c>
      <c r="G191" s="5" t="str">
        <f t="shared" ca="1" si="30"/>
        <v>Male</v>
      </c>
      <c r="H191" s="5" t="s">
        <v>139</v>
      </c>
      <c r="I191" s="5" t="str" cm="1">
        <f t="array" aca="1" ref="I191" ca="1">INDEX(Courses!$B$9:$B$16,RANDBETWEEN(1,8))</f>
        <v>Power BI</v>
      </c>
      <c r="J191" s="5" t="str">
        <f ca="1">VLOOKUP(I191,Courses!$B$9:$C$16,2,0)</f>
        <v>Data Analytics</v>
      </c>
      <c r="K191" s="7">
        <f ca="1">VLOOKUP(I191,Courses!$B$9:$D$16,3,0)</f>
        <v>59</v>
      </c>
      <c r="L191" s="5" t="str">
        <f t="shared" ca="1" si="31"/>
        <v>Pending</v>
      </c>
      <c r="M191" s="8" t="str" cm="1">
        <f t="array" aca="1" ref="M191" ca="1">INDEX('Payment Method'!$A$8:$A$12,RANDBETWEEN(1,5))</f>
        <v>Mastercard Credit</v>
      </c>
      <c r="N191" s="7">
        <f>IFERROR(SUMIF(Holiday!$A$8:$A$11,B191,Holiday!$C$8:$C$11),0)</f>
        <v>0</v>
      </c>
      <c r="O191" s="7">
        <f t="shared" ca="1" si="32"/>
        <v>59</v>
      </c>
      <c r="P191" s="19">
        <f t="shared" ca="1" si="33"/>
        <v>56.935000000000002</v>
      </c>
      <c r="Q191" s="7">
        <f t="shared" ca="1" si="34"/>
        <v>56.365650000000002</v>
      </c>
      <c r="R191" s="8">
        <f ca="1">VLOOKUP(M191,'Payment Method'!$A$8:$B$12,2,0)</f>
        <v>3.5000000000000003E-2</v>
      </c>
      <c r="S191" s="9">
        <f t="shared" ca="1" si="24"/>
        <v>2.0649999999999977</v>
      </c>
      <c r="T191" s="8">
        <v>0.01</v>
      </c>
      <c r="U191" s="9">
        <f t="shared" ca="1" si="25"/>
        <v>0.56935000000000002</v>
      </c>
      <c r="V191" s="7">
        <f t="shared" ca="1" si="26"/>
        <v>0</v>
      </c>
      <c r="W191" s="7">
        <f t="shared" ca="1" si="27"/>
        <v>0</v>
      </c>
      <c r="X191" s="5" t="str">
        <f t="shared" ca="1" si="35"/>
        <v>Tiktok</v>
      </c>
      <c r="Y191" s="78" t="str">
        <f>IF(COUNTIF($C$1:C190,B190)=1,10,"")</f>
        <v/>
      </c>
    </row>
    <row r="192" spans="1:25" x14ac:dyDescent="0.3">
      <c r="A192" s="75">
        <v>191</v>
      </c>
      <c r="B192" s="6">
        <v>46041</v>
      </c>
      <c r="C192" s="6">
        <v>46044</v>
      </c>
      <c r="D192" s="17" t="str">
        <f t="shared" si="28"/>
        <v>January</v>
      </c>
      <c r="E192" s="5" t="str">
        <f t="shared" ca="1" si="29"/>
        <v>STU-679</v>
      </c>
      <c r="F192" s="5" t="str">
        <f ca="1">IF(COUNTIF($E$2:E192,E192)=1,"New Customer","Returning Customer")</f>
        <v>New Customer</v>
      </c>
      <c r="G192" s="5" t="str">
        <f t="shared" ca="1" si="30"/>
        <v>Male</v>
      </c>
      <c r="H192" s="5" t="s">
        <v>137</v>
      </c>
      <c r="I192" s="5" t="str" cm="1">
        <f t="array" aca="1" ref="I192" ca="1">INDEX(Courses!$B$9:$B$16,RANDBETWEEN(1,8))</f>
        <v>SQL</v>
      </c>
      <c r="J192" s="5" t="str">
        <f ca="1">VLOOKUP(I192,Courses!$B$9:$C$16,2,0)</f>
        <v>Data Analytics</v>
      </c>
      <c r="K192" s="7">
        <f ca="1">VLOOKUP(I192,Courses!$B$9:$D$16,3,0)</f>
        <v>99</v>
      </c>
      <c r="L192" s="5" t="str">
        <f t="shared" ca="1" si="31"/>
        <v>Paid</v>
      </c>
      <c r="M192" s="8" t="str" cm="1">
        <f t="array" aca="1" ref="M192" ca="1">INDEX('Payment Method'!$A$8:$A$12,RANDBETWEEN(1,5))</f>
        <v>Visa Debit</v>
      </c>
      <c r="N192" s="7">
        <f>IFERROR(SUMIF(Holiday!$A$8:$A$11,B192,Holiday!$C$8:$C$11),0)</f>
        <v>0</v>
      </c>
      <c r="O192" s="7">
        <f t="shared" ca="1" si="32"/>
        <v>99</v>
      </c>
      <c r="P192" s="19">
        <f t="shared" ca="1" si="33"/>
        <v>97.02</v>
      </c>
      <c r="Q192" s="7">
        <f t="shared" ca="1" si="34"/>
        <v>0</v>
      </c>
      <c r="R192" s="8">
        <f ca="1">VLOOKUP(M192,'Payment Method'!$A$8:$B$12,2,0)</f>
        <v>0.02</v>
      </c>
      <c r="S192" s="9">
        <f t="shared" ca="1" si="24"/>
        <v>1.980000000000004</v>
      </c>
      <c r="T192" s="8">
        <v>0.01</v>
      </c>
      <c r="U192" s="9">
        <f t="shared" ca="1" si="25"/>
        <v>0.9702000000000055</v>
      </c>
      <c r="V192" s="7">
        <f t="shared" ca="1" si="26"/>
        <v>0</v>
      </c>
      <c r="W192" s="7">
        <f t="shared" ca="1" si="27"/>
        <v>96.049799999999991</v>
      </c>
      <c r="X192" s="5" t="str">
        <f t="shared" ca="1" si="35"/>
        <v>Tiktok</v>
      </c>
      <c r="Y192" s="78">
        <f>IF(COUNTIF($C$1:C191,B191)=1,10,"")</f>
        <v>10</v>
      </c>
    </row>
    <row r="193" spans="1:25" x14ac:dyDescent="0.3">
      <c r="A193" s="76">
        <v>192</v>
      </c>
      <c r="B193" s="6">
        <v>46047</v>
      </c>
      <c r="C193" s="6">
        <v>46048</v>
      </c>
      <c r="D193" s="17" t="str">
        <f t="shared" si="28"/>
        <v>January</v>
      </c>
      <c r="E193" s="5" t="str">
        <f t="shared" ca="1" si="29"/>
        <v>STU-398</v>
      </c>
      <c r="F193" s="5" t="str">
        <f ca="1">IF(COUNTIF($E$2:E193,E193)=1,"New Customer","Returning Customer")</f>
        <v>Returning Customer</v>
      </c>
      <c r="G193" s="5" t="str">
        <f t="shared" ca="1" si="30"/>
        <v>Male</v>
      </c>
      <c r="H193" s="5" t="s">
        <v>142</v>
      </c>
      <c r="I193" s="5" t="str" cm="1">
        <f t="array" aca="1" ref="I193" ca="1">INDEX(Courses!$B$9:$B$16,RANDBETWEEN(1,8))</f>
        <v>Tax Code</v>
      </c>
      <c r="J193" s="5" t="str">
        <f ca="1">VLOOKUP(I193,Courses!$B$9:$C$16,2,0)</f>
        <v>Finance &amp; Taxation</v>
      </c>
      <c r="K193" s="7">
        <f ca="1">VLOOKUP(I193,Courses!$B$9:$D$16,3,0)</f>
        <v>59</v>
      </c>
      <c r="L193" s="5" t="str">
        <f t="shared" ca="1" si="31"/>
        <v>Paid</v>
      </c>
      <c r="M193" s="8" t="str" cm="1">
        <f t="array" aca="1" ref="M193" ca="1">INDEX('Payment Method'!$A$8:$A$12,RANDBETWEEN(1,5))</f>
        <v>Mastercard Credit</v>
      </c>
      <c r="N193" s="7">
        <f>IFERROR(SUMIF(Holiday!$A$8:$A$11,B193,Holiday!$C$8:$C$11),0)</f>
        <v>0</v>
      </c>
      <c r="O193" s="7">
        <f t="shared" ca="1" si="32"/>
        <v>59</v>
      </c>
      <c r="P193" s="19">
        <f t="shared" ca="1" si="33"/>
        <v>56.935000000000002</v>
      </c>
      <c r="Q193" s="7">
        <f t="shared" ca="1" si="34"/>
        <v>0</v>
      </c>
      <c r="R193" s="8">
        <f ca="1">VLOOKUP(M193,'Payment Method'!$A$8:$B$12,2,0)</f>
        <v>3.5000000000000003E-2</v>
      </c>
      <c r="S193" s="9">
        <f t="shared" ca="1" si="24"/>
        <v>2.0649999999999977</v>
      </c>
      <c r="T193" s="8">
        <v>0.01</v>
      </c>
      <c r="U193" s="9">
        <f t="shared" ca="1" si="25"/>
        <v>0.56935000000000002</v>
      </c>
      <c r="V193" s="7">
        <f t="shared" ca="1" si="26"/>
        <v>0</v>
      </c>
      <c r="W193" s="7">
        <f t="shared" ca="1" si="27"/>
        <v>56.365650000000002</v>
      </c>
      <c r="X193" s="5" t="str">
        <f t="shared" ca="1" si="35"/>
        <v>Instagram</v>
      </c>
      <c r="Y193" s="78">
        <f>IF(COUNTIF($C$1:C192,B192)=1,10,"")</f>
        <v>10</v>
      </c>
    </row>
    <row r="194" spans="1:25" x14ac:dyDescent="0.3">
      <c r="A194" s="75">
        <v>193</v>
      </c>
      <c r="B194" s="6">
        <v>46135</v>
      </c>
      <c r="C194" s="6">
        <v>46139</v>
      </c>
      <c r="D194" s="17" t="str">
        <f t="shared" si="28"/>
        <v>April</v>
      </c>
      <c r="E194" s="5" t="str">
        <f t="shared" ca="1" si="29"/>
        <v>STU-182</v>
      </c>
      <c r="F194" s="5" t="str">
        <f ca="1">IF(COUNTIF($E$2:E194,E194)=1,"New Customer","Returning Customer")</f>
        <v>New Customer</v>
      </c>
      <c r="G194" s="5" t="str">
        <f t="shared" ca="1" si="30"/>
        <v>Female</v>
      </c>
      <c r="H194" s="5" t="s">
        <v>137</v>
      </c>
      <c r="I194" s="5" t="str" cm="1">
        <f t="array" aca="1" ref="I194" ca="1">INDEX(Courses!$B$9:$B$16,RANDBETWEEN(1,8))</f>
        <v>Excel Basics</v>
      </c>
      <c r="J194" s="5" t="str">
        <f ca="1">VLOOKUP(I194,Courses!$B$9:$C$16,2,0)</f>
        <v>Microsoft Office</v>
      </c>
      <c r="K194" s="7">
        <f ca="1">VLOOKUP(I194,Courses!$B$9:$D$16,3,0)</f>
        <v>29</v>
      </c>
      <c r="L194" s="5" t="str">
        <f t="shared" ca="1" si="31"/>
        <v>Refunded</v>
      </c>
      <c r="M194" s="8" t="str" cm="1">
        <f t="array" aca="1" ref="M194" ca="1">INDEX('Payment Method'!$A$8:$A$12,RANDBETWEEN(1,5))</f>
        <v>Mastercard Credit</v>
      </c>
      <c r="N194" s="7">
        <f>IFERROR(SUMIF(Holiday!$A$8:$A$11,B194,Holiday!$C$8:$C$11),0)</f>
        <v>0</v>
      </c>
      <c r="O194" s="7">
        <f t="shared" ca="1" si="32"/>
        <v>29</v>
      </c>
      <c r="P194" s="19">
        <f t="shared" ca="1" si="33"/>
        <v>27.984999999999999</v>
      </c>
      <c r="Q194" s="7">
        <f t="shared" ca="1" si="34"/>
        <v>0</v>
      </c>
      <c r="R194" s="8">
        <f ca="1">VLOOKUP(M194,'Payment Method'!$A$8:$B$12,2,0)</f>
        <v>3.5000000000000003E-2</v>
      </c>
      <c r="S194" s="9">
        <f t="shared" ref="S194:S257" ca="1" si="36">O194-(O194-O194*R194)</f>
        <v>1.0150000000000006</v>
      </c>
      <c r="T194" s="8">
        <v>0.01</v>
      </c>
      <c r="U194" s="9">
        <f t="shared" ref="U194:U257" ca="1" si="37">O194-S194-((O194-S194)-(O194-S194)*T194)</f>
        <v>0.27984999999999971</v>
      </c>
      <c r="V194" s="7">
        <f t="shared" ref="V194:V257" ca="1" si="38">IF(L194="refunded",(K194-K194*N194)-(K194-K194*N194)*R194-((K194-K194*N194)-(K194-K194*N194)*R194)*T194,0)</f>
        <v>27.70515</v>
      </c>
      <c r="W194" s="7">
        <f t="shared" ref="W194:W257" ca="1" si="39">IF(L194="paid",(K194-K194*N194)-(K194-K194*N194)*R194-((K194-K194*N194)-(K194-K194*N194)*R194)*T194,0)</f>
        <v>0</v>
      </c>
      <c r="X194" s="5" t="str">
        <f t="shared" ca="1" si="35"/>
        <v>Tiktok</v>
      </c>
      <c r="Y194" s="78">
        <f>IF(COUNTIF($C$1:C193,B193)=1,10,"")</f>
        <v>10</v>
      </c>
    </row>
    <row r="195" spans="1:25" x14ac:dyDescent="0.3">
      <c r="A195" s="76">
        <v>194</v>
      </c>
      <c r="B195" s="6">
        <v>46161</v>
      </c>
      <c r="C195" s="6">
        <v>46165</v>
      </c>
      <c r="D195" s="17" t="str">
        <f t="shared" ref="D195:D258" si="40">TEXT(C195,"mmmm")</f>
        <v>May</v>
      </c>
      <c r="E195" s="5" t="str">
        <f t="shared" ref="E195:E258" ca="1" si="41">"STU-"&amp;RANDBETWEEN(1,1000)</f>
        <v>STU-638</v>
      </c>
      <c r="F195" s="5" t="str">
        <f ca="1">IF(COUNTIF($E$2:E195,E195)=1,"New Customer","Returning Customer")</f>
        <v>New Customer</v>
      </c>
      <c r="G195" s="5" t="str">
        <f t="shared" ref="G195:G258" ca="1" si="42">CHOOSE(RANDBETWEEN(1,3),"Male","Female","Not specified")</f>
        <v>Female</v>
      </c>
      <c r="H195" s="5" t="s">
        <v>141</v>
      </c>
      <c r="I195" s="5" t="str" cm="1">
        <f t="array" aca="1" ref="I195" ca="1">INDEX(Courses!$B$9:$B$16,RANDBETWEEN(1,8))</f>
        <v>Complete Excel Course</v>
      </c>
      <c r="J195" s="5" t="str">
        <f ca="1">VLOOKUP(I195,Courses!$B$9:$C$16,2,0)</f>
        <v>Microsoft Office</v>
      </c>
      <c r="K195" s="7">
        <f ca="1">VLOOKUP(I195,Courses!$B$9:$D$16,3,0)</f>
        <v>59</v>
      </c>
      <c r="L195" s="5" t="str">
        <f t="shared" ref="L195:L258" ca="1" si="43">IF(RAND()&lt;0.6,"Paid",IF(RAND()&lt;0.75,"Pending","Refunded"))</f>
        <v>Paid</v>
      </c>
      <c r="M195" s="8" t="str" cm="1">
        <f t="array" aca="1" ref="M195" ca="1">INDEX('Payment Method'!$A$8:$A$12,RANDBETWEEN(1,5))</f>
        <v>Visa Debit</v>
      </c>
      <c r="N195" s="7">
        <f>IFERROR(SUMIF(Holiday!$A$8:$A$11,B195,Holiday!$C$8:$C$11),0)</f>
        <v>0</v>
      </c>
      <c r="O195" s="7">
        <f t="shared" ref="O195:O258" ca="1" si="44">K195-K195*N195</f>
        <v>59</v>
      </c>
      <c r="P195" s="19">
        <f t="shared" ref="P195:P258" ca="1" si="45">O195-S195</f>
        <v>57.82</v>
      </c>
      <c r="Q195" s="7">
        <f t="shared" ref="Q195:Q258" ca="1" si="46">IF(L195="pending",(K195-K195*N195)-(K195-K195*N195)*R195-((K195-K195*N195)-(K195-K195*N195)*R195)*T195,0)</f>
        <v>0</v>
      </c>
      <c r="R195" s="8">
        <f ca="1">VLOOKUP(M195,'Payment Method'!$A$8:$B$12,2,0)</f>
        <v>0.02</v>
      </c>
      <c r="S195" s="9">
        <f t="shared" ca="1" si="36"/>
        <v>1.1799999999999997</v>
      </c>
      <c r="T195" s="8">
        <v>0.01</v>
      </c>
      <c r="U195" s="9">
        <f t="shared" ca="1" si="37"/>
        <v>0.57820000000000249</v>
      </c>
      <c r="V195" s="7">
        <f t="shared" ca="1" si="38"/>
        <v>0</v>
      </c>
      <c r="W195" s="7">
        <f t="shared" ca="1" si="39"/>
        <v>57.241799999999998</v>
      </c>
      <c r="X195" s="5" t="str">
        <f t="shared" ref="X195:X258" ca="1" si="47">CHOOSE(RANDBETWEEN(1,3),"Facebook","Instagram","Tiktok")</f>
        <v>Tiktok</v>
      </c>
      <c r="Y195" s="78">
        <f>IF(COUNTIF($C$1:C194,B194)=1,10,"")</f>
        <v>10</v>
      </c>
    </row>
    <row r="196" spans="1:25" x14ac:dyDescent="0.3">
      <c r="A196" s="75">
        <v>195</v>
      </c>
      <c r="B196" s="6">
        <v>46151</v>
      </c>
      <c r="C196" s="6">
        <v>46155</v>
      </c>
      <c r="D196" s="17" t="str">
        <f t="shared" si="40"/>
        <v>May</v>
      </c>
      <c r="E196" s="5" t="str">
        <f t="shared" ca="1" si="41"/>
        <v>STU-567</v>
      </c>
      <c r="F196" s="5" t="str">
        <f ca="1">IF(COUNTIF($E$2:E196,E196)=1,"New Customer","Returning Customer")</f>
        <v>New Customer</v>
      </c>
      <c r="G196" s="5" t="str">
        <f t="shared" ca="1" si="42"/>
        <v>Not specified</v>
      </c>
      <c r="H196" s="5" t="s">
        <v>135</v>
      </c>
      <c r="I196" s="5" t="str" cm="1">
        <f t="array" aca="1" ref="I196" ca="1">INDEX(Courses!$B$9:$B$16,RANDBETWEEN(1,8))</f>
        <v>SQL</v>
      </c>
      <c r="J196" s="5" t="str">
        <f ca="1">VLOOKUP(I196,Courses!$B$9:$C$16,2,0)</f>
        <v>Data Analytics</v>
      </c>
      <c r="K196" s="7">
        <f ca="1">VLOOKUP(I196,Courses!$B$9:$D$16,3,0)</f>
        <v>99</v>
      </c>
      <c r="L196" s="5" t="str">
        <f t="shared" ca="1" si="43"/>
        <v>Paid</v>
      </c>
      <c r="M196" s="8" t="str" cm="1">
        <f t="array" aca="1" ref="M196" ca="1">INDEX('Payment Method'!$A$8:$A$12,RANDBETWEEN(1,5))</f>
        <v>Visa Credit</v>
      </c>
      <c r="N196" s="7">
        <f>IFERROR(SUMIF(Holiday!$A$8:$A$11,B196,Holiday!$C$8:$C$11),0)</f>
        <v>0</v>
      </c>
      <c r="O196" s="7">
        <f t="shared" ca="1" si="44"/>
        <v>99</v>
      </c>
      <c r="P196" s="19">
        <f t="shared" ca="1" si="45"/>
        <v>95.534999999999997</v>
      </c>
      <c r="Q196" s="7">
        <f t="shared" ca="1" si="46"/>
        <v>0</v>
      </c>
      <c r="R196" s="8">
        <f ca="1">VLOOKUP(M196,'Payment Method'!$A$8:$B$12,2,0)</f>
        <v>3.5000000000000003E-2</v>
      </c>
      <c r="S196" s="9">
        <f t="shared" ca="1" si="36"/>
        <v>3.4650000000000034</v>
      </c>
      <c r="T196" s="8">
        <v>0.01</v>
      </c>
      <c r="U196" s="9">
        <f t="shared" ca="1" si="37"/>
        <v>0.9553499999999957</v>
      </c>
      <c r="V196" s="7">
        <f t="shared" ca="1" si="38"/>
        <v>0</v>
      </c>
      <c r="W196" s="7">
        <f t="shared" ca="1" si="39"/>
        <v>94.579650000000001</v>
      </c>
      <c r="X196" s="5" t="str">
        <f t="shared" ca="1" si="47"/>
        <v>Tiktok</v>
      </c>
      <c r="Y196" s="78">
        <f>IF(COUNTIF($C$1:C195,B195)=1,10,"")</f>
        <v>10</v>
      </c>
    </row>
    <row r="197" spans="1:25" x14ac:dyDescent="0.3">
      <c r="A197" s="76">
        <v>196</v>
      </c>
      <c r="B197" s="6">
        <v>46193</v>
      </c>
      <c r="C197" s="6">
        <v>46198</v>
      </c>
      <c r="D197" s="17" t="str">
        <f t="shared" si="40"/>
        <v>June</v>
      </c>
      <c r="E197" s="5" t="str">
        <f t="shared" ca="1" si="41"/>
        <v>STU-160</v>
      </c>
      <c r="F197" s="5" t="str">
        <f ca="1">IF(COUNTIF($E$2:E197,E197)=1,"New Customer","Returning Customer")</f>
        <v>New Customer</v>
      </c>
      <c r="G197" s="5" t="str">
        <f t="shared" ca="1" si="42"/>
        <v>Female</v>
      </c>
      <c r="H197" s="5" t="s">
        <v>135</v>
      </c>
      <c r="I197" s="5" t="str" cm="1">
        <f t="array" aca="1" ref="I197" ca="1">INDEX(Courses!$B$9:$B$16,RANDBETWEEN(1,8))</f>
        <v>Complete Excel Course</v>
      </c>
      <c r="J197" s="5" t="str">
        <f ca="1">VLOOKUP(I197,Courses!$B$9:$C$16,2,0)</f>
        <v>Microsoft Office</v>
      </c>
      <c r="K197" s="7">
        <f ca="1">VLOOKUP(I197,Courses!$B$9:$D$16,3,0)</f>
        <v>59</v>
      </c>
      <c r="L197" s="5" t="str">
        <f t="shared" ca="1" si="43"/>
        <v>Paid</v>
      </c>
      <c r="M197" s="8" t="str" cm="1">
        <f t="array" aca="1" ref="M197" ca="1">INDEX('Payment Method'!$A$8:$A$12,RANDBETWEEN(1,5))</f>
        <v>Visa Credit</v>
      </c>
      <c r="N197" s="7">
        <f>IFERROR(SUMIF(Holiday!$A$8:$A$11,B197,Holiday!$C$8:$C$11),0)</f>
        <v>0</v>
      </c>
      <c r="O197" s="7">
        <f t="shared" ca="1" si="44"/>
        <v>59</v>
      </c>
      <c r="P197" s="19">
        <f t="shared" ca="1" si="45"/>
        <v>56.935000000000002</v>
      </c>
      <c r="Q197" s="7">
        <f t="shared" ca="1" si="46"/>
        <v>0</v>
      </c>
      <c r="R197" s="8">
        <f ca="1">VLOOKUP(M197,'Payment Method'!$A$8:$B$12,2,0)</f>
        <v>3.5000000000000003E-2</v>
      </c>
      <c r="S197" s="9">
        <f t="shared" ca="1" si="36"/>
        <v>2.0649999999999977</v>
      </c>
      <c r="T197" s="8">
        <v>0.01</v>
      </c>
      <c r="U197" s="9">
        <f t="shared" ca="1" si="37"/>
        <v>0.56935000000000002</v>
      </c>
      <c r="V197" s="7">
        <f t="shared" ca="1" si="38"/>
        <v>0</v>
      </c>
      <c r="W197" s="7">
        <f t="shared" ca="1" si="39"/>
        <v>56.365650000000002</v>
      </c>
      <c r="X197" s="5" t="str">
        <f t="shared" ca="1" si="47"/>
        <v>Facebook</v>
      </c>
      <c r="Y197" s="78" t="str">
        <f>IF(COUNTIF($C$1:C196,B196)=1,10,"")</f>
        <v/>
      </c>
    </row>
    <row r="198" spans="1:25" x14ac:dyDescent="0.3">
      <c r="A198" s="75">
        <v>197</v>
      </c>
      <c r="B198" s="6">
        <v>46140</v>
      </c>
      <c r="C198" s="6">
        <v>46142</v>
      </c>
      <c r="D198" s="17" t="str">
        <f t="shared" si="40"/>
        <v>April</v>
      </c>
      <c r="E198" s="5" t="str">
        <f t="shared" ca="1" si="41"/>
        <v>STU-609</v>
      </c>
      <c r="F198" s="5" t="str">
        <f ca="1">IF(COUNTIF($E$2:E198,E198)=1,"New Customer","Returning Customer")</f>
        <v>Returning Customer</v>
      </c>
      <c r="G198" s="5" t="str">
        <f t="shared" ca="1" si="42"/>
        <v>Male</v>
      </c>
      <c r="H198" s="5" t="s">
        <v>142</v>
      </c>
      <c r="I198" s="5" t="str" cm="1">
        <f t="array" aca="1" ref="I198" ca="1">INDEX(Courses!$B$9:$B$16,RANDBETWEEN(1,8))</f>
        <v>Adolescent Psychology</v>
      </c>
      <c r="J198" s="5" t="str">
        <f ca="1">VLOOKUP(I198,Courses!$B$9:$C$16,2,0)</f>
        <v>Psychology</v>
      </c>
      <c r="K198" s="7">
        <f ca="1">VLOOKUP(I198,Courses!$B$9:$D$16,3,0)</f>
        <v>29</v>
      </c>
      <c r="L198" s="5" t="str">
        <f t="shared" ca="1" si="43"/>
        <v>Refunded</v>
      </c>
      <c r="M198" s="8" t="str" cm="1">
        <f t="array" aca="1" ref="M198" ca="1">INDEX('Payment Method'!$A$8:$A$12,RANDBETWEEN(1,5))</f>
        <v>Visa Credit</v>
      </c>
      <c r="N198" s="7">
        <f>IFERROR(SUMIF(Holiday!$A$8:$A$11,B198,Holiday!$C$8:$C$11),0)</f>
        <v>0</v>
      </c>
      <c r="O198" s="7">
        <f t="shared" ca="1" si="44"/>
        <v>29</v>
      </c>
      <c r="P198" s="19">
        <f t="shared" ca="1" si="45"/>
        <v>27.984999999999999</v>
      </c>
      <c r="Q198" s="7">
        <f t="shared" ca="1" si="46"/>
        <v>0</v>
      </c>
      <c r="R198" s="8">
        <f ca="1">VLOOKUP(M198,'Payment Method'!$A$8:$B$12,2,0)</f>
        <v>3.5000000000000003E-2</v>
      </c>
      <c r="S198" s="9">
        <f t="shared" ca="1" si="36"/>
        <v>1.0150000000000006</v>
      </c>
      <c r="T198" s="8">
        <v>0.01</v>
      </c>
      <c r="U198" s="9">
        <f t="shared" ca="1" si="37"/>
        <v>0.27984999999999971</v>
      </c>
      <c r="V198" s="7">
        <f t="shared" ca="1" si="38"/>
        <v>27.70515</v>
      </c>
      <c r="W198" s="7">
        <f t="shared" ca="1" si="39"/>
        <v>0</v>
      </c>
      <c r="X198" s="5" t="str">
        <f t="shared" ca="1" si="47"/>
        <v>Facebook</v>
      </c>
      <c r="Y198" s="78" t="str">
        <f>IF(COUNTIF($C$1:C197,B197)=1,10,"")</f>
        <v/>
      </c>
    </row>
    <row r="199" spans="1:25" x14ac:dyDescent="0.3">
      <c r="A199" s="76">
        <v>198</v>
      </c>
      <c r="B199" s="6">
        <v>46227</v>
      </c>
      <c r="C199" s="6">
        <v>46228</v>
      </c>
      <c r="D199" s="17" t="str">
        <f t="shared" si="40"/>
        <v>July</v>
      </c>
      <c r="E199" s="5" t="str">
        <f t="shared" ca="1" si="41"/>
        <v>STU-190</v>
      </c>
      <c r="F199" s="5" t="str">
        <f ca="1">IF(COUNTIF($E$2:E199,E199)=1,"New Customer","Returning Customer")</f>
        <v>Returning Customer</v>
      </c>
      <c r="G199" s="5" t="str">
        <f t="shared" ca="1" si="42"/>
        <v>Female</v>
      </c>
      <c r="H199" s="5" t="s">
        <v>142</v>
      </c>
      <c r="I199" s="5" t="str" cm="1">
        <f t="array" aca="1" ref="I199" ca="1">INDEX(Courses!$B$9:$B$16,RANDBETWEEN(1,8))</f>
        <v>PowerPoint</v>
      </c>
      <c r="J199" s="5" t="str">
        <f ca="1">VLOOKUP(I199,Courses!$B$9:$C$16,2,0)</f>
        <v>Microsoft Office</v>
      </c>
      <c r="K199" s="7">
        <f ca="1">VLOOKUP(I199,Courses!$B$9:$D$16,3,0)</f>
        <v>29</v>
      </c>
      <c r="L199" s="5" t="str">
        <f t="shared" ca="1" si="43"/>
        <v>Pending</v>
      </c>
      <c r="M199" s="8" t="str" cm="1">
        <f t="array" aca="1" ref="M199" ca="1">INDEX('Payment Method'!$A$8:$A$12,RANDBETWEEN(1,5))</f>
        <v>Mastercard Debit</v>
      </c>
      <c r="N199" s="7">
        <f>IFERROR(SUMIF(Holiday!$A$8:$A$11,B199,Holiday!$C$8:$C$11),0)</f>
        <v>0</v>
      </c>
      <c r="O199" s="7">
        <f t="shared" ca="1" si="44"/>
        <v>29</v>
      </c>
      <c r="P199" s="19">
        <f t="shared" ca="1" si="45"/>
        <v>28.42</v>
      </c>
      <c r="Q199" s="7">
        <f t="shared" ca="1" si="46"/>
        <v>28.135800000000003</v>
      </c>
      <c r="R199" s="8">
        <f ca="1">VLOOKUP(M199,'Payment Method'!$A$8:$B$12,2,0)</f>
        <v>0.02</v>
      </c>
      <c r="S199" s="9">
        <f t="shared" ca="1" si="36"/>
        <v>0.57999999999999829</v>
      </c>
      <c r="T199" s="8">
        <v>0.01</v>
      </c>
      <c r="U199" s="9">
        <f t="shared" ca="1" si="37"/>
        <v>0.28419999999999845</v>
      </c>
      <c r="V199" s="7">
        <f t="shared" ca="1" si="38"/>
        <v>0</v>
      </c>
      <c r="W199" s="7">
        <f t="shared" ca="1" si="39"/>
        <v>0</v>
      </c>
      <c r="X199" s="5" t="str">
        <f t="shared" ca="1" si="47"/>
        <v>Tiktok</v>
      </c>
      <c r="Y199" s="78">
        <f>IF(COUNTIF($C$1:C198,B198)=1,10,"")</f>
        <v>10</v>
      </c>
    </row>
    <row r="200" spans="1:25" x14ac:dyDescent="0.3">
      <c r="A200" s="75">
        <v>199</v>
      </c>
      <c r="B200" s="6">
        <v>46023</v>
      </c>
      <c r="C200" s="6">
        <v>46024</v>
      </c>
      <c r="D200" s="17" t="str">
        <f t="shared" si="40"/>
        <v>January</v>
      </c>
      <c r="E200" s="5" t="str">
        <f t="shared" ca="1" si="41"/>
        <v>STU-445</v>
      </c>
      <c r="F200" s="5" t="str">
        <f ca="1">IF(COUNTIF($E$2:E200,E200)=1,"New Customer","Returning Customer")</f>
        <v>New Customer</v>
      </c>
      <c r="G200" s="5" t="str">
        <f t="shared" ca="1" si="42"/>
        <v>Female</v>
      </c>
      <c r="H200" s="5" t="s">
        <v>138</v>
      </c>
      <c r="I200" s="5" t="str" cm="1">
        <f t="array" aca="1" ref="I200" ca="1">INDEX(Courses!$B$9:$B$16,RANDBETWEEN(1,8))</f>
        <v>Excel Basics</v>
      </c>
      <c r="J200" s="5" t="str">
        <f ca="1">VLOOKUP(I200,Courses!$B$9:$C$16,2,0)</f>
        <v>Microsoft Office</v>
      </c>
      <c r="K200" s="7">
        <f ca="1">VLOOKUP(I200,Courses!$B$9:$D$16,3,0)</f>
        <v>29</v>
      </c>
      <c r="L200" s="5" t="str">
        <f t="shared" ca="1" si="43"/>
        <v>Paid</v>
      </c>
      <c r="M200" s="8" t="str" cm="1">
        <f t="array" aca="1" ref="M200" ca="1">INDEX('Payment Method'!$A$8:$A$12,RANDBETWEEN(1,5))</f>
        <v>Mastercard Credit</v>
      </c>
      <c r="N200" s="7">
        <f>IFERROR(SUMIF(Holiday!$A$8:$A$11,B200,Holiday!$C$8:$C$11),0)</f>
        <v>20</v>
      </c>
      <c r="O200" s="7">
        <f t="shared" ca="1" si="44"/>
        <v>-551</v>
      </c>
      <c r="P200" s="19">
        <f t="shared" ca="1" si="45"/>
        <v>-531.71500000000003</v>
      </c>
      <c r="Q200" s="7">
        <f t="shared" ca="1" si="46"/>
        <v>0</v>
      </c>
      <c r="R200" s="8">
        <f ca="1">VLOOKUP(M200,'Payment Method'!$A$8:$B$12,2,0)</f>
        <v>3.5000000000000003E-2</v>
      </c>
      <c r="S200" s="9">
        <f t="shared" ca="1" si="36"/>
        <v>-19.284999999999968</v>
      </c>
      <c r="T200" s="8">
        <v>0.01</v>
      </c>
      <c r="U200" s="9">
        <f t="shared" ca="1" si="37"/>
        <v>-5.3171499999999696</v>
      </c>
      <c r="V200" s="7">
        <f t="shared" ca="1" si="38"/>
        <v>0</v>
      </c>
      <c r="W200" s="7">
        <f t="shared" ca="1" si="39"/>
        <v>-526.39785000000006</v>
      </c>
      <c r="X200" s="5" t="str">
        <f t="shared" ca="1" si="47"/>
        <v>Tiktok</v>
      </c>
      <c r="Y200" s="78" t="str">
        <f>IF(COUNTIF($C$1:C199,B199)=1,10,"")</f>
        <v/>
      </c>
    </row>
    <row r="201" spans="1:25" x14ac:dyDescent="0.3">
      <c r="A201" s="76">
        <v>200</v>
      </c>
      <c r="B201" s="6">
        <v>46078</v>
      </c>
      <c r="C201" s="6">
        <v>46079</v>
      </c>
      <c r="D201" s="17" t="str">
        <f t="shared" si="40"/>
        <v>February</v>
      </c>
      <c r="E201" s="5" t="str">
        <f t="shared" ca="1" si="41"/>
        <v>STU-570</v>
      </c>
      <c r="F201" s="5" t="str">
        <f ca="1">IF(COUNTIF($E$2:E201,E201)=1,"New Customer","Returning Customer")</f>
        <v>New Customer</v>
      </c>
      <c r="G201" s="5" t="str">
        <f t="shared" ca="1" si="42"/>
        <v>Male</v>
      </c>
      <c r="H201" s="5" t="s">
        <v>140</v>
      </c>
      <c r="I201" s="5" t="str" cm="1">
        <f t="array" aca="1" ref="I201" ca="1">INDEX(Courses!$B$9:$B$16,RANDBETWEEN(1,8))</f>
        <v>Complete Excel Course</v>
      </c>
      <c r="J201" s="5" t="str">
        <f ca="1">VLOOKUP(I201,Courses!$B$9:$C$16,2,0)</f>
        <v>Microsoft Office</v>
      </c>
      <c r="K201" s="7">
        <f ca="1">VLOOKUP(I201,Courses!$B$9:$D$16,3,0)</f>
        <v>59</v>
      </c>
      <c r="L201" s="5" t="str">
        <f t="shared" ca="1" si="43"/>
        <v>Pending</v>
      </c>
      <c r="M201" s="8" t="str" cm="1">
        <f t="array" aca="1" ref="M201" ca="1">INDEX('Payment Method'!$A$8:$A$12,RANDBETWEEN(1,5))</f>
        <v>Bank Transfer</v>
      </c>
      <c r="N201" s="7">
        <f>IFERROR(SUMIF(Holiday!$A$8:$A$11,B201,Holiday!$C$8:$C$11),0)</f>
        <v>0</v>
      </c>
      <c r="O201" s="7">
        <f t="shared" ca="1" si="44"/>
        <v>59</v>
      </c>
      <c r="P201" s="19">
        <f t="shared" ca="1" si="45"/>
        <v>59</v>
      </c>
      <c r="Q201" s="7">
        <f t="shared" ca="1" si="46"/>
        <v>58.41</v>
      </c>
      <c r="R201" s="8">
        <f ca="1">VLOOKUP(M201,'Payment Method'!$A$8:$B$12,2,0)</f>
        <v>0</v>
      </c>
      <c r="S201" s="9">
        <f t="shared" ca="1" si="36"/>
        <v>0</v>
      </c>
      <c r="T201" s="8">
        <v>0.01</v>
      </c>
      <c r="U201" s="9">
        <f t="shared" ca="1" si="37"/>
        <v>0.59000000000000341</v>
      </c>
      <c r="V201" s="7">
        <f t="shared" ca="1" si="38"/>
        <v>0</v>
      </c>
      <c r="W201" s="7">
        <f t="shared" ca="1" si="39"/>
        <v>0</v>
      </c>
      <c r="X201" s="5" t="str">
        <f t="shared" ca="1" si="47"/>
        <v>Instagram</v>
      </c>
      <c r="Y201" s="78" t="str">
        <f>IF(COUNTIF($C$1:C200,B200)=1,10,"")</f>
        <v/>
      </c>
    </row>
    <row r="202" spans="1:25" x14ac:dyDescent="0.3">
      <c r="A202" s="75">
        <v>201</v>
      </c>
      <c r="B202" s="6">
        <v>46173</v>
      </c>
      <c r="C202" s="6">
        <v>46178</v>
      </c>
      <c r="D202" s="17" t="str">
        <f t="shared" si="40"/>
        <v>June</v>
      </c>
      <c r="E202" s="5" t="str">
        <f t="shared" ca="1" si="41"/>
        <v>STU-850</v>
      </c>
      <c r="F202" s="5" t="str">
        <f ca="1">IF(COUNTIF($E$2:E202,E202)=1,"New Customer","Returning Customer")</f>
        <v>New Customer</v>
      </c>
      <c r="G202" s="5" t="str">
        <f t="shared" ca="1" si="42"/>
        <v>Female</v>
      </c>
      <c r="H202" s="5" t="s">
        <v>135</v>
      </c>
      <c r="I202" s="5" t="str" cm="1">
        <f t="array" aca="1" ref="I202" ca="1">INDEX(Courses!$B$9:$B$16,RANDBETWEEN(1,8))</f>
        <v>SQL</v>
      </c>
      <c r="J202" s="5" t="str">
        <f ca="1">VLOOKUP(I202,Courses!$B$9:$C$16,2,0)</f>
        <v>Data Analytics</v>
      </c>
      <c r="K202" s="7">
        <f ca="1">VLOOKUP(I202,Courses!$B$9:$D$16,3,0)</f>
        <v>99</v>
      </c>
      <c r="L202" s="5" t="str">
        <f t="shared" ca="1" si="43"/>
        <v>Paid</v>
      </c>
      <c r="M202" s="8" t="str" cm="1">
        <f t="array" aca="1" ref="M202" ca="1">INDEX('Payment Method'!$A$8:$A$12,RANDBETWEEN(1,5))</f>
        <v>Bank Transfer</v>
      </c>
      <c r="N202" s="7">
        <f>IFERROR(SUMIF(Holiday!$A$8:$A$11,B202,Holiday!$C$8:$C$11),0)</f>
        <v>0</v>
      </c>
      <c r="O202" s="7">
        <f t="shared" ca="1" si="44"/>
        <v>99</v>
      </c>
      <c r="P202" s="19">
        <f t="shared" ca="1" si="45"/>
        <v>99</v>
      </c>
      <c r="Q202" s="7">
        <f t="shared" ca="1" si="46"/>
        <v>0</v>
      </c>
      <c r="R202" s="8">
        <f ca="1">VLOOKUP(M202,'Payment Method'!$A$8:$B$12,2,0)</f>
        <v>0</v>
      </c>
      <c r="S202" s="9">
        <f t="shared" ca="1" si="36"/>
        <v>0</v>
      </c>
      <c r="T202" s="8">
        <v>0.01</v>
      </c>
      <c r="U202" s="9">
        <f t="shared" ca="1" si="37"/>
        <v>0.98999999999999488</v>
      </c>
      <c r="V202" s="7">
        <f t="shared" ca="1" si="38"/>
        <v>0</v>
      </c>
      <c r="W202" s="7">
        <f t="shared" ca="1" si="39"/>
        <v>98.01</v>
      </c>
      <c r="X202" s="5" t="str">
        <f t="shared" ca="1" si="47"/>
        <v>Instagram</v>
      </c>
      <c r="Y202" s="78" t="str">
        <f>IF(COUNTIF($C$1:C201,B201)=1,10,"")</f>
        <v/>
      </c>
    </row>
    <row r="203" spans="1:25" x14ac:dyDescent="0.3">
      <c r="A203" s="76">
        <v>202</v>
      </c>
      <c r="B203" s="6">
        <v>46110</v>
      </c>
      <c r="C203" s="6">
        <v>46113</v>
      </c>
      <c r="D203" s="17" t="str">
        <f t="shared" si="40"/>
        <v>April</v>
      </c>
      <c r="E203" s="5" t="str">
        <f t="shared" ca="1" si="41"/>
        <v>STU-307</v>
      </c>
      <c r="F203" s="5" t="str">
        <f ca="1">IF(COUNTIF($E$2:E203,E203)=1,"New Customer","Returning Customer")</f>
        <v>New Customer</v>
      </c>
      <c r="G203" s="5" t="str">
        <f t="shared" ca="1" si="42"/>
        <v>Female</v>
      </c>
      <c r="H203" s="5" t="s">
        <v>136</v>
      </c>
      <c r="I203" s="5" t="str" cm="1">
        <f t="array" aca="1" ref="I203" ca="1">INDEX(Courses!$B$9:$B$16,RANDBETWEEN(1,8))</f>
        <v>SQL</v>
      </c>
      <c r="J203" s="5" t="str">
        <f ca="1">VLOOKUP(I203,Courses!$B$9:$C$16,2,0)</f>
        <v>Data Analytics</v>
      </c>
      <c r="K203" s="7">
        <f ca="1">VLOOKUP(I203,Courses!$B$9:$D$16,3,0)</f>
        <v>99</v>
      </c>
      <c r="L203" s="5" t="str">
        <f t="shared" ca="1" si="43"/>
        <v>Paid</v>
      </c>
      <c r="M203" s="8" t="str" cm="1">
        <f t="array" aca="1" ref="M203" ca="1">INDEX('Payment Method'!$A$8:$A$12,RANDBETWEEN(1,5))</f>
        <v>Bank Transfer</v>
      </c>
      <c r="N203" s="7">
        <f>IFERROR(SUMIF(Holiday!$A$8:$A$11,B203,Holiday!$C$8:$C$11),0)</f>
        <v>0</v>
      </c>
      <c r="O203" s="7">
        <f t="shared" ca="1" si="44"/>
        <v>99</v>
      </c>
      <c r="P203" s="19">
        <f t="shared" ca="1" si="45"/>
        <v>99</v>
      </c>
      <c r="Q203" s="7">
        <f t="shared" ca="1" si="46"/>
        <v>0</v>
      </c>
      <c r="R203" s="8">
        <f ca="1">VLOOKUP(M203,'Payment Method'!$A$8:$B$12,2,0)</f>
        <v>0</v>
      </c>
      <c r="S203" s="9">
        <f t="shared" ca="1" si="36"/>
        <v>0</v>
      </c>
      <c r="T203" s="8">
        <v>0.01</v>
      </c>
      <c r="U203" s="9">
        <f t="shared" ca="1" si="37"/>
        <v>0.98999999999999488</v>
      </c>
      <c r="V203" s="7">
        <f t="shared" ca="1" si="38"/>
        <v>0</v>
      </c>
      <c r="W203" s="7">
        <f t="shared" ca="1" si="39"/>
        <v>98.01</v>
      </c>
      <c r="X203" s="5" t="str">
        <f t="shared" ca="1" si="47"/>
        <v>Tiktok</v>
      </c>
      <c r="Y203" s="78" t="str">
        <f>IF(COUNTIF($C$1:C202,B202)=1,10,"")</f>
        <v/>
      </c>
    </row>
    <row r="204" spans="1:25" x14ac:dyDescent="0.3">
      <c r="A204" s="75">
        <v>203</v>
      </c>
      <c r="B204" s="6">
        <v>46204</v>
      </c>
      <c r="C204" s="6">
        <v>46207</v>
      </c>
      <c r="D204" s="17" t="str">
        <f t="shared" si="40"/>
        <v>July</v>
      </c>
      <c r="E204" s="5" t="str">
        <f t="shared" ca="1" si="41"/>
        <v>STU-92</v>
      </c>
      <c r="F204" s="5" t="str">
        <f ca="1">IF(COUNTIF($E$2:E204,E204)=1,"New Customer","Returning Customer")</f>
        <v>New Customer</v>
      </c>
      <c r="G204" s="5" t="str">
        <f t="shared" ca="1" si="42"/>
        <v>Not specified</v>
      </c>
      <c r="H204" s="5" t="s">
        <v>136</v>
      </c>
      <c r="I204" s="5" t="str" cm="1">
        <f t="array" aca="1" ref="I204" ca="1">INDEX(Courses!$B$9:$B$16,RANDBETWEEN(1,8))</f>
        <v>Complete Excel Course</v>
      </c>
      <c r="J204" s="5" t="str">
        <f ca="1">VLOOKUP(I204,Courses!$B$9:$C$16,2,0)</f>
        <v>Microsoft Office</v>
      </c>
      <c r="K204" s="7">
        <f ca="1">VLOOKUP(I204,Courses!$B$9:$D$16,3,0)</f>
        <v>59</v>
      </c>
      <c r="L204" s="5" t="str">
        <f t="shared" ca="1" si="43"/>
        <v>Paid</v>
      </c>
      <c r="M204" s="8" t="str" cm="1">
        <f t="array" aca="1" ref="M204" ca="1">INDEX('Payment Method'!$A$8:$A$12,RANDBETWEEN(1,5))</f>
        <v>Visa Credit</v>
      </c>
      <c r="N204" s="7">
        <f>IFERROR(SUMIF(Holiday!$A$8:$A$11,B204,Holiday!$C$8:$C$11),0)</f>
        <v>0</v>
      </c>
      <c r="O204" s="7">
        <f t="shared" ca="1" si="44"/>
        <v>59</v>
      </c>
      <c r="P204" s="19">
        <f t="shared" ca="1" si="45"/>
        <v>56.935000000000002</v>
      </c>
      <c r="Q204" s="7">
        <f t="shared" ca="1" si="46"/>
        <v>0</v>
      </c>
      <c r="R204" s="8">
        <f ca="1">VLOOKUP(M204,'Payment Method'!$A$8:$B$12,2,0)</f>
        <v>3.5000000000000003E-2</v>
      </c>
      <c r="S204" s="9">
        <f t="shared" ca="1" si="36"/>
        <v>2.0649999999999977</v>
      </c>
      <c r="T204" s="8">
        <v>0.01</v>
      </c>
      <c r="U204" s="9">
        <f t="shared" ca="1" si="37"/>
        <v>0.56935000000000002</v>
      </c>
      <c r="V204" s="7">
        <f t="shared" ca="1" si="38"/>
        <v>0</v>
      </c>
      <c r="W204" s="7">
        <f t="shared" ca="1" si="39"/>
        <v>56.365650000000002</v>
      </c>
      <c r="X204" s="5" t="str">
        <f t="shared" ca="1" si="47"/>
        <v>Instagram</v>
      </c>
      <c r="Y204" s="78" t="str">
        <f>IF(COUNTIF($C$1:C203,B203)=1,10,"")</f>
        <v/>
      </c>
    </row>
    <row r="205" spans="1:25" x14ac:dyDescent="0.3">
      <c r="A205" s="76">
        <v>204</v>
      </c>
      <c r="B205" s="6">
        <v>46047</v>
      </c>
      <c r="C205" s="6">
        <v>46048</v>
      </c>
      <c r="D205" s="17" t="str">
        <f t="shared" si="40"/>
        <v>January</v>
      </c>
      <c r="E205" s="5" t="str">
        <f t="shared" ca="1" si="41"/>
        <v>STU-233</v>
      </c>
      <c r="F205" s="5" t="str">
        <f ca="1">IF(COUNTIF($E$2:E205,E205)=1,"New Customer","Returning Customer")</f>
        <v>New Customer</v>
      </c>
      <c r="G205" s="5" t="str">
        <f t="shared" ca="1" si="42"/>
        <v>Not specified</v>
      </c>
      <c r="H205" s="5" t="s">
        <v>137</v>
      </c>
      <c r="I205" s="5" t="str" cm="1">
        <f t="array" aca="1" ref="I205" ca="1">INDEX(Courses!$B$9:$B$16,RANDBETWEEN(1,8))</f>
        <v>Power BI</v>
      </c>
      <c r="J205" s="5" t="str">
        <f ca="1">VLOOKUP(I205,Courses!$B$9:$C$16,2,0)</f>
        <v>Data Analytics</v>
      </c>
      <c r="K205" s="7">
        <f ca="1">VLOOKUP(I205,Courses!$B$9:$D$16,3,0)</f>
        <v>59</v>
      </c>
      <c r="L205" s="5" t="str">
        <f t="shared" ca="1" si="43"/>
        <v>Paid</v>
      </c>
      <c r="M205" s="8" t="str" cm="1">
        <f t="array" aca="1" ref="M205" ca="1">INDEX('Payment Method'!$A$8:$A$12,RANDBETWEEN(1,5))</f>
        <v>Bank Transfer</v>
      </c>
      <c r="N205" s="7">
        <f>IFERROR(SUMIF(Holiday!$A$8:$A$11,B205,Holiday!$C$8:$C$11),0)</f>
        <v>0</v>
      </c>
      <c r="O205" s="7">
        <f t="shared" ca="1" si="44"/>
        <v>59</v>
      </c>
      <c r="P205" s="19">
        <f t="shared" ca="1" si="45"/>
        <v>59</v>
      </c>
      <c r="Q205" s="7">
        <f t="shared" ca="1" si="46"/>
        <v>0</v>
      </c>
      <c r="R205" s="8">
        <f ca="1">VLOOKUP(M205,'Payment Method'!$A$8:$B$12,2,0)</f>
        <v>0</v>
      </c>
      <c r="S205" s="9">
        <f t="shared" ca="1" si="36"/>
        <v>0</v>
      </c>
      <c r="T205" s="8">
        <v>0.01</v>
      </c>
      <c r="U205" s="9">
        <f t="shared" ca="1" si="37"/>
        <v>0.59000000000000341</v>
      </c>
      <c r="V205" s="7">
        <f t="shared" ca="1" si="38"/>
        <v>0</v>
      </c>
      <c r="W205" s="7">
        <f t="shared" ca="1" si="39"/>
        <v>58.41</v>
      </c>
      <c r="X205" s="5" t="str">
        <f t="shared" ca="1" si="47"/>
        <v>Facebook</v>
      </c>
      <c r="Y205" s="78">
        <f>IF(COUNTIF($C$1:C204,B204)=1,10,"")</f>
        <v>10</v>
      </c>
    </row>
    <row r="206" spans="1:25" x14ac:dyDescent="0.3">
      <c r="A206" s="75">
        <v>205</v>
      </c>
      <c r="B206" s="6">
        <v>46065</v>
      </c>
      <c r="C206" s="6">
        <v>46070</v>
      </c>
      <c r="D206" s="17" t="str">
        <f t="shared" si="40"/>
        <v>February</v>
      </c>
      <c r="E206" s="5" t="str">
        <f t="shared" ca="1" si="41"/>
        <v>STU-47</v>
      </c>
      <c r="F206" s="5" t="str">
        <f ca="1">IF(COUNTIF($E$2:E206,E206)=1,"New Customer","Returning Customer")</f>
        <v>New Customer</v>
      </c>
      <c r="G206" s="5" t="str">
        <f t="shared" ca="1" si="42"/>
        <v>Female</v>
      </c>
      <c r="H206" s="5" t="s">
        <v>141</v>
      </c>
      <c r="I206" s="5" t="str" cm="1">
        <f t="array" aca="1" ref="I206" ca="1">INDEX(Courses!$B$9:$B$16,RANDBETWEEN(1,8))</f>
        <v>PowerPoint</v>
      </c>
      <c r="J206" s="5" t="str">
        <f ca="1">VLOOKUP(I206,Courses!$B$9:$C$16,2,0)</f>
        <v>Microsoft Office</v>
      </c>
      <c r="K206" s="7">
        <f ca="1">VLOOKUP(I206,Courses!$B$9:$D$16,3,0)</f>
        <v>29</v>
      </c>
      <c r="L206" s="5" t="str">
        <f t="shared" ca="1" si="43"/>
        <v>Refunded</v>
      </c>
      <c r="M206" s="8" t="str" cm="1">
        <f t="array" aca="1" ref="M206" ca="1">INDEX('Payment Method'!$A$8:$A$12,RANDBETWEEN(1,5))</f>
        <v>Mastercard Credit</v>
      </c>
      <c r="N206" s="7">
        <f>IFERROR(SUMIF(Holiday!$A$8:$A$11,B206,Holiday!$C$8:$C$11),0)</f>
        <v>0</v>
      </c>
      <c r="O206" s="7">
        <f t="shared" ca="1" si="44"/>
        <v>29</v>
      </c>
      <c r="P206" s="19">
        <f t="shared" ca="1" si="45"/>
        <v>27.984999999999999</v>
      </c>
      <c r="Q206" s="7">
        <f t="shared" ca="1" si="46"/>
        <v>0</v>
      </c>
      <c r="R206" s="8">
        <f ca="1">VLOOKUP(M206,'Payment Method'!$A$8:$B$12,2,0)</f>
        <v>3.5000000000000003E-2</v>
      </c>
      <c r="S206" s="9">
        <f t="shared" ca="1" si="36"/>
        <v>1.0150000000000006</v>
      </c>
      <c r="T206" s="8">
        <v>0.01</v>
      </c>
      <c r="U206" s="9">
        <f t="shared" ca="1" si="37"/>
        <v>0.27984999999999971</v>
      </c>
      <c r="V206" s="7">
        <f t="shared" ca="1" si="38"/>
        <v>27.70515</v>
      </c>
      <c r="W206" s="7">
        <f t="shared" ca="1" si="39"/>
        <v>0</v>
      </c>
      <c r="X206" s="5" t="str">
        <f t="shared" ca="1" si="47"/>
        <v>Instagram</v>
      </c>
      <c r="Y206" s="78">
        <f>IF(COUNTIF($C$1:C205,B205)=1,10,"")</f>
        <v>10</v>
      </c>
    </row>
    <row r="207" spans="1:25" x14ac:dyDescent="0.3">
      <c r="A207" s="76">
        <v>206</v>
      </c>
      <c r="B207" s="6">
        <v>46136</v>
      </c>
      <c r="C207" s="6">
        <v>46136</v>
      </c>
      <c r="D207" s="17" t="str">
        <f t="shared" si="40"/>
        <v>April</v>
      </c>
      <c r="E207" s="5" t="str">
        <f t="shared" ca="1" si="41"/>
        <v>STU-333</v>
      </c>
      <c r="F207" s="5" t="str">
        <f ca="1">IF(COUNTIF($E$2:E207,E207)=1,"New Customer","Returning Customer")</f>
        <v>New Customer</v>
      </c>
      <c r="G207" s="5" t="str">
        <f t="shared" ca="1" si="42"/>
        <v>Female</v>
      </c>
      <c r="H207" s="5" t="s">
        <v>141</v>
      </c>
      <c r="I207" s="5" t="str" cm="1">
        <f t="array" aca="1" ref="I207" ca="1">INDEX(Courses!$B$9:$B$16,RANDBETWEEN(1,8))</f>
        <v>Adolescent Psychology</v>
      </c>
      <c r="J207" s="5" t="str">
        <f ca="1">VLOOKUP(I207,Courses!$B$9:$C$16,2,0)</f>
        <v>Psychology</v>
      </c>
      <c r="K207" s="7">
        <f ca="1">VLOOKUP(I207,Courses!$B$9:$D$16,3,0)</f>
        <v>29</v>
      </c>
      <c r="L207" s="5" t="str">
        <f t="shared" ca="1" si="43"/>
        <v>Pending</v>
      </c>
      <c r="M207" s="8" t="str" cm="1">
        <f t="array" aca="1" ref="M207" ca="1">INDEX('Payment Method'!$A$8:$A$12,RANDBETWEEN(1,5))</f>
        <v>Mastercard Debit</v>
      </c>
      <c r="N207" s="7">
        <f>IFERROR(SUMIF(Holiday!$A$8:$A$11,B207,Holiday!$C$8:$C$11),0)</f>
        <v>0</v>
      </c>
      <c r="O207" s="7">
        <f t="shared" ca="1" si="44"/>
        <v>29</v>
      </c>
      <c r="P207" s="19">
        <f t="shared" ca="1" si="45"/>
        <v>28.42</v>
      </c>
      <c r="Q207" s="7">
        <f t="shared" ca="1" si="46"/>
        <v>28.135800000000003</v>
      </c>
      <c r="R207" s="8">
        <f ca="1">VLOOKUP(M207,'Payment Method'!$A$8:$B$12,2,0)</f>
        <v>0.02</v>
      </c>
      <c r="S207" s="9">
        <f t="shared" ca="1" si="36"/>
        <v>0.57999999999999829</v>
      </c>
      <c r="T207" s="8">
        <v>0.01</v>
      </c>
      <c r="U207" s="9">
        <f t="shared" ca="1" si="37"/>
        <v>0.28419999999999845</v>
      </c>
      <c r="V207" s="7">
        <f t="shared" ca="1" si="38"/>
        <v>0</v>
      </c>
      <c r="W207" s="7">
        <f t="shared" ca="1" si="39"/>
        <v>0</v>
      </c>
      <c r="X207" s="5" t="str">
        <f t="shared" ca="1" si="47"/>
        <v>Facebook</v>
      </c>
      <c r="Y207" s="78" t="str">
        <f>IF(COUNTIF($C$1:C206,B206)=1,10,"")</f>
        <v/>
      </c>
    </row>
    <row r="208" spans="1:25" x14ac:dyDescent="0.3">
      <c r="A208" s="75">
        <v>207</v>
      </c>
      <c r="B208" s="6">
        <v>46122</v>
      </c>
      <c r="C208" s="6">
        <v>46122</v>
      </c>
      <c r="D208" s="17" t="str">
        <f t="shared" si="40"/>
        <v>April</v>
      </c>
      <c r="E208" s="5" t="str">
        <f t="shared" ca="1" si="41"/>
        <v>STU-110</v>
      </c>
      <c r="F208" s="5" t="str">
        <f ca="1">IF(COUNTIF($E$2:E208,E208)=1,"New Customer","Returning Customer")</f>
        <v>New Customer</v>
      </c>
      <c r="G208" s="5" t="str">
        <f t="shared" ca="1" si="42"/>
        <v>Male</v>
      </c>
      <c r="H208" s="5" t="s">
        <v>140</v>
      </c>
      <c r="I208" s="5" t="str" cm="1">
        <f t="array" aca="1" ref="I208" ca="1">INDEX(Courses!$B$9:$B$16,RANDBETWEEN(1,8))</f>
        <v>Complete Excel Course</v>
      </c>
      <c r="J208" s="5" t="str">
        <f ca="1">VLOOKUP(I208,Courses!$B$9:$C$16,2,0)</f>
        <v>Microsoft Office</v>
      </c>
      <c r="K208" s="7">
        <f ca="1">VLOOKUP(I208,Courses!$B$9:$D$16,3,0)</f>
        <v>59</v>
      </c>
      <c r="L208" s="5" t="str">
        <f t="shared" ca="1" si="43"/>
        <v>Paid</v>
      </c>
      <c r="M208" s="8" t="str" cm="1">
        <f t="array" aca="1" ref="M208" ca="1">INDEX('Payment Method'!$A$8:$A$12,RANDBETWEEN(1,5))</f>
        <v>Bank Transfer</v>
      </c>
      <c r="N208" s="7">
        <f>IFERROR(SUMIF(Holiday!$A$8:$A$11,B208,Holiday!$C$8:$C$11),0)</f>
        <v>0</v>
      </c>
      <c r="O208" s="7">
        <f t="shared" ca="1" si="44"/>
        <v>59</v>
      </c>
      <c r="P208" s="19">
        <f t="shared" ca="1" si="45"/>
        <v>59</v>
      </c>
      <c r="Q208" s="7">
        <f t="shared" ca="1" si="46"/>
        <v>0</v>
      </c>
      <c r="R208" s="8">
        <f ca="1">VLOOKUP(M208,'Payment Method'!$A$8:$B$12,2,0)</f>
        <v>0</v>
      </c>
      <c r="S208" s="9">
        <f t="shared" ca="1" si="36"/>
        <v>0</v>
      </c>
      <c r="T208" s="8">
        <v>0.01</v>
      </c>
      <c r="U208" s="9">
        <f t="shared" ca="1" si="37"/>
        <v>0.59000000000000341</v>
      </c>
      <c r="V208" s="7">
        <f t="shared" ca="1" si="38"/>
        <v>0</v>
      </c>
      <c r="W208" s="7">
        <f t="shared" ca="1" si="39"/>
        <v>58.41</v>
      </c>
      <c r="X208" s="5" t="str">
        <f t="shared" ca="1" si="47"/>
        <v>Tiktok</v>
      </c>
      <c r="Y208" s="78" t="str">
        <f>IF(COUNTIF($C$1:C207,B207)=1,10,"")</f>
        <v/>
      </c>
    </row>
    <row r="209" spans="1:25" x14ac:dyDescent="0.3">
      <c r="A209" s="76">
        <v>208</v>
      </c>
      <c r="B209" s="6">
        <v>46196</v>
      </c>
      <c r="C209" s="6">
        <v>46200</v>
      </c>
      <c r="D209" s="17" t="str">
        <f t="shared" si="40"/>
        <v>June</v>
      </c>
      <c r="E209" s="5" t="str">
        <f t="shared" ca="1" si="41"/>
        <v>STU-137</v>
      </c>
      <c r="F209" s="5" t="str">
        <f ca="1">IF(COUNTIF($E$2:E209,E209)=1,"New Customer","Returning Customer")</f>
        <v>New Customer</v>
      </c>
      <c r="G209" s="5" t="str">
        <f t="shared" ca="1" si="42"/>
        <v>Female</v>
      </c>
      <c r="H209" s="5" t="s">
        <v>142</v>
      </c>
      <c r="I209" s="5" t="str" cm="1">
        <f t="array" aca="1" ref="I209" ca="1">INDEX(Courses!$B$9:$B$16,RANDBETWEEN(1,8))</f>
        <v>Tax Code</v>
      </c>
      <c r="J209" s="5" t="str">
        <f ca="1">VLOOKUP(I209,Courses!$B$9:$C$16,2,0)</f>
        <v>Finance &amp; Taxation</v>
      </c>
      <c r="K209" s="7">
        <f ca="1">VLOOKUP(I209,Courses!$B$9:$D$16,3,0)</f>
        <v>59</v>
      </c>
      <c r="L209" s="5" t="str">
        <f t="shared" ca="1" si="43"/>
        <v>Pending</v>
      </c>
      <c r="M209" s="8" t="str" cm="1">
        <f t="array" aca="1" ref="M209" ca="1">INDEX('Payment Method'!$A$8:$A$12,RANDBETWEEN(1,5))</f>
        <v>Mastercard Debit</v>
      </c>
      <c r="N209" s="7">
        <f>IFERROR(SUMIF(Holiday!$A$8:$A$11,B209,Holiday!$C$8:$C$11),0)</f>
        <v>0</v>
      </c>
      <c r="O209" s="7">
        <f t="shared" ca="1" si="44"/>
        <v>59</v>
      </c>
      <c r="P209" s="19">
        <f t="shared" ca="1" si="45"/>
        <v>57.82</v>
      </c>
      <c r="Q209" s="7">
        <f t="shared" ca="1" si="46"/>
        <v>57.241799999999998</v>
      </c>
      <c r="R209" s="8">
        <f ca="1">VLOOKUP(M209,'Payment Method'!$A$8:$B$12,2,0)</f>
        <v>0.02</v>
      </c>
      <c r="S209" s="9">
        <f t="shared" ca="1" si="36"/>
        <v>1.1799999999999997</v>
      </c>
      <c r="T209" s="8">
        <v>0.01</v>
      </c>
      <c r="U209" s="9">
        <f t="shared" ca="1" si="37"/>
        <v>0.57820000000000249</v>
      </c>
      <c r="V209" s="7">
        <f t="shared" ca="1" si="38"/>
        <v>0</v>
      </c>
      <c r="W209" s="7">
        <f t="shared" ca="1" si="39"/>
        <v>0</v>
      </c>
      <c r="X209" s="5" t="str">
        <f t="shared" ca="1" si="47"/>
        <v>Facebook</v>
      </c>
      <c r="Y209" s="78">
        <f>IF(COUNTIF($C$1:C208,B208)=1,10,"")</f>
        <v>10</v>
      </c>
    </row>
    <row r="210" spans="1:25" x14ac:dyDescent="0.3">
      <c r="A210" s="75">
        <v>209</v>
      </c>
      <c r="B210" s="6">
        <v>46049</v>
      </c>
      <c r="C210" s="6">
        <v>46054</v>
      </c>
      <c r="D210" s="17" t="str">
        <f t="shared" si="40"/>
        <v>February</v>
      </c>
      <c r="E210" s="5" t="str">
        <f t="shared" ca="1" si="41"/>
        <v>STU-501</v>
      </c>
      <c r="F210" s="5" t="str">
        <f ca="1">IF(COUNTIF($E$2:E210,E210)=1,"New Customer","Returning Customer")</f>
        <v>New Customer</v>
      </c>
      <c r="G210" s="5" t="str">
        <f t="shared" ca="1" si="42"/>
        <v>Male</v>
      </c>
      <c r="H210" s="5" t="s">
        <v>135</v>
      </c>
      <c r="I210" s="5" t="str" cm="1">
        <f t="array" aca="1" ref="I210" ca="1">INDEX(Courses!$B$9:$B$16,RANDBETWEEN(1,8))</f>
        <v>Excel Basics</v>
      </c>
      <c r="J210" s="5" t="str">
        <f ca="1">VLOOKUP(I210,Courses!$B$9:$C$16,2,0)</f>
        <v>Microsoft Office</v>
      </c>
      <c r="K210" s="7">
        <f ca="1">VLOOKUP(I210,Courses!$B$9:$D$16,3,0)</f>
        <v>29</v>
      </c>
      <c r="L210" s="5" t="str">
        <f t="shared" ca="1" si="43"/>
        <v>Paid</v>
      </c>
      <c r="M210" s="8" t="str" cm="1">
        <f t="array" aca="1" ref="M210" ca="1">INDEX('Payment Method'!$A$8:$A$12,RANDBETWEEN(1,5))</f>
        <v>Bank Transfer</v>
      </c>
      <c r="N210" s="7">
        <f>IFERROR(SUMIF(Holiday!$A$8:$A$11,B210,Holiday!$C$8:$C$11),0)</f>
        <v>0</v>
      </c>
      <c r="O210" s="7">
        <f t="shared" ca="1" si="44"/>
        <v>29</v>
      </c>
      <c r="P210" s="19">
        <f t="shared" ca="1" si="45"/>
        <v>29</v>
      </c>
      <c r="Q210" s="7">
        <f t="shared" ca="1" si="46"/>
        <v>0</v>
      </c>
      <c r="R210" s="8">
        <f ca="1">VLOOKUP(M210,'Payment Method'!$A$8:$B$12,2,0)</f>
        <v>0</v>
      </c>
      <c r="S210" s="9">
        <f t="shared" ca="1" si="36"/>
        <v>0</v>
      </c>
      <c r="T210" s="8">
        <v>0.01</v>
      </c>
      <c r="U210" s="9">
        <f t="shared" ca="1" si="37"/>
        <v>0.28999999999999915</v>
      </c>
      <c r="V210" s="7">
        <f t="shared" ca="1" si="38"/>
        <v>0</v>
      </c>
      <c r="W210" s="7">
        <f t="shared" ca="1" si="39"/>
        <v>28.71</v>
      </c>
      <c r="X210" s="5" t="str">
        <f t="shared" ca="1" si="47"/>
        <v>Tiktok</v>
      </c>
      <c r="Y210" s="78" t="str">
        <f>IF(COUNTIF($C$1:C209,B209)=1,10,"")</f>
        <v/>
      </c>
    </row>
    <row r="211" spans="1:25" x14ac:dyDescent="0.3">
      <c r="A211" s="76">
        <v>210</v>
      </c>
      <c r="B211" s="6">
        <v>46144</v>
      </c>
      <c r="C211" s="6">
        <v>46148</v>
      </c>
      <c r="D211" s="17" t="str">
        <f t="shared" si="40"/>
        <v>May</v>
      </c>
      <c r="E211" s="5" t="str">
        <f t="shared" ca="1" si="41"/>
        <v>STU-790</v>
      </c>
      <c r="F211" s="5" t="str">
        <f ca="1">IF(COUNTIF($E$2:E211,E211)=1,"New Customer","Returning Customer")</f>
        <v>New Customer</v>
      </c>
      <c r="G211" s="5" t="str">
        <f t="shared" ca="1" si="42"/>
        <v>Female</v>
      </c>
      <c r="H211" s="5" t="s">
        <v>138</v>
      </c>
      <c r="I211" s="5" t="str" cm="1">
        <f t="array" aca="1" ref="I211" ca="1">INDEX(Courses!$B$9:$B$16,RANDBETWEEN(1,8))</f>
        <v>Tax Code</v>
      </c>
      <c r="J211" s="5" t="str">
        <f ca="1">VLOOKUP(I211,Courses!$B$9:$C$16,2,0)</f>
        <v>Finance &amp; Taxation</v>
      </c>
      <c r="K211" s="7">
        <f ca="1">VLOOKUP(I211,Courses!$B$9:$D$16,3,0)</f>
        <v>59</v>
      </c>
      <c r="L211" s="5" t="str">
        <f t="shared" ca="1" si="43"/>
        <v>Paid</v>
      </c>
      <c r="M211" s="8" t="str" cm="1">
        <f t="array" aca="1" ref="M211" ca="1">INDEX('Payment Method'!$A$8:$A$12,RANDBETWEEN(1,5))</f>
        <v>Bank Transfer</v>
      </c>
      <c r="N211" s="7">
        <f>IFERROR(SUMIF(Holiday!$A$8:$A$11,B211,Holiday!$C$8:$C$11),0)</f>
        <v>0</v>
      </c>
      <c r="O211" s="7">
        <f t="shared" ca="1" si="44"/>
        <v>59</v>
      </c>
      <c r="P211" s="19">
        <f t="shared" ca="1" si="45"/>
        <v>59</v>
      </c>
      <c r="Q211" s="7">
        <f t="shared" ca="1" si="46"/>
        <v>0</v>
      </c>
      <c r="R211" s="8">
        <f ca="1">VLOOKUP(M211,'Payment Method'!$A$8:$B$12,2,0)</f>
        <v>0</v>
      </c>
      <c r="S211" s="9">
        <f t="shared" ca="1" si="36"/>
        <v>0</v>
      </c>
      <c r="T211" s="8">
        <v>0.01</v>
      </c>
      <c r="U211" s="9">
        <f t="shared" ca="1" si="37"/>
        <v>0.59000000000000341</v>
      </c>
      <c r="V211" s="7">
        <f t="shared" ca="1" si="38"/>
        <v>0</v>
      </c>
      <c r="W211" s="7">
        <f t="shared" ca="1" si="39"/>
        <v>58.41</v>
      </c>
      <c r="X211" s="5" t="str">
        <f t="shared" ca="1" si="47"/>
        <v>Tiktok</v>
      </c>
      <c r="Y211" s="78" t="str">
        <f>IF(COUNTIF($C$1:C210,B210)=1,10,"")</f>
        <v/>
      </c>
    </row>
    <row r="212" spans="1:25" x14ac:dyDescent="0.3">
      <c r="A212" s="75">
        <v>211</v>
      </c>
      <c r="B212" s="6">
        <v>46094</v>
      </c>
      <c r="C212" s="6">
        <v>46094</v>
      </c>
      <c r="D212" s="17" t="str">
        <f t="shared" si="40"/>
        <v>March</v>
      </c>
      <c r="E212" s="5" t="str">
        <f t="shared" ca="1" si="41"/>
        <v>STU-650</v>
      </c>
      <c r="F212" s="5" t="str">
        <f ca="1">IF(COUNTIF($E$2:E212,E212)=1,"New Customer","Returning Customer")</f>
        <v>New Customer</v>
      </c>
      <c r="G212" s="5" t="str">
        <f t="shared" ca="1" si="42"/>
        <v>Male</v>
      </c>
      <c r="H212" s="5" t="s">
        <v>139</v>
      </c>
      <c r="I212" s="5" t="str" cm="1">
        <f t="array" aca="1" ref="I212" ca="1">INDEX(Courses!$B$9:$B$16,RANDBETWEEN(1,8))</f>
        <v>Power BI</v>
      </c>
      <c r="J212" s="5" t="str">
        <f ca="1">VLOOKUP(I212,Courses!$B$9:$C$16,2,0)</f>
        <v>Data Analytics</v>
      </c>
      <c r="K212" s="7">
        <f ca="1">VLOOKUP(I212,Courses!$B$9:$D$16,3,0)</f>
        <v>59</v>
      </c>
      <c r="L212" s="5" t="str">
        <f t="shared" ca="1" si="43"/>
        <v>Paid</v>
      </c>
      <c r="M212" s="8" t="str" cm="1">
        <f t="array" aca="1" ref="M212" ca="1">INDEX('Payment Method'!$A$8:$A$12,RANDBETWEEN(1,5))</f>
        <v>Bank Transfer</v>
      </c>
      <c r="N212" s="7">
        <f>IFERROR(SUMIF(Holiday!$A$8:$A$11,B212,Holiday!$C$8:$C$11),0)</f>
        <v>0</v>
      </c>
      <c r="O212" s="7">
        <f t="shared" ca="1" si="44"/>
        <v>59</v>
      </c>
      <c r="P212" s="19">
        <f t="shared" ca="1" si="45"/>
        <v>59</v>
      </c>
      <c r="Q212" s="7">
        <f t="shared" ca="1" si="46"/>
        <v>0</v>
      </c>
      <c r="R212" s="8">
        <f ca="1">VLOOKUP(M212,'Payment Method'!$A$8:$B$12,2,0)</f>
        <v>0</v>
      </c>
      <c r="S212" s="9">
        <f t="shared" ca="1" si="36"/>
        <v>0</v>
      </c>
      <c r="T212" s="8">
        <v>0.01</v>
      </c>
      <c r="U212" s="9">
        <f t="shared" ca="1" si="37"/>
        <v>0.59000000000000341</v>
      </c>
      <c r="V212" s="7">
        <f t="shared" ca="1" si="38"/>
        <v>0</v>
      </c>
      <c r="W212" s="7">
        <f t="shared" ca="1" si="39"/>
        <v>58.41</v>
      </c>
      <c r="X212" s="5" t="str">
        <f t="shared" ca="1" si="47"/>
        <v>Facebook</v>
      </c>
      <c r="Y212" s="78" t="str">
        <f>IF(COUNTIF($C$1:C211,B211)=1,10,"")</f>
        <v/>
      </c>
    </row>
    <row r="213" spans="1:25" x14ac:dyDescent="0.3">
      <c r="A213" s="76">
        <v>212</v>
      </c>
      <c r="B213" s="6">
        <v>46179</v>
      </c>
      <c r="C213" s="6">
        <v>46181</v>
      </c>
      <c r="D213" s="17" t="str">
        <f t="shared" si="40"/>
        <v>June</v>
      </c>
      <c r="E213" s="5" t="str">
        <f t="shared" ca="1" si="41"/>
        <v>STU-432</v>
      </c>
      <c r="F213" s="5" t="str">
        <f ca="1">IF(COUNTIF($E$2:E213,E213)=1,"New Customer","Returning Customer")</f>
        <v>New Customer</v>
      </c>
      <c r="G213" s="5" t="str">
        <f t="shared" ca="1" si="42"/>
        <v>Female</v>
      </c>
      <c r="H213" s="5" t="s">
        <v>139</v>
      </c>
      <c r="I213" s="5" t="str" cm="1">
        <f t="array" aca="1" ref="I213" ca="1">INDEX(Courses!$B$9:$B$16,RANDBETWEEN(1,8))</f>
        <v>Tax Code</v>
      </c>
      <c r="J213" s="5" t="str">
        <f ca="1">VLOOKUP(I213,Courses!$B$9:$C$16,2,0)</f>
        <v>Finance &amp; Taxation</v>
      </c>
      <c r="K213" s="7">
        <f ca="1">VLOOKUP(I213,Courses!$B$9:$D$16,3,0)</f>
        <v>59</v>
      </c>
      <c r="L213" s="5" t="str">
        <f t="shared" ca="1" si="43"/>
        <v>Refunded</v>
      </c>
      <c r="M213" s="8" t="str" cm="1">
        <f t="array" aca="1" ref="M213" ca="1">INDEX('Payment Method'!$A$8:$A$12,RANDBETWEEN(1,5))</f>
        <v>Mastercard Credit</v>
      </c>
      <c r="N213" s="7">
        <f>IFERROR(SUMIF(Holiday!$A$8:$A$11,B213,Holiday!$C$8:$C$11),0)</f>
        <v>0</v>
      </c>
      <c r="O213" s="7">
        <f t="shared" ca="1" si="44"/>
        <v>59</v>
      </c>
      <c r="P213" s="19">
        <f t="shared" ca="1" si="45"/>
        <v>56.935000000000002</v>
      </c>
      <c r="Q213" s="7">
        <f t="shared" ca="1" si="46"/>
        <v>0</v>
      </c>
      <c r="R213" s="8">
        <f ca="1">VLOOKUP(M213,'Payment Method'!$A$8:$B$12,2,0)</f>
        <v>3.5000000000000003E-2</v>
      </c>
      <c r="S213" s="9">
        <f t="shared" ca="1" si="36"/>
        <v>2.0649999999999977</v>
      </c>
      <c r="T213" s="8">
        <v>0.01</v>
      </c>
      <c r="U213" s="9">
        <f t="shared" ca="1" si="37"/>
        <v>0.56935000000000002</v>
      </c>
      <c r="V213" s="7">
        <f t="shared" ca="1" si="38"/>
        <v>56.365650000000002</v>
      </c>
      <c r="W213" s="7">
        <f t="shared" ca="1" si="39"/>
        <v>0</v>
      </c>
      <c r="X213" s="5" t="str">
        <f t="shared" ca="1" si="47"/>
        <v>Tiktok</v>
      </c>
      <c r="Y213" s="78">
        <f>IF(COUNTIF($C$1:C212,B212)=1,10,"")</f>
        <v>10</v>
      </c>
    </row>
    <row r="214" spans="1:25" x14ac:dyDescent="0.3">
      <c r="A214" s="75">
        <v>213</v>
      </c>
      <c r="B214" s="6">
        <v>46047</v>
      </c>
      <c r="C214" s="6">
        <v>46047</v>
      </c>
      <c r="D214" s="17" t="str">
        <f t="shared" si="40"/>
        <v>January</v>
      </c>
      <c r="E214" s="5" t="str">
        <f t="shared" ca="1" si="41"/>
        <v>STU-601</v>
      </c>
      <c r="F214" s="5" t="str">
        <f ca="1">IF(COUNTIF($E$2:E214,E214)=1,"New Customer","Returning Customer")</f>
        <v>New Customer</v>
      </c>
      <c r="G214" s="5" t="str">
        <f t="shared" ca="1" si="42"/>
        <v>Male</v>
      </c>
      <c r="H214" s="5" t="s">
        <v>137</v>
      </c>
      <c r="I214" s="5" t="str" cm="1">
        <f t="array" aca="1" ref="I214" ca="1">INDEX(Courses!$B$9:$B$16,RANDBETWEEN(1,8))</f>
        <v>Microsoft Word</v>
      </c>
      <c r="J214" s="5" t="str">
        <f ca="1">VLOOKUP(I214,Courses!$B$9:$C$16,2,0)</f>
        <v>Microsoft Office</v>
      </c>
      <c r="K214" s="7">
        <f ca="1">VLOOKUP(I214,Courses!$B$9:$D$16,3,0)</f>
        <v>29</v>
      </c>
      <c r="L214" s="5" t="str">
        <f t="shared" ca="1" si="43"/>
        <v>Paid</v>
      </c>
      <c r="M214" s="8" t="str" cm="1">
        <f t="array" aca="1" ref="M214" ca="1">INDEX('Payment Method'!$A$8:$A$12,RANDBETWEEN(1,5))</f>
        <v>Mastercard Credit</v>
      </c>
      <c r="N214" s="7">
        <f>IFERROR(SUMIF(Holiday!$A$8:$A$11,B214,Holiday!$C$8:$C$11),0)</f>
        <v>0</v>
      </c>
      <c r="O214" s="7">
        <f t="shared" ca="1" si="44"/>
        <v>29</v>
      </c>
      <c r="P214" s="19">
        <f t="shared" ca="1" si="45"/>
        <v>27.984999999999999</v>
      </c>
      <c r="Q214" s="7">
        <f t="shared" ca="1" si="46"/>
        <v>0</v>
      </c>
      <c r="R214" s="8">
        <f ca="1">VLOOKUP(M214,'Payment Method'!$A$8:$B$12,2,0)</f>
        <v>3.5000000000000003E-2</v>
      </c>
      <c r="S214" s="9">
        <f t="shared" ca="1" si="36"/>
        <v>1.0150000000000006</v>
      </c>
      <c r="T214" s="8">
        <v>0.01</v>
      </c>
      <c r="U214" s="9">
        <f t="shared" ca="1" si="37"/>
        <v>0.27984999999999971</v>
      </c>
      <c r="V214" s="7">
        <f t="shared" ca="1" si="38"/>
        <v>0</v>
      </c>
      <c r="W214" s="7">
        <f t="shared" ca="1" si="39"/>
        <v>27.70515</v>
      </c>
      <c r="X214" s="5" t="str">
        <f t="shared" ca="1" si="47"/>
        <v>Instagram</v>
      </c>
      <c r="Y214" s="78" t="str">
        <f>IF(COUNTIF($C$1:C213,B213)=1,10,"")</f>
        <v/>
      </c>
    </row>
    <row r="215" spans="1:25" x14ac:dyDescent="0.3">
      <c r="A215" s="76">
        <v>214</v>
      </c>
      <c r="B215" s="6">
        <v>46084</v>
      </c>
      <c r="C215" s="6">
        <v>46088</v>
      </c>
      <c r="D215" s="17" t="str">
        <f t="shared" si="40"/>
        <v>March</v>
      </c>
      <c r="E215" s="5" t="str">
        <f t="shared" ca="1" si="41"/>
        <v>STU-48</v>
      </c>
      <c r="F215" s="5" t="str">
        <f ca="1">IF(COUNTIF($E$2:E215,E215)=1,"New Customer","Returning Customer")</f>
        <v>New Customer</v>
      </c>
      <c r="G215" s="5" t="str">
        <f t="shared" ca="1" si="42"/>
        <v>Male</v>
      </c>
      <c r="H215" s="5" t="s">
        <v>137</v>
      </c>
      <c r="I215" s="5" t="str" cm="1">
        <f t="array" aca="1" ref="I215" ca="1">INDEX(Courses!$B$9:$B$16,RANDBETWEEN(1,8))</f>
        <v>Adolescent Psychology</v>
      </c>
      <c r="J215" s="5" t="str">
        <f ca="1">VLOOKUP(I215,Courses!$B$9:$C$16,2,0)</f>
        <v>Psychology</v>
      </c>
      <c r="K215" s="7">
        <f ca="1">VLOOKUP(I215,Courses!$B$9:$D$16,3,0)</f>
        <v>29</v>
      </c>
      <c r="L215" s="5" t="str">
        <f t="shared" ca="1" si="43"/>
        <v>Paid</v>
      </c>
      <c r="M215" s="8" t="str" cm="1">
        <f t="array" aca="1" ref="M215" ca="1">INDEX('Payment Method'!$A$8:$A$12,RANDBETWEEN(1,5))</f>
        <v>Mastercard Debit</v>
      </c>
      <c r="N215" s="7">
        <f>IFERROR(SUMIF(Holiday!$A$8:$A$11,B215,Holiday!$C$8:$C$11),0)</f>
        <v>20</v>
      </c>
      <c r="O215" s="7">
        <f t="shared" ca="1" si="44"/>
        <v>-551</v>
      </c>
      <c r="P215" s="19">
        <f t="shared" ca="1" si="45"/>
        <v>-539.98</v>
      </c>
      <c r="Q215" s="7">
        <f t="shared" ca="1" si="46"/>
        <v>0</v>
      </c>
      <c r="R215" s="8">
        <f ca="1">VLOOKUP(M215,'Payment Method'!$A$8:$B$12,2,0)</f>
        <v>0.02</v>
      </c>
      <c r="S215" s="9">
        <f t="shared" ca="1" si="36"/>
        <v>-11.019999999999982</v>
      </c>
      <c r="T215" s="8">
        <v>0.01</v>
      </c>
      <c r="U215" s="9">
        <f t="shared" ca="1" si="37"/>
        <v>-5.3998000000000275</v>
      </c>
      <c r="V215" s="7">
        <f t="shared" ca="1" si="38"/>
        <v>0</v>
      </c>
      <c r="W215" s="7">
        <f t="shared" ca="1" si="39"/>
        <v>-534.58019999999999</v>
      </c>
      <c r="X215" s="5" t="str">
        <f t="shared" ca="1" si="47"/>
        <v>Facebook</v>
      </c>
      <c r="Y215" s="78" t="str">
        <f>IF(COUNTIF($C$1:C214,B214)=1,10,"")</f>
        <v/>
      </c>
    </row>
    <row r="216" spans="1:25" x14ac:dyDescent="0.3">
      <c r="A216" s="75">
        <v>215</v>
      </c>
      <c r="B216" s="6">
        <v>46023</v>
      </c>
      <c r="C216" s="6">
        <v>46028</v>
      </c>
      <c r="D216" s="17" t="str">
        <f t="shared" si="40"/>
        <v>January</v>
      </c>
      <c r="E216" s="5" t="str">
        <f t="shared" ca="1" si="41"/>
        <v>STU-151</v>
      </c>
      <c r="F216" s="5" t="str">
        <f ca="1">IF(COUNTIF($E$2:E216,E216)=1,"New Customer","Returning Customer")</f>
        <v>New Customer</v>
      </c>
      <c r="G216" s="5" t="str">
        <f t="shared" ca="1" si="42"/>
        <v>Not specified</v>
      </c>
      <c r="H216" s="5" t="s">
        <v>135</v>
      </c>
      <c r="I216" s="5" t="str" cm="1">
        <f t="array" aca="1" ref="I216" ca="1">INDEX(Courses!$B$9:$B$16,RANDBETWEEN(1,8))</f>
        <v>Power BI</v>
      </c>
      <c r="J216" s="5" t="str">
        <f ca="1">VLOOKUP(I216,Courses!$B$9:$C$16,2,0)</f>
        <v>Data Analytics</v>
      </c>
      <c r="K216" s="7">
        <f ca="1">VLOOKUP(I216,Courses!$B$9:$D$16,3,0)</f>
        <v>59</v>
      </c>
      <c r="L216" s="5" t="str">
        <f t="shared" ca="1" si="43"/>
        <v>Paid</v>
      </c>
      <c r="M216" s="8" t="str" cm="1">
        <f t="array" aca="1" ref="M216" ca="1">INDEX('Payment Method'!$A$8:$A$12,RANDBETWEEN(1,5))</f>
        <v>Visa Debit</v>
      </c>
      <c r="N216" s="7">
        <f>IFERROR(SUMIF(Holiday!$A$8:$A$11,B216,Holiday!$C$8:$C$11),0)</f>
        <v>20</v>
      </c>
      <c r="O216" s="7">
        <f t="shared" ca="1" si="44"/>
        <v>-1121</v>
      </c>
      <c r="P216" s="19">
        <f t="shared" ca="1" si="45"/>
        <v>-1098.58</v>
      </c>
      <c r="Q216" s="7">
        <f t="shared" ca="1" si="46"/>
        <v>0</v>
      </c>
      <c r="R216" s="8">
        <f ca="1">VLOOKUP(M216,'Payment Method'!$A$8:$B$12,2,0)</f>
        <v>0.02</v>
      </c>
      <c r="S216" s="9">
        <f t="shared" ca="1" si="36"/>
        <v>-22.420000000000073</v>
      </c>
      <c r="T216" s="8">
        <v>0.01</v>
      </c>
      <c r="U216" s="9">
        <f t="shared" ca="1" si="37"/>
        <v>-10.985799999999927</v>
      </c>
      <c r="V216" s="7">
        <f t="shared" ca="1" si="38"/>
        <v>0</v>
      </c>
      <c r="W216" s="7">
        <f t="shared" ca="1" si="39"/>
        <v>-1087.5942</v>
      </c>
      <c r="X216" s="5" t="str">
        <f t="shared" ca="1" si="47"/>
        <v>Facebook</v>
      </c>
      <c r="Y216" s="78">
        <f>IF(COUNTIF($C$1:C215,B215)=1,10,"")</f>
        <v>10</v>
      </c>
    </row>
    <row r="217" spans="1:25" x14ac:dyDescent="0.3">
      <c r="A217" s="76">
        <v>216</v>
      </c>
      <c r="B217" s="6">
        <v>46183</v>
      </c>
      <c r="C217" s="6">
        <v>46185</v>
      </c>
      <c r="D217" s="17" t="str">
        <f t="shared" si="40"/>
        <v>June</v>
      </c>
      <c r="E217" s="5" t="str">
        <f t="shared" ca="1" si="41"/>
        <v>STU-319</v>
      </c>
      <c r="F217" s="5" t="str">
        <f ca="1">IF(COUNTIF($E$2:E217,E217)=1,"New Customer","Returning Customer")</f>
        <v>New Customer</v>
      </c>
      <c r="G217" s="5" t="str">
        <f t="shared" ca="1" si="42"/>
        <v>Not specified</v>
      </c>
      <c r="H217" s="5" t="s">
        <v>141</v>
      </c>
      <c r="I217" s="5" t="str" cm="1">
        <f t="array" aca="1" ref="I217" ca="1">INDEX(Courses!$B$9:$B$16,RANDBETWEEN(1,8))</f>
        <v>Excel Basics</v>
      </c>
      <c r="J217" s="5" t="str">
        <f ca="1">VLOOKUP(I217,Courses!$B$9:$C$16,2,0)</f>
        <v>Microsoft Office</v>
      </c>
      <c r="K217" s="7">
        <f ca="1">VLOOKUP(I217,Courses!$B$9:$D$16,3,0)</f>
        <v>29</v>
      </c>
      <c r="L217" s="5" t="str">
        <f t="shared" ca="1" si="43"/>
        <v>Pending</v>
      </c>
      <c r="M217" s="8" t="str" cm="1">
        <f t="array" aca="1" ref="M217" ca="1">INDEX('Payment Method'!$A$8:$A$12,RANDBETWEEN(1,5))</f>
        <v>Mastercard Credit</v>
      </c>
      <c r="N217" s="7">
        <f>IFERROR(SUMIF(Holiday!$A$8:$A$11,B217,Holiday!$C$8:$C$11),0)</f>
        <v>0</v>
      </c>
      <c r="O217" s="7">
        <f t="shared" ca="1" si="44"/>
        <v>29</v>
      </c>
      <c r="P217" s="19">
        <f t="shared" ca="1" si="45"/>
        <v>27.984999999999999</v>
      </c>
      <c r="Q217" s="7">
        <f t="shared" ca="1" si="46"/>
        <v>27.70515</v>
      </c>
      <c r="R217" s="8">
        <f ca="1">VLOOKUP(M217,'Payment Method'!$A$8:$B$12,2,0)</f>
        <v>3.5000000000000003E-2</v>
      </c>
      <c r="S217" s="9">
        <f t="shared" ca="1" si="36"/>
        <v>1.0150000000000006</v>
      </c>
      <c r="T217" s="8">
        <v>0.01</v>
      </c>
      <c r="U217" s="9">
        <f t="shared" ca="1" si="37"/>
        <v>0.27984999999999971</v>
      </c>
      <c r="V217" s="7">
        <f t="shared" ca="1" si="38"/>
        <v>0</v>
      </c>
      <c r="W217" s="7">
        <f t="shared" ca="1" si="39"/>
        <v>0</v>
      </c>
      <c r="X217" s="5" t="str">
        <f t="shared" ca="1" si="47"/>
        <v>Tiktok</v>
      </c>
      <c r="Y217" s="78" t="str">
        <f>IF(COUNTIF($C$1:C216,B216)=1,10,"")</f>
        <v/>
      </c>
    </row>
    <row r="218" spans="1:25" x14ac:dyDescent="0.3">
      <c r="A218" s="75">
        <v>217</v>
      </c>
      <c r="B218" s="6">
        <v>46222</v>
      </c>
      <c r="C218" s="6">
        <v>46227</v>
      </c>
      <c r="D218" s="17" t="str">
        <f t="shared" si="40"/>
        <v>July</v>
      </c>
      <c r="E218" s="5" t="str">
        <f t="shared" ca="1" si="41"/>
        <v>STU-99</v>
      </c>
      <c r="F218" s="5" t="str">
        <f ca="1">IF(COUNTIF($E$2:E218,E218)=1,"New Customer","Returning Customer")</f>
        <v>New Customer</v>
      </c>
      <c r="G218" s="5" t="str">
        <f t="shared" ca="1" si="42"/>
        <v>Male</v>
      </c>
      <c r="H218" s="5" t="s">
        <v>142</v>
      </c>
      <c r="I218" s="5" t="str" cm="1">
        <f t="array" aca="1" ref="I218" ca="1">INDEX(Courses!$B$9:$B$16,RANDBETWEEN(1,8))</f>
        <v>Tax Code</v>
      </c>
      <c r="J218" s="5" t="str">
        <f ca="1">VLOOKUP(I218,Courses!$B$9:$C$16,2,0)</f>
        <v>Finance &amp; Taxation</v>
      </c>
      <c r="K218" s="7">
        <f ca="1">VLOOKUP(I218,Courses!$B$9:$D$16,3,0)</f>
        <v>59</v>
      </c>
      <c r="L218" s="5" t="str">
        <f t="shared" ca="1" si="43"/>
        <v>Paid</v>
      </c>
      <c r="M218" s="8" t="str" cm="1">
        <f t="array" aca="1" ref="M218" ca="1">INDEX('Payment Method'!$A$8:$A$12,RANDBETWEEN(1,5))</f>
        <v>Bank Transfer</v>
      </c>
      <c r="N218" s="7">
        <f>IFERROR(SUMIF(Holiday!$A$8:$A$11,B218,Holiday!$C$8:$C$11),0)</f>
        <v>0</v>
      </c>
      <c r="O218" s="7">
        <f t="shared" ca="1" si="44"/>
        <v>59</v>
      </c>
      <c r="P218" s="19">
        <f t="shared" ca="1" si="45"/>
        <v>59</v>
      </c>
      <c r="Q218" s="7">
        <f t="shared" ca="1" si="46"/>
        <v>0</v>
      </c>
      <c r="R218" s="8">
        <f ca="1">VLOOKUP(M218,'Payment Method'!$A$8:$B$12,2,0)</f>
        <v>0</v>
      </c>
      <c r="S218" s="9">
        <f t="shared" ca="1" si="36"/>
        <v>0</v>
      </c>
      <c r="T218" s="8">
        <v>0.01</v>
      </c>
      <c r="U218" s="9">
        <f t="shared" ca="1" si="37"/>
        <v>0.59000000000000341</v>
      </c>
      <c r="V218" s="7">
        <f t="shared" ca="1" si="38"/>
        <v>0</v>
      </c>
      <c r="W218" s="7">
        <f t="shared" ca="1" si="39"/>
        <v>58.41</v>
      </c>
      <c r="X218" s="5" t="str">
        <f t="shared" ca="1" si="47"/>
        <v>Tiktok</v>
      </c>
      <c r="Y218" s="78">
        <f>IF(COUNTIF($C$1:C217,B217)=1,10,"")</f>
        <v>10</v>
      </c>
    </row>
    <row r="219" spans="1:25" x14ac:dyDescent="0.3">
      <c r="A219" s="76">
        <v>218</v>
      </c>
      <c r="B219" s="6">
        <v>46026</v>
      </c>
      <c r="C219" s="6">
        <v>46030</v>
      </c>
      <c r="D219" s="17" t="str">
        <f t="shared" si="40"/>
        <v>January</v>
      </c>
      <c r="E219" s="5" t="str">
        <f t="shared" ca="1" si="41"/>
        <v>STU-123</v>
      </c>
      <c r="F219" s="5" t="str">
        <f ca="1">IF(COUNTIF($E$2:E219,E219)=1,"New Customer","Returning Customer")</f>
        <v>New Customer</v>
      </c>
      <c r="G219" s="5" t="str">
        <f t="shared" ca="1" si="42"/>
        <v>Not specified</v>
      </c>
      <c r="H219" s="5" t="s">
        <v>138</v>
      </c>
      <c r="I219" s="5" t="str" cm="1">
        <f t="array" aca="1" ref="I219" ca="1">INDEX(Courses!$B$9:$B$16,RANDBETWEEN(1,8))</f>
        <v>Microsoft Word</v>
      </c>
      <c r="J219" s="5" t="str">
        <f ca="1">VLOOKUP(I219,Courses!$B$9:$C$16,2,0)</f>
        <v>Microsoft Office</v>
      </c>
      <c r="K219" s="7">
        <f ca="1">VLOOKUP(I219,Courses!$B$9:$D$16,3,0)</f>
        <v>29</v>
      </c>
      <c r="L219" s="5" t="str">
        <f t="shared" ca="1" si="43"/>
        <v>Paid</v>
      </c>
      <c r="M219" s="8" t="str" cm="1">
        <f t="array" aca="1" ref="M219" ca="1">INDEX('Payment Method'!$A$8:$A$12,RANDBETWEEN(1,5))</f>
        <v>Visa Debit</v>
      </c>
      <c r="N219" s="7">
        <f>IFERROR(SUMIF(Holiday!$A$8:$A$11,B219,Holiday!$C$8:$C$11),0)</f>
        <v>0</v>
      </c>
      <c r="O219" s="7">
        <f t="shared" ca="1" si="44"/>
        <v>29</v>
      </c>
      <c r="P219" s="19">
        <f t="shared" ca="1" si="45"/>
        <v>28.42</v>
      </c>
      <c r="Q219" s="7">
        <f t="shared" ca="1" si="46"/>
        <v>0</v>
      </c>
      <c r="R219" s="8">
        <f ca="1">VLOOKUP(M219,'Payment Method'!$A$8:$B$12,2,0)</f>
        <v>0.02</v>
      </c>
      <c r="S219" s="9">
        <f t="shared" ca="1" si="36"/>
        <v>0.57999999999999829</v>
      </c>
      <c r="T219" s="8">
        <v>0.01</v>
      </c>
      <c r="U219" s="9">
        <f t="shared" ca="1" si="37"/>
        <v>0.28419999999999845</v>
      </c>
      <c r="V219" s="7">
        <f t="shared" ca="1" si="38"/>
        <v>0</v>
      </c>
      <c r="W219" s="7">
        <f t="shared" ca="1" si="39"/>
        <v>28.135800000000003</v>
      </c>
      <c r="X219" s="5" t="str">
        <f t="shared" ca="1" si="47"/>
        <v>Facebook</v>
      </c>
      <c r="Y219" s="78" t="str">
        <f>IF(COUNTIF($C$1:C218,B218)=1,10,"")</f>
        <v/>
      </c>
    </row>
    <row r="220" spans="1:25" x14ac:dyDescent="0.3">
      <c r="A220" s="75">
        <v>219</v>
      </c>
      <c r="B220" s="6">
        <v>46204</v>
      </c>
      <c r="C220" s="6">
        <v>46204</v>
      </c>
      <c r="D220" s="17" t="str">
        <f t="shared" si="40"/>
        <v>July</v>
      </c>
      <c r="E220" s="5" t="str">
        <f t="shared" ca="1" si="41"/>
        <v>STU-887</v>
      </c>
      <c r="F220" s="5" t="str">
        <f ca="1">IF(COUNTIF($E$2:E220,E220)=1,"New Customer","Returning Customer")</f>
        <v>New Customer</v>
      </c>
      <c r="G220" s="5" t="str">
        <f t="shared" ca="1" si="42"/>
        <v>Male</v>
      </c>
      <c r="H220" s="5" t="s">
        <v>136</v>
      </c>
      <c r="I220" s="5" t="str" cm="1">
        <f t="array" aca="1" ref="I220" ca="1">INDEX(Courses!$B$9:$B$16,RANDBETWEEN(1,8))</f>
        <v>Tax Code</v>
      </c>
      <c r="J220" s="5" t="str">
        <f ca="1">VLOOKUP(I220,Courses!$B$9:$C$16,2,0)</f>
        <v>Finance &amp; Taxation</v>
      </c>
      <c r="K220" s="7">
        <f ca="1">VLOOKUP(I220,Courses!$B$9:$D$16,3,0)</f>
        <v>59</v>
      </c>
      <c r="L220" s="5" t="str">
        <f t="shared" ca="1" si="43"/>
        <v>Paid</v>
      </c>
      <c r="M220" s="8" t="str" cm="1">
        <f t="array" aca="1" ref="M220" ca="1">INDEX('Payment Method'!$A$8:$A$12,RANDBETWEEN(1,5))</f>
        <v>Mastercard Credit</v>
      </c>
      <c r="N220" s="7">
        <f>IFERROR(SUMIF(Holiday!$A$8:$A$11,B220,Holiday!$C$8:$C$11),0)</f>
        <v>0</v>
      </c>
      <c r="O220" s="7">
        <f t="shared" ca="1" si="44"/>
        <v>59</v>
      </c>
      <c r="P220" s="19">
        <f t="shared" ca="1" si="45"/>
        <v>56.935000000000002</v>
      </c>
      <c r="Q220" s="7">
        <f t="shared" ca="1" si="46"/>
        <v>0</v>
      </c>
      <c r="R220" s="8">
        <f ca="1">VLOOKUP(M220,'Payment Method'!$A$8:$B$12,2,0)</f>
        <v>3.5000000000000003E-2</v>
      </c>
      <c r="S220" s="9">
        <f t="shared" ca="1" si="36"/>
        <v>2.0649999999999977</v>
      </c>
      <c r="T220" s="8">
        <v>0.01</v>
      </c>
      <c r="U220" s="9">
        <f t="shared" ca="1" si="37"/>
        <v>0.56935000000000002</v>
      </c>
      <c r="V220" s="7">
        <f t="shared" ca="1" si="38"/>
        <v>0</v>
      </c>
      <c r="W220" s="7">
        <f t="shared" ca="1" si="39"/>
        <v>56.365650000000002</v>
      </c>
      <c r="X220" s="5" t="str">
        <f t="shared" ca="1" si="47"/>
        <v>Facebook</v>
      </c>
      <c r="Y220" s="78">
        <f>IF(COUNTIF($C$1:C219,B219)=1,10,"")</f>
        <v>10</v>
      </c>
    </row>
    <row r="221" spans="1:25" x14ac:dyDescent="0.3">
      <c r="A221" s="76">
        <v>220</v>
      </c>
      <c r="B221" s="6">
        <v>46068</v>
      </c>
      <c r="C221" s="6">
        <v>46073</v>
      </c>
      <c r="D221" s="17" t="str">
        <f t="shared" si="40"/>
        <v>February</v>
      </c>
      <c r="E221" s="5" t="str">
        <f t="shared" ca="1" si="41"/>
        <v>STU-737</v>
      </c>
      <c r="F221" s="5" t="str">
        <f ca="1">IF(COUNTIF($E$2:E221,E221)=1,"New Customer","Returning Customer")</f>
        <v>New Customer</v>
      </c>
      <c r="G221" s="5" t="str">
        <f t="shared" ca="1" si="42"/>
        <v>Female</v>
      </c>
      <c r="H221" s="5" t="s">
        <v>136</v>
      </c>
      <c r="I221" s="5" t="str" cm="1">
        <f t="array" aca="1" ref="I221" ca="1">INDEX(Courses!$B$9:$B$16,RANDBETWEEN(1,8))</f>
        <v>Power BI</v>
      </c>
      <c r="J221" s="5" t="str">
        <f ca="1">VLOOKUP(I221,Courses!$B$9:$C$16,2,0)</f>
        <v>Data Analytics</v>
      </c>
      <c r="K221" s="7">
        <f ca="1">VLOOKUP(I221,Courses!$B$9:$D$16,3,0)</f>
        <v>59</v>
      </c>
      <c r="L221" s="5" t="str">
        <f t="shared" ca="1" si="43"/>
        <v>Paid</v>
      </c>
      <c r="M221" s="8" t="str" cm="1">
        <f t="array" aca="1" ref="M221" ca="1">INDEX('Payment Method'!$A$8:$A$12,RANDBETWEEN(1,5))</f>
        <v>Mastercard Credit</v>
      </c>
      <c r="N221" s="7">
        <f>IFERROR(SUMIF(Holiday!$A$8:$A$11,B221,Holiday!$C$8:$C$11),0)</f>
        <v>0</v>
      </c>
      <c r="O221" s="7">
        <f t="shared" ca="1" si="44"/>
        <v>59</v>
      </c>
      <c r="P221" s="19">
        <f t="shared" ca="1" si="45"/>
        <v>56.935000000000002</v>
      </c>
      <c r="Q221" s="7">
        <f t="shared" ca="1" si="46"/>
        <v>0</v>
      </c>
      <c r="R221" s="8">
        <f ca="1">VLOOKUP(M221,'Payment Method'!$A$8:$B$12,2,0)</f>
        <v>3.5000000000000003E-2</v>
      </c>
      <c r="S221" s="9">
        <f t="shared" ca="1" si="36"/>
        <v>2.0649999999999977</v>
      </c>
      <c r="T221" s="8">
        <v>0.01</v>
      </c>
      <c r="U221" s="9">
        <f t="shared" ca="1" si="37"/>
        <v>0.56935000000000002</v>
      </c>
      <c r="V221" s="7">
        <f t="shared" ca="1" si="38"/>
        <v>0</v>
      </c>
      <c r="W221" s="7">
        <f t="shared" ca="1" si="39"/>
        <v>56.365650000000002</v>
      </c>
      <c r="X221" s="5" t="str">
        <f t="shared" ca="1" si="47"/>
        <v>Instagram</v>
      </c>
      <c r="Y221" s="78" t="str">
        <f>IF(COUNTIF($C$1:C220,B220)=1,10,"")</f>
        <v/>
      </c>
    </row>
    <row r="222" spans="1:25" x14ac:dyDescent="0.3">
      <c r="A222" s="75">
        <v>221</v>
      </c>
      <c r="B222" s="6">
        <v>46194</v>
      </c>
      <c r="C222" s="6">
        <v>46196</v>
      </c>
      <c r="D222" s="17" t="str">
        <f t="shared" si="40"/>
        <v>June</v>
      </c>
      <c r="E222" s="5" t="str">
        <f t="shared" ca="1" si="41"/>
        <v>STU-854</v>
      </c>
      <c r="F222" s="5" t="str">
        <f ca="1">IF(COUNTIF($E$2:E222,E222)=1,"New Customer","Returning Customer")</f>
        <v>New Customer</v>
      </c>
      <c r="G222" s="5" t="str">
        <f t="shared" ca="1" si="42"/>
        <v>Not specified</v>
      </c>
      <c r="H222" s="5" t="s">
        <v>137</v>
      </c>
      <c r="I222" s="5" t="str" cm="1">
        <f t="array" aca="1" ref="I222" ca="1">INDEX(Courses!$B$9:$B$16,RANDBETWEEN(1,8))</f>
        <v>Power BI</v>
      </c>
      <c r="J222" s="5" t="str">
        <f ca="1">VLOOKUP(I222,Courses!$B$9:$C$16,2,0)</f>
        <v>Data Analytics</v>
      </c>
      <c r="K222" s="7">
        <f ca="1">VLOOKUP(I222,Courses!$B$9:$D$16,3,0)</f>
        <v>59</v>
      </c>
      <c r="L222" s="5" t="str">
        <f t="shared" ca="1" si="43"/>
        <v>Paid</v>
      </c>
      <c r="M222" s="8" t="str" cm="1">
        <f t="array" aca="1" ref="M222" ca="1">INDEX('Payment Method'!$A$8:$A$12,RANDBETWEEN(1,5))</f>
        <v>Mastercard Debit</v>
      </c>
      <c r="N222" s="7">
        <f>IFERROR(SUMIF(Holiday!$A$8:$A$11,B222,Holiday!$C$8:$C$11),0)</f>
        <v>0</v>
      </c>
      <c r="O222" s="7">
        <f t="shared" ca="1" si="44"/>
        <v>59</v>
      </c>
      <c r="P222" s="19">
        <f t="shared" ca="1" si="45"/>
        <v>57.82</v>
      </c>
      <c r="Q222" s="7">
        <f t="shared" ca="1" si="46"/>
        <v>0</v>
      </c>
      <c r="R222" s="8">
        <f ca="1">VLOOKUP(M222,'Payment Method'!$A$8:$B$12,2,0)</f>
        <v>0.02</v>
      </c>
      <c r="S222" s="9">
        <f t="shared" ca="1" si="36"/>
        <v>1.1799999999999997</v>
      </c>
      <c r="T222" s="8">
        <v>0.01</v>
      </c>
      <c r="U222" s="9">
        <f t="shared" ca="1" si="37"/>
        <v>0.57820000000000249</v>
      </c>
      <c r="V222" s="7">
        <f t="shared" ca="1" si="38"/>
        <v>0</v>
      </c>
      <c r="W222" s="7">
        <f t="shared" ca="1" si="39"/>
        <v>57.241799999999998</v>
      </c>
      <c r="X222" s="5" t="str">
        <f t="shared" ca="1" si="47"/>
        <v>Facebook</v>
      </c>
      <c r="Y222" s="78" t="str">
        <f>IF(COUNTIF($C$1:C221,B221)=1,10,"")</f>
        <v/>
      </c>
    </row>
    <row r="223" spans="1:25" x14ac:dyDescent="0.3">
      <c r="A223" s="76">
        <v>222</v>
      </c>
      <c r="B223" s="6">
        <v>46225</v>
      </c>
      <c r="C223" s="6">
        <v>46230</v>
      </c>
      <c r="D223" s="17" t="str">
        <f t="shared" si="40"/>
        <v>July</v>
      </c>
      <c r="E223" s="5" t="str">
        <f t="shared" ca="1" si="41"/>
        <v>STU-335</v>
      </c>
      <c r="F223" s="5" t="str">
        <f ca="1">IF(COUNTIF($E$2:E223,E223)=1,"New Customer","Returning Customer")</f>
        <v>New Customer</v>
      </c>
      <c r="G223" s="5" t="str">
        <f t="shared" ca="1" si="42"/>
        <v>Not specified</v>
      </c>
      <c r="H223" s="5" t="s">
        <v>135</v>
      </c>
      <c r="I223" s="5" t="str" cm="1">
        <f t="array" aca="1" ref="I223" ca="1">INDEX(Courses!$B$9:$B$16,RANDBETWEEN(1,8))</f>
        <v>Excel Basics</v>
      </c>
      <c r="J223" s="5" t="str">
        <f ca="1">VLOOKUP(I223,Courses!$B$9:$C$16,2,0)</f>
        <v>Microsoft Office</v>
      </c>
      <c r="K223" s="7">
        <f ca="1">VLOOKUP(I223,Courses!$B$9:$D$16,3,0)</f>
        <v>29</v>
      </c>
      <c r="L223" s="5" t="str">
        <f t="shared" ca="1" si="43"/>
        <v>Pending</v>
      </c>
      <c r="M223" s="8" t="str" cm="1">
        <f t="array" aca="1" ref="M223" ca="1">INDEX('Payment Method'!$A$8:$A$12,RANDBETWEEN(1,5))</f>
        <v>Visa Credit</v>
      </c>
      <c r="N223" s="7">
        <f>IFERROR(SUMIF(Holiday!$A$8:$A$11,B223,Holiday!$C$8:$C$11),0)</f>
        <v>0</v>
      </c>
      <c r="O223" s="7">
        <f t="shared" ca="1" si="44"/>
        <v>29</v>
      </c>
      <c r="P223" s="19">
        <f t="shared" ca="1" si="45"/>
        <v>27.984999999999999</v>
      </c>
      <c r="Q223" s="7">
        <f t="shared" ca="1" si="46"/>
        <v>27.70515</v>
      </c>
      <c r="R223" s="8">
        <f ca="1">VLOOKUP(M223,'Payment Method'!$A$8:$B$12,2,0)</f>
        <v>3.5000000000000003E-2</v>
      </c>
      <c r="S223" s="9">
        <f t="shared" ca="1" si="36"/>
        <v>1.0150000000000006</v>
      </c>
      <c r="T223" s="8">
        <v>0.01</v>
      </c>
      <c r="U223" s="9">
        <f t="shared" ca="1" si="37"/>
        <v>0.27984999999999971</v>
      </c>
      <c r="V223" s="7">
        <f t="shared" ca="1" si="38"/>
        <v>0</v>
      </c>
      <c r="W223" s="7">
        <f t="shared" ca="1" si="39"/>
        <v>0</v>
      </c>
      <c r="X223" s="5" t="str">
        <f t="shared" ca="1" si="47"/>
        <v>Instagram</v>
      </c>
      <c r="Y223" s="78">
        <f>IF(COUNTIF($C$1:C222,B222)=1,10,"")</f>
        <v>10</v>
      </c>
    </row>
    <row r="224" spans="1:25" x14ac:dyDescent="0.3">
      <c r="A224" s="75">
        <v>223</v>
      </c>
      <c r="B224" s="6">
        <v>46176</v>
      </c>
      <c r="C224" s="6">
        <v>46177</v>
      </c>
      <c r="D224" s="17" t="str">
        <f t="shared" si="40"/>
        <v>June</v>
      </c>
      <c r="E224" s="5" t="str">
        <f t="shared" ca="1" si="41"/>
        <v>STU-150</v>
      </c>
      <c r="F224" s="5" t="str">
        <f ca="1">IF(COUNTIF($E$2:E224,E224)=1,"New Customer","Returning Customer")</f>
        <v>New Customer</v>
      </c>
      <c r="G224" s="5" t="str">
        <f t="shared" ca="1" si="42"/>
        <v>Female</v>
      </c>
      <c r="H224" s="5" t="s">
        <v>135</v>
      </c>
      <c r="I224" s="5" t="str" cm="1">
        <f t="array" aca="1" ref="I224" ca="1">INDEX(Courses!$B$9:$B$16,RANDBETWEEN(1,8))</f>
        <v>Microsoft Word</v>
      </c>
      <c r="J224" s="5" t="str">
        <f ca="1">VLOOKUP(I224,Courses!$B$9:$C$16,2,0)</f>
        <v>Microsoft Office</v>
      </c>
      <c r="K224" s="7">
        <f ca="1">VLOOKUP(I224,Courses!$B$9:$D$16,3,0)</f>
        <v>29</v>
      </c>
      <c r="L224" s="5" t="str">
        <f t="shared" ca="1" si="43"/>
        <v>Refunded</v>
      </c>
      <c r="M224" s="8" t="str" cm="1">
        <f t="array" aca="1" ref="M224" ca="1">INDEX('Payment Method'!$A$8:$A$12,RANDBETWEEN(1,5))</f>
        <v>Mastercard Debit</v>
      </c>
      <c r="N224" s="7">
        <f>IFERROR(SUMIF(Holiday!$A$8:$A$11,B224,Holiday!$C$8:$C$11),0)</f>
        <v>0</v>
      </c>
      <c r="O224" s="7">
        <f t="shared" ca="1" si="44"/>
        <v>29</v>
      </c>
      <c r="P224" s="19">
        <f t="shared" ca="1" si="45"/>
        <v>28.42</v>
      </c>
      <c r="Q224" s="7">
        <f t="shared" ca="1" si="46"/>
        <v>0</v>
      </c>
      <c r="R224" s="8">
        <f ca="1">VLOOKUP(M224,'Payment Method'!$A$8:$B$12,2,0)</f>
        <v>0.02</v>
      </c>
      <c r="S224" s="9">
        <f t="shared" ca="1" si="36"/>
        <v>0.57999999999999829</v>
      </c>
      <c r="T224" s="8">
        <v>0.01</v>
      </c>
      <c r="U224" s="9">
        <f t="shared" ca="1" si="37"/>
        <v>0.28419999999999845</v>
      </c>
      <c r="V224" s="7">
        <f t="shared" ca="1" si="38"/>
        <v>28.135800000000003</v>
      </c>
      <c r="W224" s="7">
        <f t="shared" ca="1" si="39"/>
        <v>0</v>
      </c>
      <c r="X224" s="5" t="str">
        <f t="shared" ca="1" si="47"/>
        <v>Instagram</v>
      </c>
      <c r="Y224" s="78">
        <f>IF(COUNTIF($C$1:C223,B223)=1,10,"")</f>
        <v>10</v>
      </c>
    </row>
    <row r="225" spans="1:25" x14ac:dyDescent="0.3">
      <c r="A225" s="76">
        <v>224</v>
      </c>
      <c r="B225" s="6">
        <v>46127</v>
      </c>
      <c r="C225" s="6">
        <v>46132</v>
      </c>
      <c r="D225" s="17" t="str">
        <f t="shared" si="40"/>
        <v>April</v>
      </c>
      <c r="E225" s="5" t="str">
        <f t="shared" ca="1" si="41"/>
        <v>STU-289</v>
      </c>
      <c r="F225" s="5" t="str">
        <f ca="1">IF(COUNTIF($E$2:E225,E225)=1,"New Customer","Returning Customer")</f>
        <v>Returning Customer</v>
      </c>
      <c r="G225" s="5" t="str">
        <f t="shared" ca="1" si="42"/>
        <v>Not specified</v>
      </c>
      <c r="H225" s="5" t="s">
        <v>138</v>
      </c>
      <c r="I225" s="5" t="str" cm="1">
        <f t="array" aca="1" ref="I225" ca="1">INDEX(Courses!$B$9:$B$16,RANDBETWEEN(1,8))</f>
        <v>Adolescent Psychology</v>
      </c>
      <c r="J225" s="5" t="str">
        <f ca="1">VLOOKUP(I225,Courses!$B$9:$C$16,2,0)</f>
        <v>Psychology</v>
      </c>
      <c r="K225" s="7">
        <f ca="1">VLOOKUP(I225,Courses!$B$9:$D$16,3,0)</f>
        <v>29</v>
      </c>
      <c r="L225" s="5" t="str">
        <f t="shared" ca="1" si="43"/>
        <v>Paid</v>
      </c>
      <c r="M225" s="8" t="str" cm="1">
        <f t="array" aca="1" ref="M225" ca="1">INDEX('Payment Method'!$A$8:$A$12,RANDBETWEEN(1,5))</f>
        <v>Mastercard Credit</v>
      </c>
      <c r="N225" s="7">
        <f>IFERROR(SUMIF(Holiday!$A$8:$A$11,B225,Holiday!$C$8:$C$11),0)</f>
        <v>0</v>
      </c>
      <c r="O225" s="7">
        <f t="shared" ca="1" si="44"/>
        <v>29</v>
      </c>
      <c r="P225" s="19">
        <f t="shared" ca="1" si="45"/>
        <v>27.984999999999999</v>
      </c>
      <c r="Q225" s="7">
        <f t="shared" ca="1" si="46"/>
        <v>0</v>
      </c>
      <c r="R225" s="8">
        <f ca="1">VLOOKUP(M225,'Payment Method'!$A$8:$B$12,2,0)</f>
        <v>3.5000000000000003E-2</v>
      </c>
      <c r="S225" s="9">
        <f t="shared" ca="1" si="36"/>
        <v>1.0150000000000006</v>
      </c>
      <c r="T225" s="8">
        <v>0.01</v>
      </c>
      <c r="U225" s="9">
        <f t="shared" ca="1" si="37"/>
        <v>0.27984999999999971</v>
      </c>
      <c r="V225" s="7">
        <f t="shared" ca="1" si="38"/>
        <v>0</v>
      </c>
      <c r="W225" s="7">
        <f t="shared" ca="1" si="39"/>
        <v>27.70515</v>
      </c>
      <c r="X225" s="5" t="str">
        <f t="shared" ca="1" si="47"/>
        <v>Instagram</v>
      </c>
      <c r="Y225" s="78" t="str">
        <f>IF(COUNTIF($C$1:C224,B224)=1,10,"")</f>
        <v/>
      </c>
    </row>
    <row r="226" spans="1:25" x14ac:dyDescent="0.3">
      <c r="A226" s="75">
        <v>225</v>
      </c>
      <c r="B226" s="6">
        <v>46044</v>
      </c>
      <c r="C226" s="6">
        <v>46048</v>
      </c>
      <c r="D226" s="17" t="str">
        <f t="shared" si="40"/>
        <v>January</v>
      </c>
      <c r="E226" s="5" t="str">
        <f t="shared" ca="1" si="41"/>
        <v>STU-167</v>
      </c>
      <c r="F226" s="5" t="str">
        <f ca="1">IF(COUNTIF($E$2:E226,E226)=1,"New Customer","Returning Customer")</f>
        <v>New Customer</v>
      </c>
      <c r="G226" s="5" t="str">
        <f t="shared" ca="1" si="42"/>
        <v>Not specified</v>
      </c>
      <c r="H226" s="5" t="s">
        <v>135</v>
      </c>
      <c r="I226" s="5" t="str" cm="1">
        <f t="array" aca="1" ref="I226" ca="1">INDEX(Courses!$B$9:$B$16,RANDBETWEEN(1,8))</f>
        <v>Tax Code</v>
      </c>
      <c r="J226" s="5" t="str">
        <f ca="1">VLOOKUP(I226,Courses!$B$9:$C$16,2,0)</f>
        <v>Finance &amp; Taxation</v>
      </c>
      <c r="K226" s="7">
        <f ca="1">VLOOKUP(I226,Courses!$B$9:$D$16,3,0)</f>
        <v>59</v>
      </c>
      <c r="L226" s="5" t="str">
        <f t="shared" ca="1" si="43"/>
        <v>Paid</v>
      </c>
      <c r="M226" s="8" t="str" cm="1">
        <f t="array" aca="1" ref="M226" ca="1">INDEX('Payment Method'!$A$8:$A$12,RANDBETWEEN(1,5))</f>
        <v>Bank Transfer</v>
      </c>
      <c r="N226" s="7">
        <f>IFERROR(SUMIF(Holiday!$A$8:$A$11,B226,Holiday!$C$8:$C$11),0)</f>
        <v>0</v>
      </c>
      <c r="O226" s="7">
        <f t="shared" ca="1" si="44"/>
        <v>59</v>
      </c>
      <c r="P226" s="19">
        <f t="shared" ca="1" si="45"/>
        <v>59</v>
      </c>
      <c r="Q226" s="7">
        <f t="shared" ca="1" si="46"/>
        <v>0</v>
      </c>
      <c r="R226" s="8">
        <f ca="1">VLOOKUP(M226,'Payment Method'!$A$8:$B$12,2,0)</f>
        <v>0</v>
      </c>
      <c r="S226" s="9">
        <f t="shared" ca="1" si="36"/>
        <v>0</v>
      </c>
      <c r="T226" s="8">
        <v>0.01</v>
      </c>
      <c r="U226" s="9">
        <f t="shared" ca="1" si="37"/>
        <v>0.59000000000000341</v>
      </c>
      <c r="V226" s="7">
        <f t="shared" ca="1" si="38"/>
        <v>0</v>
      </c>
      <c r="W226" s="7">
        <f t="shared" ca="1" si="39"/>
        <v>58.41</v>
      </c>
      <c r="X226" s="5" t="str">
        <f t="shared" ca="1" si="47"/>
        <v>Instagram</v>
      </c>
      <c r="Y226" s="78">
        <f>IF(COUNTIF($C$1:C225,B225)=1,10,"")</f>
        <v>10</v>
      </c>
    </row>
    <row r="227" spans="1:25" x14ac:dyDescent="0.3">
      <c r="A227" s="76">
        <v>226</v>
      </c>
      <c r="B227" s="6">
        <v>46219</v>
      </c>
      <c r="C227" s="6">
        <v>46224</v>
      </c>
      <c r="D227" s="17" t="str">
        <f t="shared" si="40"/>
        <v>July</v>
      </c>
      <c r="E227" s="5" t="str">
        <f t="shared" ca="1" si="41"/>
        <v>STU-375</v>
      </c>
      <c r="F227" s="5" t="str">
        <f ca="1">IF(COUNTIF($E$2:E227,E227)=1,"New Customer","Returning Customer")</f>
        <v>New Customer</v>
      </c>
      <c r="G227" s="5" t="str">
        <f t="shared" ca="1" si="42"/>
        <v>Female</v>
      </c>
      <c r="H227" s="5" t="s">
        <v>137</v>
      </c>
      <c r="I227" s="5" t="str" cm="1">
        <f t="array" aca="1" ref="I227" ca="1">INDEX(Courses!$B$9:$B$16,RANDBETWEEN(1,8))</f>
        <v>Tax Code</v>
      </c>
      <c r="J227" s="5" t="str">
        <f ca="1">VLOOKUP(I227,Courses!$B$9:$C$16,2,0)</f>
        <v>Finance &amp; Taxation</v>
      </c>
      <c r="K227" s="7">
        <f ca="1">VLOOKUP(I227,Courses!$B$9:$D$16,3,0)</f>
        <v>59</v>
      </c>
      <c r="L227" s="5" t="str">
        <f t="shared" ca="1" si="43"/>
        <v>Paid</v>
      </c>
      <c r="M227" s="8" t="str" cm="1">
        <f t="array" aca="1" ref="M227" ca="1">INDEX('Payment Method'!$A$8:$A$12,RANDBETWEEN(1,5))</f>
        <v>Mastercard Debit</v>
      </c>
      <c r="N227" s="7">
        <f>IFERROR(SUMIF(Holiday!$A$8:$A$11,B227,Holiday!$C$8:$C$11),0)</f>
        <v>0</v>
      </c>
      <c r="O227" s="7">
        <f t="shared" ca="1" si="44"/>
        <v>59</v>
      </c>
      <c r="P227" s="19">
        <f t="shared" ca="1" si="45"/>
        <v>57.82</v>
      </c>
      <c r="Q227" s="7">
        <f t="shared" ca="1" si="46"/>
        <v>0</v>
      </c>
      <c r="R227" s="8">
        <f ca="1">VLOOKUP(M227,'Payment Method'!$A$8:$B$12,2,0)</f>
        <v>0.02</v>
      </c>
      <c r="S227" s="9">
        <f t="shared" ca="1" si="36"/>
        <v>1.1799999999999997</v>
      </c>
      <c r="T227" s="8">
        <v>0.01</v>
      </c>
      <c r="U227" s="9">
        <f t="shared" ca="1" si="37"/>
        <v>0.57820000000000249</v>
      </c>
      <c r="V227" s="7">
        <f t="shared" ca="1" si="38"/>
        <v>0</v>
      </c>
      <c r="W227" s="7">
        <f t="shared" ca="1" si="39"/>
        <v>57.241799999999998</v>
      </c>
      <c r="X227" s="5" t="str">
        <f t="shared" ca="1" si="47"/>
        <v>Instagram</v>
      </c>
      <c r="Y227" s="78" t="str">
        <f>IF(COUNTIF($C$1:C226,B226)=1,10,"")</f>
        <v/>
      </c>
    </row>
    <row r="228" spans="1:25" x14ac:dyDescent="0.3">
      <c r="A228" s="75">
        <v>227</v>
      </c>
      <c r="B228" s="6">
        <v>46077</v>
      </c>
      <c r="C228" s="6">
        <v>46081</v>
      </c>
      <c r="D228" s="17" t="str">
        <f t="shared" si="40"/>
        <v>February</v>
      </c>
      <c r="E228" s="5" t="str">
        <f t="shared" ca="1" si="41"/>
        <v>STU-227</v>
      </c>
      <c r="F228" s="5" t="str">
        <f ca="1">IF(COUNTIF($E$2:E228,E228)=1,"New Customer","Returning Customer")</f>
        <v>Returning Customer</v>
      </c>
      <c r="G228" s="5" t="str">
        <f t="shared" ca="1" si="42"/>
        <v>Male</v>
      </c>
      <c r="H228" s="5" t="s">
        <v>135</v>
      </c>
      <c r="I228" s="5" t="str" cm="1">
        <f t="array" aca="1" ref="I228" ca="1">INDEX(Courses!$B$9:$B$16,RANDBETWEEN(1,8))</f>
        <v>Adolescent Psychology</v>
      </c>
      <c r="J228" s="5" t="str">
        <f ca="1">VLOOKUP(I228,Courses!$B$9:$C$16,2,0)</f>
        <v>Psychology</v>
      </c>
      <c r="K228" s="7">
        <f ca="1">VLOOKUP(I228,Courses!$B$9:$D$16,3,0)</f>
        <v>29</v>
      </c>
      <c r="L228" s="5" t="str">
        <f t="shared" ca="1" si="43"/>
        <v>Paid</v>
      </c>
      <c r="M228" s="8" t="str" cm="1">
        <f t="array" aca="1" ref="M228" ca="1">INDEX('Payment Method'!$A$8:$A$12,RANDBETWEEN(1,5))</f>
        <v>Mastercard Debit</v>
      </c>
      <c r="N228" s="7">
        <f>IFERROR(SUMIF(Holiday!$A$8:$A$11,B228,Holiday!$C$8:$C$11),0)</f>
        <v>0</v>
      </c>
      <c r="O228" s="7">
        <f t="shared" ca="1" si="44"/>
        <v>29</v>
      </c>
      <c r="P228" s="19">
        <f t="shared" ca="1" si="45"/>
        <v>28.42</v>
      </c>
      <c r="Q228" s="7">
        <f t="shared" ca="1" si="46"/>
        <v>0</v>
      </c>
      <c r="R228" s="8">
        <f ca="1">VLOOKUP(M228,'Payment Method'!$A$8:$B$12,2,0)</f>
        <v>0.02</v>
      </c>
      <c r="S228" s="9">
        <f t="shared" ca="1" si="36"/>
        <v>0.57999999999999829</v>
      </c>
      <c r="T228" s="8">
        <v>0.01</v>
      </c>
      <c r="U228" s="9">
        <f t="shared" ca="1" si="37"/>
        <v>0.28419999999999845</v>
      </c>
      <c r="V228" s="7">
        <f t="shared" ca="1" si="38"/>
        <v>0</v>
      </c>
      <c r="W228" s="7">
        <f t="shared" ca="1" si="39"/>
        <v>28.135800000000003</v>
      </c>
      <c r="X228" s="5" t="str">
        <f t="shared" ca="1" si="47"/>
        <v>Instagram</v>
      </c>
      <c r="Y228" s="78" t="str">
        <f>IF(COUNTIF($C$1:C227,B227)=1,10,"")</f>
        <v/>
      </c>
    </row>
    <row r="229" spans="1:25" x14ac:dyDescent="0.3">
      <c r="A229" s="76">
        <v>228</v>
      </c>
      <c r="B229" s="6">
        <v>46068</v>
      </c>
      <c r="C229" s="6">
        <v>46068</v>
      </c>
      <c r="D229" s="17" t="str">
        <f t="shared" si="40"/>
        <v>February</v>
      </c>
      <c r="E229" s="5" t="str">
        <f t="shared" ca="1" si="41"/>
        <v>STU-918</v>
      </c>
      <c r="F229" s="5" t="str">
        <f ca="1">IF(COUNTIF($E$2:E229,E229)=1,"New Customer","Returning Customer")</f>
        <v>New Customer</v>
      </c>
      <c r="G229" s="5" t="str">
        <f t="shared" ca="1" si="42"/>
        <v>Female</v>
      </c>
      <c r="H229" s="5" t="s">
        <v>135</v>
      </c>
      <c r="I229" s="5" t="str" cm="1">
        <f t="array" aca="1" ref="I229" ca="1">INDEX(Courses!$B$9:$B$16,RANDBETWEEN(1,8))</f>
        <v>Tax Code</v>
      </c>
      <c r="J229" s="5" t="str">
        <f ca="1">VLOOKUP(I229,Courses!$B$9:$C$16,2,0)</f>
        <v>Finance &amp; Taxation</v>
      </c>
      <c r="K229" s="7">
        <f ca="1">VLOOKUP(I229,Courses!$B$9:$D$16,3,0)</f>
        <v>59</v>
      </c>
      <c r="L229" s="5" t="str">
        <f t="shared" ca="1" si="43"/>
        <v>Pending</v>
      </c>
      <c r="M229" s="8" t="str" cm="1">
        <f t="array" aca="1" ref="M229" ca="1">INDEX('Payment Method'!$A$8:$A$12,RANDBETWEEN(1,5))</f>
        <v>Mastercard Debit</v>
      </c>
      <c r="N229" s="7">
        <f>IFERROR(SUMIF(Holiday!$A$8:$A$11,B229,Holiday!$C$8:$C$11),0)</f>
        <v>0</v>
      </c>
      <c r="O229" s="7">
        <f t="shared" ca="1" si="44"/>
        <v>59</v>
      </c>
      <c r="P229" s="19">
        <f t="shared" ca="1" si="45"/>
        <v>57.82</v>
      </c>
      <c r="Q229" s="7">
        <f t="shared" ca="1" si="46"/>
        <v>57.241799999999998</v>
      </c>
      <c r="R229" s="8">
        <f ca="1">VLOOKUP(M229,'Payment Method'!$A$8:$B$12,2,0)</f>
        <v>0.02</v>
      </c>
      <c r="S229" s="9">
        <f t="shared" ca="1" si="36"/>
        <v>1.1799999999999997</v>
      </c>
      <c r="T229" s="8">
        <v>0.01</v>
      </c>
      <c r="U229" s="9">
        <f t="shared" ca="1" si="37"/>
        <v>0.57820000000000249</v>
      </c>
      <c r="V229" s="7">
        <f t="shared" ca="1" si="38"/>
        <v>0</v>
      </c>
      <c r="W229" s="7">
        <f t="shared" ca="1" si="39"/>
        <v>0</v>
      </c>
      <c r="X229" s="5" t="str">
        <f t="shared" ca="1" si="47"/>
        <v>Instagram</v>
      </c>
      <c r="Y229" s="78" t="str">
        <f>IF(COUNTIF($C$1:C228,B228)=1,10,"")</f>
        <v/>
      </c>
    </row>
    <row r="230" spans="1:25" x14ac:dyDescent="0.3">
      <c r="A230" s="75">
        <v>229</v>
      </c>
      <c r="B230" s="6">
        <v>46228</v>
      </c>
      <c r="C230" s="6">
        <v>46233</v>
      </c>
      <c r="D230" s="17" t="str">
        <f t="shared" si="40"/>
        <v>July</v>
      </c>
      <c r="E230" s="5" t="str">
        <f t="shared" ca="1" si="41"/>
        <v>STU-557</v>
      </c>
      <c r="F230" s="5" t="str">
        <f ca="1">IF(COUNTIF($E$2:E230,E230)=1,"New Customer","Returning Customer")</f>
        <v>New Customer</v>
      </c>
      <c r="G230" s="5" t="str">
        <f t="shared" ca="1" si="42"/>
        <v>Male</v>
      </c>
      <c r="H230" s="5" t="s">
        <v>136</v>
      </c>
      <c r="I230" s="5" t="str" cm="1">
        <f t="array" aca="1" ref="I230" ca="1">INDEX(Courses!$B$9:$B$16,RANDBETWEEN(1,8))</f>
        <v>Complete Excel Course</v>
      </c>
      <c r="J230" s="5" t="str">
        <f ca="1">VLOOKUP(I230,Courses!$B$9:$C$16,2,0)</f>
        <v>Microsoft Office</v>
      </c>
      <c r="K230" s="7">
        <f ca="1">VLOOKUP(I230,Courses!$B$9:$D$16,3,0)</f>
        <v>59</v>
      </c>
      <c r="L230" s="5" t="str">
        <f t="shared" ca="1" si="43"/>
        <v>Paid</v>
      </c>
      <c r="M230" s="8" t="str" cm="1">
        <f t="array" aca="1" ref="M230" ca="1">INDEX('Payment Method'!$A$8:$A$12,RANDBETWEEN(1,5))</f>
        <v>Mastercard Credit</v>
      </c>
      <c r="N230" s="7">
        <f>IFERROR(SUMIF(Holiday!$A$8:$A$11,B230,Holiday!$C$8:$C$11),0)</f>
        <v>0</v>
      </c>
      <c r="O230" s="7">
        <f t="shared" ca="1" si="44"/>
        <v>59</v>
      </c>
      <c r="P230" s="19">
        <f t="shared" ca="1" si="45"/>
        <v>56.935000000000002</v>
      </c>
      <c r="Q230" s="7">
        <f t="shared" ca="1" si="46"/>
        <v>0</v>
      </c>
      <c r="R230" s="8">
        <f ca="1">VLOOKUP(M230,'Payment Method'!$A$8:$B$12,2,0)</f>
        <v>3.5000000000000003E-2</v>
      </c>
      <c r="S230" s="9">
        <f t="shared" ca="1" si="36"/>
        <v>2.0649999999999977</v>
      </c>
      <c r="T230" s="8">
        <v>0.01</v>
      </c>
      <c r="U230" s="9">
        <f t="shared" ca="1" si="37"/>
        <v>0.56935000000000002</v>
      </c>
      <c r="V230" s="7">
        <f t="shared" ca="1" si="38"/>
        <v>0</v>
      </c>
      <c r="W230" s="7">
        <f t="shared" ca="1" si="39"/>
        <v>56.365650000000002</v>
      </c>
      <c r="X230" s="5" t="str">
        <f t="shared" ca="1" si="47"/>
        <v>Tiktok</v>
      </c>
      <c r="Y230" s="78">
        <f>IF(COUNTIF($C$1:C229,B229)=1,10,"")</f>
        <v>10</v>
      </c>
    </row>
    <row r="231" spans="1:25" x14ac:dyDescent="0.3">
      <c r="A231" s="76">
        <v>230</v>
      </c>
      <c r="B231" s="6">
        <v>46112</v>
      </c>
      <c r="C231" s="6">
        <v>46115</v>
      </c>
      <c r="D231" s="17" t="str">
        <f t="shared" si="40"/>
        <v>April</v>
      </c>
      <c r="E231" s="5" t="str">
        <f t="shared" ca="1" si="41"/>
        <v>STU-363</v>
      </c>
      <c r="F231" s="5" t="str">
        <f ca="1">IF(COUNTIF($E$2:E231,E231)=1,"New Customer","Returning Customer")</f>
        <v>Returning Customer</v>
      </c>
      <c r="G231" s="5" t="str">
        <f t="shared" ca="1" si="42"/>
        <v>Male</v>
      </c>
      <c r="H231" s="5" t="s">
        <v>136</v>
      </c>
      <c r="I231" s="5" t="str" cm="1">
        <f t="array" aca="1" ref="I231" ca="1">INDEX(Courses!$B$9:$B$16,RANDBETWEEN(1,8))</f>
        <v>Excel Basics</v>
      </c>
      <c r="J231" s="5" t="str">
        <f ca="1">VLOOKUP(I231,Courses!$B$9:$C$16,2,0)</f>
        <v>Microsoft Office</v>
      </c>
      <c r="K231" s="7">
        <f ca="1">VLOOKUP(I231,Courses!$B$9:$D$16,3,0)</f>
        <v>29</v>
      </c>
      <c r="L231" s="5" t="str">
        <f t="shared" ca="1" si="43"/>
        <v>Paid</v>
      </c>
      <c r="M231" s="8" t="str" cm="1">
        <f t="array" aca="1" ref="M231" ca="1">INDEX('Payment Method'!$A$8:$A$12,RANDBETWEEN(1,5))</f>
        <v>Visa Credit</v>
      </c>
      <c r="N231" s="7">
        <f>IFERROR(SUMIF(Holiday!$A$8:$A$11,B231,Holiday!$C$8:$C$11),0)</f>
        <v>0</v>
      </c>
      <c r="O231" s="7">
        <f t="shared" ca="1" si="44"/>
        <v>29</v>
      </c>
      <c r="P231" s="19">
        <f t="shared" ca="1" si="45"/>
        <v>27.984999999999999</v>
      </c>
      <c r="Q231" s="7">
        <f t="shared" ca="1" si="46"/>
        <v>0</v>
      </c>
      <c r="R231" s="8">
        <f ca="1">VLOOKUP(M231,'Payment Method'!$A$8:$B$12,2,0)</f>
        <v>3.5000000000000003E-2</v>
      </c>
      <c r="S231" s="9">
        <f t="shared" ca="1" si="36"/>
        <v>1.0150000000000006</v>
      </c>
      <c r="T231" s="8">
        <v>0.01</v>
      </c>
      <c r="U231" s="9">
        <f t="shared" ca="1" si="37"/>
        <v>0.27984999999999971</v>
      </c>
      <c r="V231" s="7">
        <f t="shared" ca="1" si="38"/>
        <v>0</v>
      </c>
      <c r="W231" s="7">
        <f t="shared" ca="1" si="39"/>
        <v>27.70515</v>
      </c>
      <c r="X231" s="5" t="str">
        <f t="shared" ca="1" si="47"/>
        <v>Instagram</v>
      </c>
      <c r="Y231" s="78" t="str">
        <f>IF(COUNTIF($C$1:C230,B230)=1,10,"")</f>
        <v/>
      </c>
    </row>
    <row r="232" spans="1:25" x14ac:dyDescent="0.3">
      <c r="A232" s="75">
        <v>231</v>
      </c>
      <c r="B232" s="6">
        <v>46138</v>
      </c>
      <c r="C232" s="6">
        <v>46141</v>
      </c>
      <c r="D232" s="17" t="str">
        <f t="shared" si="40"/>
        <v>April</v>
      </c>
      <c r="E232" s="5" t="str">
        <f t="shared" ca="1" si="41"/>
        <v>STU-501</v>
      </c>
      <c r="F232" s="5" t="str">
        <f ca="1">IF(COUNTIF($E$2:E232,E232)=1,"New Customer","Returning Customer")</f>
        <v>Returning Customer</v>
      </c>
      <c r="G232" s="5" t="str">
        <f t="shared" ca="1" si="42"/>
        <v>Not specified</v>
      </c>
      <c r="H232" s="5" t="s">
        <v>141</v>
      </c>
      <c r="I232" s="5" t="str" cm="1">
        <f t="array" aca="1" ref="I232" ca="1">INDEX(Courses!$B$9:$B$16,RANDBETWEEN(1,8))</f>
        <v>PowerPoint</v>
      </c>
      <c r="J232" s="5" t="str">
        <f ca="1">VLOOKUP(I232,Courses!$B$9:$C$16,2,0)</f>
        <v>Microsoft Office</v>
      </c>
      <c r="K232" s="7">
        <f ca="1">VLOOKUP(I232,Courses!$B$9:$D$16,3,0)</f>
        <v>29</v>
      </c>
      <c r="L232" s="5" t="str">
        <f t="shared" ca="1" si="43"/>
        <v>Pending</v>
      </c>
      <c r="M232" s="8" t="str" cm="1">
        <f t="array" aca="1" ref="M232" ca="1">INDEX('Payment Method'!$A$8:$A$12,RANDBETWEEN(1,5))</f>
        <v>Visa Debit</v>
      </c>
      <c r="N232" s="7">
        <f>IFERROR(SUMIF(Holiday!$A$8:$A$11,B232,Holiday!$C$8:$C$11),0)</f>
        <v>0</v>
      </c>
      <c r="O232" s="7">
        <f t="shared" ca="1" si="44"/>
        <v>29</v>
      </c>
      <c r="P232" s="19">
        <f t="shared" ca="1" si="45"/>
        <v>28.42</v>
      </c>
      <c r="Q232" s="7">
        <f t="shared" ca="1" si="46"/>
        <v>28.135800000000003</v>
      </c>
      <c r="R232" s="8">
        <f ca="1">VLOOKUP(M232,'Payment Method'!$A$8:$B$12,2,0)</f>
        <v>0.02</v>
      </c>
      <c r="S232" s="9">
        <f t="shared" ca="1" si="36"/>
        <v>0.57999999999999829</v>
      </c>
      <c r="T232" s="8">
        <v>0.01</v>
      </c>
      <c r="U232" s="9">
        <f t="shared" ca="1" si="37"/>
        <v>0.28419999999999845</v>
      </c>
      <c r="V232" s="7">
        <f t="shared" ca="1" si="38"/>
        <v>0</v>
      </c>
      <c r="W232" s="7">
        <f t="shared" ca="1" si="39"/>
        <v>0</v>
      </c>
      <c r="X232" s="5" t="str">
        <f t="shared" ca="1" si="47"/>
        <v>Instagram</v>
      </c>
      <c r="Y232" s="78">
        <f>IF(COUNTIF($C$1:C231,B231)=1,10,"")</f>
        <v>10</v>
      </c>
    </row>
    <row r="233" spans="1:25" x14ac:dyDescent="0.3">
      <c r="A233" s="76">
        <v>232</v>
      </c>
      <c r="B233" s="6">
        <v>46152</v>
      </c>
      <c r="C233" s="6">
        <v>46154</v>
      </c>
      <c r="D233" s="17" t="str">
        <f t="shared" si="40"/>
        <v>May</v>
      </c>
      <c r="E233" s="5" t="str">
        <f t="shared" ca="1" si="41"/>
        <v>STU-57</v>
      </c>
      <c r="F233" s="5" t="str">
        <f ca="1">IF(COUNTIF($E$2:E233,E233)=1,"New Customer","Returning Customer")</f>
        <v>New Customer</v>
      </c>
      <c r="G233" s="5" t="str">
        <f t="shared" ca="1" si="42"/>
        <v>Not specified</v>
      </c>
      <c r="H233" s="5" t="s">
        <v>136</v>
      </c>
      <c r="I233" s="5" t="str" cm="1">
        <f t="array" aca="1" ref="I233" ca="1">INDEX(Courses!$B$9:$B$16,RANDBETWEEN(1,8))</f>
        <v>Excel Basics</v>
      </c>
      <c r="J233" s="5" t="str">
        <f ca="1">VLOOKUP(I233,Courses!$B$9:$C$16,2,0)</f>
        <v>Microsoft Office</v>
      </c>
      <c r="K233" s="7">
        <f ca="1">VLOOKUP(I233,Courses!$B$9:$D$16,3,0)</f>
        <v>29</v>
      </c>
      <c r="L233" s="5" t="str">
        <f t="shared" ca="1" si="43"/>
        <v>Pending</v>
      </c>
      <c r="M233" s="8" t="str" cm="1">
        <f t="array" aca="1" ref="M233" ca="1">INDEX('Payment Method'!$A$8:$A$12,RANDBETWEEN(1,5))</f>
        <v>Visa Debit</v>
      </c>
      <c r="N233" s="7">
        <f>IFERROR(SUMIF(Holiday!$A$8:$A$11,B233,Holiday!$C$8:$C$11),0)</f>
        <v>0</v>
      </c>
      <c r="O233" s="7">
        <f t="shared" ca="1" si="44"/>
        <v>29</v>
      </c>
      <c r="P233" s="19">
        <f t="shared" ca="1" si="45"/>
        <v>28.42</v>
      </c>
      <c r="Q233" s="7">
        <f t="shared" ca="1" si="46"/>
        <v>28.135800000000003</v>
      </c>
      <c r="R233" s="8">
        <f ca="1">VLOOKUP(M233,'Payment Method'!$A$8:$B$12,2,0)</f>
        <v>0.02</v>
      </c>
      <c r="S233" s="9">
        <f t="shared" ca="1" si="36"/>
        <v>0.57999999999999829</v>
      </c>
      <c r="T233" s="8">
        <v>0.01</v>
      </c>
      <c r="U233" s="9">
        <f t="shared" ca="1" si="37"/>
        <v>0.28419999999999845</v>
      </c>
      <c r="V233" s="7">
        <f t="shared" ca="1" si="38"/>
        <v>0</v>
      </c>
      <c r="W233" s="7">
        <f t="shared" ca="1" si="39"/>
        <v>0</v>
      </c>
      <c r="X233" s="5" t="str">
        <f t="shared" ca="1" si="47"/>
        <v>Instagram</v>
      </c>
      <c r="Y233" s="78" t="str">
        <f>IF(COUNTIF($C$1:C232,B232)=1,10,"")</f>
        <v/>
      </c>
    </row>
    <row r="234" spans="1:25" x14ac:dyDescent="0.3">
      <c r="A234" s="75">
        <v>233</v>
      </c>
      <c r="B234" s="6">
        <v>46188</v>
      </c>
      <c r="C234" s="6">
        <v>46192</v>
      </c>
      <c r="D234" s="17" t="str">
        <f t="shared" si="40"/>
        <v>June</v>
      </c>
      <c r="E234" s="5" t="str">
        <f t="shared" ca="1" si="41"/>
        <v>STU-75</v>
      </c>
      <c r="F234" s="5" t="str">
        <f ca="1">IF(COUNTIF($E$2:E234,E234)=1,"New Customer","Returning Customer")</f>
        <v>New Customer</v>
      </c>
      <c r="G234" s="5" t="str">
        <f t="shared" ca="1" si="42"/>
        <v>Male</v>
      </c>
      <c r="H234" s="5" t="s">
        <v>142</v>
      </c>
      <c r="I234" s="5" t="str" cm="1">
        <f t="array" aca="1" ref="I234" ca="1">INDEX(Courses!$B$9:$B$16,RANDBETWEEN(1,8))</f>
        <v>Adolescent Psychology</v>
      </c>
      <c r="J234" s="5" t="str">
        <f ca="1">VLOOKUP(I234,Courses!$B$9:$C$16,2,0)</f>
        <v>Psychology</v>
      </c>
      <c r="K234" s="7">
        <f ca="1">VLOOKUP(I234,Courses!$B$9:$D$16,3,0)</f>
        <v>29</v>
      </c>
      <c r="L234" s="5" t="str">
        <f t="shared" ca="1" si="43"/>
        <v>Paid</v>
      </c>
      <c r="M234" s="8" t="str" cm="1">
        <f t="array" aca="1" ref="M234" ca="1">INDEX('Payment Method'!$A$8:$A$12,RANDBETWEEN(1,5))</f>
        <v>Mastercard Credit</v>
      </c>
      <c r="N234" s="7">
        <f>IFERROR(SUMIF(Holiday!$A$8:$A$11,B234,Holiday!$C$8:$C$11),0)</f>
        <v>0</v>
      </c>
      <c r="O234" s="7">
        <f t="shared" ca="1" si="44"/>
        <v>29</v>
      </c>
      <c r="P234" s="19">
        <f t="shared" ca="1" si="45"/>
        <v>27.984999999999999</v>
      </c>
      <c r="Q234" s="7">
        <f t="shared" ca="1" si="46"/>
        <v>0</v>
      </c>
      <c r="R234" s="8">
        <f ca="1">VLOOKUP(M234,'Payment Method'!$A$8:$B$12,2,0)</f>
        <v>3.5000000000000003E-2</v>
      </c>
      <c r="S234" s="9">
        <f t="shared" ca="1" si="36"/>
        <v>1.0150000000000006</v>
      </c>
      <c r="T234" s="8">
        <v>0.01</v>
      </c>
      <c r="U234" s="9">
        <f t="shared" ca="1" si="37"/>
        <v>0.27984999999999971</v>
      </c>
      <c r="V234" s="7">
        <f t="shared" ca="1" si="38"/>
        <v>0</v>
      </c>
      <c r="W234" s="7">
        <f t="shared" ca="1" si="39"/>
        <v>27.70515</v>
      </c>
      <c r="X234" s="5" t="str">
        <f t="shared" ca="1" si="47"/>
        <v>Instagram</v>
      </c>
      <c r="Y234" s="78">
        <f>IF(COUNTIF($C$1:C233,B233)=1,10,"")</f>
        <v>10</v>
      </c>
    </row>
    <row r="235" spans="1:25" x14ac:dyDescent="0.3">
      <c r="A235" s="76">
        <v>234</v>
      </c>
      <c r="B235" s="6">
        <v>46189</v>
      </c>
      <c r="C235" s="6">
        <v>46193</v>
      </c>
      <c r="D235" s="17" t="str">
        <f t="shared" si="40"/>
        <v>June</v>
      </c>
      <c r="E235" s="5" t="str">
        <f t="shared" ca="1" si="41"/>
        <v>STU-660</v>
      </c>
      <c r="F235" s="5" t="str">
        <f ca="1">IF(COUNTIF($E$2:E235,E235)=1,"New Customer","Returning Customer")</f>
        <v>Returning Customer</v>
      </c>
      <c r="G235" s="5" t="str">
        <f t="shared" ca="1" si="42"/>
        <v>Female</v>
      </c>
      <c r="H235" s="5" t="s">
        <v>139</v>
      </c>
      <c r="I235" s="5" t="str" cm="1">
        <f t="array" aca="1" ref="I235" ca="1">INDEX(Courses!$B$9:$B$16,RANDBETWEEN(1,8))</f>
        <v>Microsoft Word</v>
      </c>
      <c r="J235" s="5" t="str">
        <f ca="1">VLOOKUP(I235,Courses!$B$9:$C$16,2,0)</f>
        <v>Microsoft Office</v>
      </c>
      <c r="K235" s="7">
        <f ca="1">VLOOKUP(I235,Courses!$B$9:$D$16,3,0)</f>
        <v>29</v>
      </c>
      <c r="L235" s="5" t="str">
        <f t="shared" ca="1" si="43"/>
        <v>Paid</v>
      </c>
      <c r="M235" s="8" t="str" cm="1">
        <f t="array" aca="1" ref="M235" ca="1">INDEX('Payment Method'!$A$8:$A$12,RANDBETWEEN(1,5))</f>
        <v>Visa Debit</v>
      </c>
      <c r="N235" s="7">
        <f>IFERROR(SUMIF(Holiday!$A$8:$A$11,B235,Holiday!$C$8:$C$11),0)</f>
        <v>0</v>
      </c>
      <c r="O235" s="7">
        <f t="shared" ca="1" si="44"/>
        <v>29</v>
      </c>
      <c r="P235" s="19">
        <f t="shared" ca="1" si="45"/>
        <v>28.42</v>
      </c>
      <c r="Q235" s="7">
        <f t="shared" ca="1" si="46"/>
        <v>0</v>
      </c>
      <c r="R235" s="8">
        <f ca="1">VLOOKUP(M235,'Payment Method'!$A$8:$B$12,2,0)</f>
        <v>0.02</v>
      </c>
      <c r="S235" s="9">
        <f t="shared" ca="1" si="36"/>
        <v>0.57999999999999829</v>
      </c>
      <c r="T235" s="8">
        <v>0.01</v>
      </c>
      <c r="U235" s="9">
        <f t="shared" ca="1" si="37"/>
        <v>0.28419999999999845</v>
      </c>
      <c r="V235" s="7">
        <f t="shared" ca="1" si="38"/>
        <v>0</v>
      </c>
      <c r="W235" s="7">
        <f t="shared" ca="1" si="39"/>
        <v>28.135800000000003</v>
      </c>
      <c r="X235" s="5" t="str">
        <f t="shared" ca="1" si="47"/>
        <v>Instagram</v>
      </c>
      <c r="Y235" s="78">
        <f>IF(COUNTIF($C$1:C234,B234)=1,10,"")</f>
        <v>10</v>
      </c>
    </row>
    <row r="236" spans="1:25" x14ac:dyDescent="0.3">
      <c r="A236" s="75">
        <v>235</v>
      </c>
      <c r="B236" s="6">
        <v>46209</v>
      </c>
      <c r="C236" s="6">
        <v>46212</v>
      </c>
      <c r="D236" s="17" t="str">
        <f t="shared" si="40"/>
        <v>July</v>
      </c>
      <c r="E236" s="5" t="str">
        <f t="shared" ca="1" si="41"/>
        <v>STU-60</v>
      </c>
      <c r="F236" s="5" t="str">
        <f ca="1">IF(COUNTIF($E$2:E236,E236)=1,"New Customer","Returning Customer")</f>
        <v>Returning Customer</v>
      </c>
      <c r="G236" s="5" t="str">
        <f t="shared" ca="1" si="42"/>
        <v>Not specified</v>
      </c>
      <c r="H236" s="5" t="s">
        <v>139</v>
      </c>
      <c r="I236" s="5" t="str" cm="1">
        <f t="array" aca="1" ref="I236" ca="1">INDEX(Courses!$B$9:$B$16,RANDBETWEEN(1,8))</f>
        <v>Power BI</v>
      </c>
      <c r="J236" s="5" t="str">
        <f ca="1">VLOOKUP(I236,Courses!$B$9:$C$16,2,0)</f>
        <v>Data Analytics</v>
      </c>
      <c r="K236" s="7">
        <f ca="1">VLOOKUP(I236,Courses!$B$9:$D$16,3,0)</f>
        <v>59</v>
      </c>
      <c r="L236" s="5" t="str">
        <f t="shared" ca="1" si="43"/>
        <v>Paid</v>
      </c>
      <c r="M236" s="8" t="str" cm="1">
        <f t="array" aca="1" ref="M236" ca="1">INDEX('Payment Method'!$A$8:$A$12,RANDBETWEEN(1,5))</f>
        <v>Bank Transfer</v>
      </c>
      <c r="N236" s="7">
        <f>IFERROR(SUMIF(Holiday!$A$8:$A$11,B236,Holiday!$C$8:$C$11),0)</f>
        <v>0</v>
      </c>
      <c r="O236" s="7">
        <f t="shared" ca="1" si="44"/>
        <v>59</v>
      </c>
      <c r="P236" s="19">
        <f t="shared" ca="1" si="45"/>
        <v>59</v>
      </c>
      <c r="Q236" s="7">
        <f t="shared" ca="1" si="46"/>
        <v>0</v>
      </c>
      <c r="R236" s="8">
        <f ca="1">VLOOKUP(M236,'Payment Method'!$A$8:$B$12,2,0)</f>
        <v>0</v>
      </c>
      <c r="S236" s="9">
        <f t="shared" ca="1" si="36"/>
        <v>0</v>
      </c>
      <c r="T236" s="8">
        <v>0.01</v>
      </c>
      <c r="U236" s="9">
        <f t="shared" ca="1" si="37"/>
        <v>0.59000000000000341</v>
      </c>
      <c r="V236" s="7">
        <f t="shared" ca="1" si="38"/>
        <v>0</v>
      </c>
      <c r="W236" s="7">
        <f t="shared" ca="1" si="39"/>
        <v>58.41</v>
      </c>
      <c r="X236" s="5" t="str">
        <f t="shared" ca="1" si="47"/>
        <v>Tiktok</v>
      </c>
      <c r="Y236" s="78" t="str">
        <f>IF(COUNTIF($C$1:C235,B235)=1,10,"")</f>
        <v/>
      </c>
    </row>
    <row r="237" spans="1:25" x14ac:dyDescent="0.3">
      <c r="A237" s="76">
        <v>236</v>
      </c>
      <c r="B237" s="6">
        <v>46076</v>
      </c>
      <c r="C237" s="6">
        <v>46078</v>
      </c>
      <c r="D237" s="17" t="str">
        <f t="shared" si="40"/>
        <v>February</v>
      </c>
      <c r="E237" s="5" t="str">
        <f t="shared" ca="1" si="41"/>
        <v>STU-960</v>
      </c>
      <c r="F237" s="5" t="str">
        <f ca="1">IF(COUNTIF($E$2:E237,E237)=1,"New Customer","Returning Customer")</f>
        <v>Returning Customer</v>
      </c>
      <c r="G237" s="5" t="str">
        <f t="shared" ca="1" si="42"/>
        <v>Male</v>
      </c>
      <c r="H237" s="5" t="s">
        <v>135</v>
      </c>
      <c r="I237" s="5" t="str" cm="1">
        <f t="array" aca="1" ref="I237" ca="1">INDEX(Courses!$B$9:$B$16,RANDBETWEEN(1,8))</f>
        <v>PowerPoint</v>
      </c>
      <c r="J237" s="5" t="str">
        <f ca="1">VLOOKUP(I237,Courses!$B$9:$C$16,2,0)</f>
        <v>Microsoft Office</v>
      </c>
      <c r="K237" s="7">
        <f ca="1">VLOOKUP(I237,Courses!$B$9:$D$16,3,0)</f>
        <v>29</v>
      </c>
      <c r="L237" s="5" t="str">
        <f t="shared" ca="1" si="43"/>
        <v>Paid</v>
      </c>
      <c r="M237" s="8" t="str" cm="1">
        <f t="array" aca="1" ref="M237" ca="1">INDEX('Payment Method'!$A$8:$A$12,RANDBETWEEN(1,5))</f>
        <v>Mastercard Debit</v>
      </c>
      <c r="N237" s="7">
        <f>IFERROR(SUMIF(Holiday!$A$8:$A$11,B237,Holiday!$C$8:$C$11),0)</f>
        <v>0</v>
      </c>
      <c r="O237" s="7">
        <f t="shared" ca="1" si="44"/>
        <v>29</v>
      </c>
      <c r="P237" s="19">
        <f t="shared" ca="1" si="45"/>
        <v>28.42</v>
      </c>
      <c r="Q237" s="7">
        <f t="shared" ca="1" si="46"/>
        <v>0</v>
      </c>
      <c r="R237" s="8">
        <f ca="1">VLOOKUP(M237,'Payment Method'!$A$8:$B$12,2,0)</f>
        <v>0.02</v>
      </c>
      <c r="S237" s="9">
        <f t="shared" ca="1" si="36"/>
        <v>0.57999999999999829</v>
      </c>
      <c r="T237" s="8">
        <v>0.01</v>
      </c>
      <c r="U237" s="9">
        <f t="shared" ca="1" si="37"/>
        <v>0.28419999999999845</v>
      </c>
      <c r="V237" s="7">
        <f t="shared" ca="1" si="38"/>
        <v>0</v>
      </c>
      <c r="W237" s="7">
        <f t="shared" ca="1" si="39"/>
        <v>28.135800000000003</v>
      </c>
      <c r="X237" s="5" t="str">
        <f t="shared" ca="1" si="47"/>
        <v>Facebook</v>
      </c>
      <c r="Y237" s="78">
        <f>IF(COUNTIF($C$1:C236,B236)=1,10,"")</f>
        <v>10</v>
      </c>
    </row>
    <row r="238" spans="1:25" x14ac:dyDescent="0.3">
      <c r="A238" s="75">
        <v>237</v>
      </c>
      <c r="B238" s="6">
        <v>46083</v>
      </c>
      <c r="C238" s="6">
        <v>46085</v>
      </c>
      <c r="D238" s="17" t="str">
        <f t="shared" si="40"/>
        <v>March</v>
      </c>
      <c r="E238" s="5" t="str">
        <f t="shared" ca="1" si="41"/>
        <v>STU-477</v>
      </c>
      <c r="F238" s="5" t="str">
        <f ca="1">IF(COUNTIF($E$2:E238,E238)=1,"New Customer","Returning Customer")</f>
        <v>New Customer</v>
      </c>
      <c r="G238" s="5" t="str">
        <f t="shared" ca="1" si="42"/>
        <v>Not specified</v>
      </c>
      <c r="H238" s="5" t="s">
        <v>137</v>
      </c>
      <c r="I238" s="5" t="str" cm="1">
        <f t="array" aca="1" ref="I238" ca="1">INDEX(Courses!$B$9:$B$16,RANDBETWEEN(1,8))</f>
        <v>Microsoft Word</v>
      </c>
      <c r="J238" s="5" t="str">
        <f ca="1">VLOOKUP(I238,Courses!$B$9:$C$16,2,0)</f>
        <v>Microsoft Office</v>
      </c>
      <c r="K238" s="7">
        <f ca="1">VLOOKUP(I238,Courses!$B$9:$D$16,3,0)</f>
        <v>29</v>
      </c>
      <c r="L238" s="5" t="str">
        <f t="shared" ca="1" si="43"/>
        <v>Paid</v>
      </c>
      <c r="M238" s="8" t="str" cm="1">
        <f t="array" aca="1" ref="M238" ca="1">INDEX('Payment Method'!$A$8:$A$12,RANDBETWEEN(1,5))</f>
        <v>Visa Credit</v>
      </c>
      <c r="N238" s="7">
        <f>IFERROR(SUMIF(Holiday!$A$8:$A$11,B238,Holiday!$C$8:$C$11),0)</f>
        <v>0</v>
      </c>
      <c r="O238" s="7">
        <f t="shared" ca="1" si="44"/>
        <v>29</v>
      </c>
      <c r="P238" s="19">
        <f t="shared" ca="1" si="45"/>
        <v>27.984999999999999</v>
      </c>
      <c r="Q238" s="7">
        <f t="shared" ca="1" si="46"/>
        <v>0</v>
      </c>
      <c r="R238" s="8">
        <f ca="1">VLOOKUP(M238,'Payment Method'!$A$8:$B$12,2,0)</f>
        <v>3.5000000000000003E-2</v>
      </c>
      <c r="S238" s="9">
        <f t="shared" ca="1" si="36"/>
        <v>1.0150000000000006</v>
      </c>
      <c r="T238" s="8">
        <v>0.01</v>
      </c>
      <c r="U238" s="9">
        <f t="shared" ca="1" si="37"/>
        <v>0.27984999999999971</v>
      </c>
      <c r="V238" s="7">
        <f t="shared" ca="1" si="38"/>
        <v>0</v>
      </c>
      <c r="W238" s="7">
        <f t="shared" ca="1" si="39"/>
        <v>27.70515</v>
      </c>
      <c r="X238" s="5" t="str">
        <f t="shared" ca="1" si="47"/>
        <v>Instagram</v>
      </c>
      <c r="Y238" s="78">
        <f>IF(COUNTIF($C$1:C237,B237)=1,10,"")</f>
        <v>10</v>
      </c>
    </row>
    <row r="239" spans="1:25" x14ac:dyDescent="0.3">
      <c r="A239" s="76">
        <v>238</v>
      </c>
      <c r="B239" s="6">
        <v>46224</v>
      </c>
      <c r="C239" s="6">
        <v>46228</v>
      </c>
      <c r="D239" s="17" t="str">
        <f t="shared" si="40"/>
        <v>July</v>
      </c>
      <c r="E239" s="5" t="str">
        <f t="shared" ca="1" si="41"/>
        <v>STU-478</v>
      </c>
      <c r="F239" s="5" t="str">
        <f ca="1">IF(COUNTIF($E$2:E239,E239)=1,"New Customer","Returning Customer")</f>
        <v>New Customer</v>
      </c>
      <c r="G239" s="5" t="str">
        <f t="shared" ca="1" si="42"/>
        <v>Not specified</v>
      </c>
      <c r="H239" s="5" t="s">
        <v>141</v>
      </c>
      <c r="I239" s="5" t="str" cm="1">
        <f t="array" aca="1" ref="I239" ca="1">INDEX(Courses!$B$9:$B$16,RANDBETWEEN(1,8))</f>
        <v>PowerPoint</v>
      </c>
      <c r="J239" s="5" t="str">
        <f ca="1">VLOOKUP(I239,Courses!$B$9:$C$16,2,0)</f>
        <v>Microsoft Office</v>
      </c>
      <c r="K239" s="7">
        <f ca="1">VLOOKUP(I239,Courses!$B$9:$D$16,3,0)</f>
        <v>29</v>
      </c>
      <c r="L239" s="5" t="str">
        <f t="shared" ca="1" si="43"/>
        <v>Pending</v>
      </c>
      <c r="M239" s="8" t="str" cm="1">
        <f t="array" aca="1" ref="M239" ca="1">INDEX('Payment Method'!$A$8:$A$12,RANDBETWEEN(1,5))</f>
        <v>Mastercard Credit</v>
      </c>
      <c r="N239" s="7">
        <f>IFERROR(SUMIF(Holiday!$A$8:$A$11,B239,Holiday!$C$8:$C$11),0)</f>
        <v>0</v>
      </c>
      <c r="O239" s="7">
        <f t="shared" ca="1" si="44"/>
        <v>29</v>
      </c>
      <c r="P239" s="19">
        <f t="shared" ca="1" si="45"/>
        <v>27.984999999999999</v>
      </c>
      <c r="Q239" s="7">
        <f t="shared" ca="1" si="46"/>
        <v>27.70515</v>
      </c>
      <c r="R239" s="8">
        <f ca="1">VLOOKUP(M239,'Payment Method'!$A$8:$B$12,2,0)</f>
        <v>3.5000000000000003E-2</v>
      </c>
      <c r="S239" s="9">
        <f t="shared" ca="1" si="36"/>
        <v>1.0150000000000006</v>
      </c>
      <c r="T239" s="8">
        <v>0.01</v>
      </c>
      <c r="U239" s="9">
        <f t="shared" ca="1" si="37"/>
        <v>0.27984999999999971</v>
      </c>
      <c r="V239" s="7">
        <f t="shared" ca="1" si="38"/>
        <v>0</v>
      </c>
      <c r="W239" s="7">
        <f t="shared" ca="1" si="39"/>
        <v>0</v>
      </c>
      <c r="X239" s="5" t="str">
        <f t="shared" ca="1" si="47"/>
        <v>Tiktok</v>
      </c>
      <c r="Y239" s="78">
        <f>IF(COUNTIF($C$1:C238,B238)=1,10,"")</f>
        <v>10</v>
      </c>
    </row>
    <row r="240" spans="1:25" x14ac:dyDescent="0.3">
      <c r="A240" s="75">
        <v>239</v>
      </c>
      <c r="B240" s="6">
        <v>46026</v>
      </c>
      <c r="C240" s="6">
        <v>46031</v>
      </c>
      <c r="D240" s="17" t="str">
        <f t="shared" si="40"/>
        <v>January</v>
      </c>
      <c r="E240" s="5" t="str">
        <f t="shared" ca="1" si="41"/>
        <v>STU-14</v>
      </c>
      <c r="F240" s="5" t="str">
        <f ca="1">IF(COUNTIF($E$2:E240,E240)=1,"New Customer","Returning Customer")</f>
        <v>New Customer</v>
      </c>
      <c r="G240" s="5" t="str">
        <f t="shared" ca="1" si="42"/>
        <v>Male</v>
      </c>
      <c r="H240" s="5" t="s">
        <v>140</v>
      </c>
      <c r="I240" s="5" t="str" cm="1">
        <f t="array" aca="1" ref="I240" ca="1">INDEX(Courses!$B$9:$B$16,RANDBETWEEN(1,8))</f>
        <v>Excel Basics</v>
      </c>
      <c r="J240" s="5" t="str">
        <f ca="1">VLOOKUP(I240,Courses!$B$9:$C$16,2,0)</f>
        <v>Microsoft Office</v>
      </c>
      <c r="K240" s="7">
        <f ca="1">VLOOKUP(I240,Courses!$B$9:$D$16,3,0)</f>
        <v>29</v>
      </c>
      <c r="L240" s="5" t="str">
        <f t="shared" ca="1" si="43"/>
        <v>Paid</v>
      </c>
      <c r="M240" s="8" t="str" cm="1">
        <f t="array" aca="1" ref="M240" ca="1">INDEX('Payment Method'!$A$8:$A$12,RANDBETWEEN(1,5))</f>
        <v>Visa Debit</v>
      </c>
      <c r="N240" s="7">
        <f>IFERROR(SUMIF(Holiday!$A$8:$A$11,B240,Holiday!$C$8:$C$11),0)</f>
        <v>0</v>
      </c>
      <c r="O240" s="7">
        <f t="shared" ca="1" si="44"/>
        <v>29</v>
      </c>
      <c r="P240" s="19">
        <f t="shared" ca="1" si="45"/>
        <v>28.42</v>
      </c>
      <c r="Q240" s="7">
        <f t="shared" ca="1" si="46"/>
        <v>0</v>
      </c>
      <c r="R240" s="8">
        <f ca="1">VLOOKUP(M240,'Payment Method'!$A$8:$B$12,2,0)</f>
        <v>0.02</v>
      </c>
      <c r="S240" s="9">
        <f t="shared" ca="1" si="36"/>
        <v>0.57999999999999829</v>
      </c>
      <c r="T240" s="8">
        <v>0.01</v>
      </c>
      <c r="U240" s="9">
        <f t="shared" ca="1" si="37"/>
        <v>0.28419999999999845</v>
      </c>
      <c r="V240" s="7">
        <f t="shared" ca="1" si="38"/>
        <v>0</v>
      </c>
      <c r="W240" s="7">
        <f t="shared" ca="1" si="39"/>
        <v>28.135800000000003</v>
      </c>
      <c r="X240" s="5" t="str">
        <f t="shared" ca="1" si="47"/>
        <v>Facebook</v>
      </c>
      <c r="Y240" s="78">
        <f>IF(COUNTIF($C$1:C239,B239)=1,10,"")</f>
        <v>10</v>
      </c>
    </row>
    <row r="241" spans="1:25" x14ac:dyDescent="0.3">
      <c r="A241" s="76">
        <v>240</v>
      </c>
      <c r="B241" s="6">
        <v>46087</v>
      </c>
      <c r="C241" s="6">
        <v>46089</v>
      </c>
      <c r="D241" s="17" t="str">
        <f t="shared" si="40"/>
        <v>March</v>
      </c>
      <c r="E241" s="5" t="str">
        <f t="shared" ca="1" si="41"/>
        <v>STU-320</v>
      </c>
      <c r="F241" s="5" t="str">
        <f ca="1">IF(COUNTIF($E$2:E241,E241)=1,"New Customer","Returning Customer")</f>
        <v>New Customer</v>
      </c>
      <c r="G241" s="5" t="str">
        <f t="shared" ca="1" si="42"/>
        <v>Female</v>
      </c>
      <c r="H241" s="5" t="s">
        <v>141</v>
      </c>
      <c r="I241" s="5" t="str" cm="1">
        <f t="array" aca="1" ref="I241" ca="1">INDEX(Courses!$B$9:$B$16,RANDBETWEEN(1,8))</f>
        <v>Excel Basics</v>
      </c>
      <c r="J241" s="5" t="str">
        <f ca="1">VLOOKUP(I241,Courses!$B$9:$C$16,2,0)</f>
        <v>Microsoft Office</v>
      </c>
      <c r="K241" s="7">
        <f ca="1">VLOOKUP(I241,Courses!$B$9:$D$16,3,0)</f>
        <v>29</v>
      </c>
      <c r="L241" s="5" t="str">
        <f t="shared" ca="1" si="43"/>
        <v>Paid</v>
      </c>
      <c r="M241" s="8" t="str" cm="1">
        <f t="array" aca="1" ref="M241" ca="1">INDEX('Payment Method'!$A$8:$A$12,RANDBETWEEN(1,5))</f>
        <v>Mastercard Debit</v>
      </c>
      <c r="N241" s="7">
        <f>IFERROR(SUMIF(Holiday!$A$8:$A$11,B241,Holiday!$C$8:$C$11),0)</f>
        <v>0</v>
      </c>
      <c r="O241" s="7">
        <f t="shared" ca="1" si="44"/>
        <v>29</v>
      </c>
      <c r="P241" s="19">
        <f t="shared" ca="1" si="45"/>
        <v>28.42</v>
      </c>
      <c r="Q241" s="7">
        <f t="shared" ca="1" si="46"/>
        <v>0</v>
      </c>
      <c r="R241" s="8">
        <f ca="1">VLOOKUP(M241,'Payment Method'!$A$8:$B$12,2,0)</f>
        <v>0.02</v>
      </c>
      <c r="S241" s="9">
        <f t="shared" ca="1" si="36"/>
        <v>0.57999999999999829</v>
      </c>
      <c r="T241" s="8">
        <v>0.01</v>
      </c>
      <c r="U241" s="9">
        <f t="shared" ca="1" si="37"/>
        <v>0.28419999999999845</v>
      </c>
      <c r="V241" s="7">
        <f t="shared" ca="1" si="38"/>
        <v>0</v>
      </c>
      <c r="W241" s="7">
        <f t="shared" ca="1" si="39"/>
        <v>28.135800000000003</v>
      </c>
      <c r="X241" s="5" t="str">
        <f t="shared" ca="1" si="47"/>
        <v>Tiktok</v>
      </c>
      <c r="Y241" s="78">
        <f>IF(COUNTIF($C$1:C240,B240)=1,10,"")</f>
        <v>10</v>
      </c>
    </row>
    <row r="242" spans="1:25" x14ac:dyDescent="0.3">
      <c r="A242" s="75">
        <v>241</v>
      </c>
      <c r="B242" s="6">
        <v>46089</v>
      </c>
      <c r="C242" s="6">
        <v>46094</v>
      </c>
      <c r="D242" s="17" t="str">
        <f t="shared" si="40"/>
        <v>March</v>
      </c>
      <c r="E242" s="5" t="str">
        <f t="shared" ca="1" si="41"/>
        <v>STU-668</v>
      </c>
      <c r="F242" s="5" t="str">
        <f ca="1">IF(COUNTIF($E$2:E242,E242)=1,"New Customer","Returning Customer")</f>
        <v>New Customer</v>
      </c>
      <c r="G242" s="5" t="str">
        <f t="shared" ca="1" si="42"/>
        <v>Female</v>
      </c>
      <c r="H242" s="5" t="s">
        <v>137</v>
      </c>
      <c r="I242" s="5" t="str" cm="1">
        <f t="array" aca="1" ref="I242" ca="1">INDEX(Courses!$B$9:$B$16,RANDBETWEEN(1,8))</f>
        <v>SQL</v>
      </c>
      <c r="J242" s="5" t="str">
        <f ca="1">VLOOKUP(I242,Courses!$B$9:$C$16,2,0)</f>
        <v>Data Analytics</v>
      </c>
      <c r="K242" s="7">
        <f ca="1">VLOOKUP(I242,Courses!$B$9:$D$16,3,0)</f>
        <v>99</v>
      </c>
      <c r="L242" s="5" t="str">
        <f t="shared" ca="1" si="43"/>
        <v>Paid</v>
      </c>
      <c r="M242" s="8" t="str" cm="1">
        <f t="array" aca="1" ref="M242" ca="1">INDEX('Payment Method'!$A$8:$A$12,RANDBETWEEN(1,5))</f>
        <v>Mastercard Debit</v>
      </c>
      <c r="N242" s="7">
        <f>IFERROR(SUMIF(Holiday!$A$8:$A$11,B242,Holiday!$C$8:$C$11),0)</f>
        <v>0</v>
      </c>
      <c r="O242" s="7">
        <f t="shared" ca="1" si="44"/>
        <v>99</v>
      </c>
      <c r="P242" s="19">
        <f t="shared" ca="1" si="45"/>
        <v>97.02</v>
      </c>
      <c r="Q242" s="7">
        <f t="shared" ca="1" si="46"/>
        <v>0</v>
      </c>
      <c r="R242" s="8">
        <f ca="1">VLOOKUP(M242,'Payment Method'!$A$8:$B$12,2,0)</f>
        <v>0.02</v>
      </c>
      <c r="S242" s="9">
        <f t="shared" ca="1" si="36"/>
        <v>1.980000000000004</v>
      </c>
      <c r="T242" s="8">
        <v>0.01</v>
      </c>
      <c r="U242" s="9">
        <f t="shared" ca="1" si="37"/>
        <v>0.9702000000000055</v>
      </c>
      <c r="V242" s="7">
        <f t="shared" ca="1" si="38"/>
        <v>0</v>
      </c>
      <c r="W242" s="7">
        <f t="shared" ca="1" si="39"/>
        <v>96.049799999999991</v>
      </c>
      <c r="X242" s="5" t="str">
        <f t="shared" ca="1" si="47"/>
        <v>Tiktok</v>
      </c>
      <c r="Y242" s="78" t="str">
        <f>IF(COUNTIF($C$1:C241,B241)=1,10,"")</f>
        <v/>
      </c>
    </row>
    <row r="243" spans="1:25" x14ac:dyDescent="0.3">
      <c r="A243" s="76">
        <v>242</v>
      </c>
      <c r="B243" s="6">
        <v>46105</v>
      </c>
      <c r="C243" s="6">
        <v>46110</v>
      </c>
      <c r="D243" s="17" t="str">
        <f t="shared" si="40"/>
        <v>March</v>
      </c>
      <c r="E243" s="5" t="str">
        <f t="shared" ca="1" si="41"/>
        <v>STU-535</v>
      </c>
      <c r="F243" s="5" t="str">
        <f ca="1">IF(COUNTIF($E$2:E243,E243)=1,"New Customer","Returning Customer")</f>
        <v>New Customer</v>
      </c>
      <c r="G243" s="5" t="str">
        <f t="shared" ca="1" si="42"/>
        <v>Not specified</v>
      </c>
      <c r="H243" s="5" t="s">
        <v>139</v>
      </c>
      <c r="I243" s="5" t="str" cm="1">
        <f t="array" aca="1" ref="I243" ca="1">INDEX(Courses!$B$9:$B$16,RANDBETWEEN(1,8))</f>
        <v>SQL</v>
      </c>
      <c r="J243" s="5" t="str">
        <f ca="1">VLOOKUP(I243,Courses!$B$9:$C$16,2,0)</f>
        <v>Data Analytics</v>
      </c>
      <c r="K243" s="7">
        <f ca="1">VLOOKUP(I243,Courses!$B$9:$D$16,3,0)</f>
        <v>99</v>
      </c>
      <c r="L243" s="5" t="str">
        <f t="shared" ca="1" si="43"/>
        <v>Paid</v>
      </c>
      <c r="M243" s="8" t="str" cm="1">
        <f t="array" aca="1" ref="M243" ca="1">INDEX('Payment Method'!$A$8:$A$12,RANDBETWEEN(1,5))</f>
        <v>Mastercard Debit</v>
      </c>
      <c r="N243" s="7">
        <f>IFERROR(SUMIF(Holiday!$A$8:$A$11,B243,Holiday!$C$8:$C$11),0)</f>
        <v>0</v>
      </c>
      <c r="O243" s="7">
        <f t="shared" ca="1" si="44"/>
        <v>99</v>
      </c>
      <c r="P243" s="19">
        <f t="shared" ca="1" si="45"/>
        <v>97.02</v>
      </c>
      <c r="Q243" s="7">
        <f t="shared" ca="1" si="46"/>
        <v>0</v>
      </c>
      <c r="R243" s="8">
        <f ca="1">VLOOKUP(M243,'Payment Method'!$A$8:$B$12,2,0)</f>
        <v>0.02</v>
      </c>
      <c r="S243" s="9">
        <f t="shared" ca="1" si="36"/>
        <v>1.980000000000004</v>
      </c>
      <c r="T243" s="8">
        <v>0.01</v>
      </c>
      <c r="U243" s="9">
        <f t="shared" ca="1" si="37"/>
        <v>0.9702000000000055</v>
      </c>
      <c r="V243" s="7">
        <f t="shared" ca="1" si="38"/>
        <v>0</v>
      </c>
      <c r="W243" s="7">
        <f t="shared" ca="1" si="39"/>
        <v>96.049799999999991</v>
      </c>
      <c r="X243" s="5" t="str">
        <f t="shared" ca="1" si="47"/>
        <v>Tiktok</v>
      </c>
      <c r="Y243" s="78">
        <f>IF(COUNTIF($C$1:C242,B242)=1,10,"")</f>
        <v>10</v>
      </c>
    </row>
    <row r="244" spans="1:25" x14ac:dyDescent="0.3">
      <c r="A244" s="75">
        <v>243</v>
      </c>
      <c r="B244" s="6">
        <v>46105</v>
      </c>
      <c r="C244" s="6">
        <v>46105</v>
      </c>
      <c r="D244" s="17" t="str">
        <f t="shared" si="40"/>
        <v>March</v>
      </c>
      <c r="E244" s="5" t="str">
        <f t="shared" ca="1" si="41"/>
        <v>STU-194</v>
      </c>
      <c r="F244" s="5" t="str">
        <f ca="1">IF(COUNTIF($E$2:E244,E244)=1,"New Customer","Returning Customer")</f>
        <v>New Customer</v>
      </c>
      <c r="G244" s="5" t="str">
        <f t="shared" ca="1" si="42"/>
        <v>Not specified</v>
      </c>
      <c r="H244" s="5" t="s">
        <v>141</v>
      </c>
      <c r="I244" s="5" t="str" cm="1">
        <f t="array" aca="1" ref="I244" ca="1">INDEX(Courses!$B$9:$B$16,RANDBETWEEN(1,8))</f>
        <v>Power BI</v>
      </c>
      <c r="J244" s="5" t="str">
        <f ca="1">VLOOKUP(I244,Courses!$B$9:$C$16,2,0)</f>
        <v>Data Analytics</v>
      </c>
      <c r="K244" s="7">
        <f ca="1">VLOOKUP(I244,Courses!$B$9:$D$16,3,0)</f>
        <v>59</v>
      </c>
      <c r="L244" s="5" t="str">
        <f t="shared" ca="1" si="43"/>
        <v>Paid</v>
      </c>
      <c r="M244" s="8" t="str" cm="1">
        <f t="array" aca="1" ref="M244" ca="1">INDEX('Payment Method'!$A$8:$A$12,RANDBETWEEN(1,5))</f>
        <v>Mastercard Debit</v>
      </c>
      <c r="N244" s="7">
        <f>IFERROR(SUMIF(Holiday!$A$8:$A$11,B244,Holiday!$C$8:$C$11),0)</f>
        <v>0</v>
      </c>
      <c r="O244" s="7">
        <f t="shared" ca="1" si="44"/>
        <v>59</v>
      </c>
      <c r="P244" s="19">
        <f t="shared" ca="1" si="45"/>
        <v>57.82</v>
      </c>
      <c r="Q244" s="7">
        <f t="shared" ca="1" si="46"/>
        <v>0</v>
      </c>
      <c r="R244" s="8">
        <f ca="1">VLOOKUP(M244,'Payment Method'!$A$8:$B$12,2,0)</f>
        <v>0.02</v>
      </c>
      <c r="S244" s="9">
        <f t="shared" ca="1" si="36"/>
        <v>1.1799999999999997</v>
      </c>
      <c r="T244" s="8">
        <v>0.01</v>
      </c>
      <c r="U244" s="9">
        <f t="shared" ca="1" si="37"/>
        <v>0.57820000000000249</v>
      </c>
      <c r="V244" s="7">
        <f t="shared" ca="1" si="38"/>
        <v>0</v>
      </c>
      <c r="W244" s="7">
        <f t="shared" ca="1" si="39"/>
        <v>57.241799999999998</v>
      </c>
      <c r="X244" s="5" t="str">
        <f t="shared" ca="1" si="47"/>
        <v>Tiktok</v>
      </c>
      <c r="Y244" s="78" t="str">
        <f>IF(COUNTIF($C$1:C243,B243)=1,10,"")</f>
        <v/>
      </c>
    </row>
    <row r="245" spans="1:25" x14ac:dyDescent="0.3">
      <c r="A245" s="76">
        <v>244</v>
      </c>
      <c r="B245" s="6">
        <v>46102</v>
      </c>
      <c r="C245" s="6">
        <v>46103</v>
      </c>
      <c r="D245" s="17" t="str">
        <f t="shared" si="40"/>
        <v>March</v>
      </c>
      <c r="E245" s="5" t="str">
        <f t="shared" ca="1" si="41"/>
        <v>STU-465</v>
      </c>
      <c r="F245" s="5" t="str">
        <f ca="1">IF(COUNTIF($E$2:E245,E245)=1,"New Customer","Returning Customer")</f>
        <v>New Customer</v>
      </c>
      <c r="G245" s="5" t="str">
        <f t="shared" ca="1" si="42"/>
        <v>Male</v>
      </c>
      <c r="H245" s="5" t="s">
        <v>136</v>
      </c>
      <c r="I245" s="5" t="str" cm="1">
        <f t="array" aca="1" ref="I245" ca="1">INDEX(Courses!$B$9:$B$16,RANDBETWEEN(1,8))</f>
        <v>Adolescent Psychology</v>
      </c>
      <c r="J245" s="5" t="str">
        <f ca="1">VLOOKUP(I245,Courses!$B$9:$C$16,2,0)</f>
        <v>Psychology</v>
      </c>
      <c r="K245" s="7">
        <f ca="1">VLOOKUP(I245,Courses!$B$9:$D$16,3,0)</f>
        <v>29</v>
      </c>
      <c r="L245" s="5" t="str">
        <f t="shared" ca="1" si="43"/>
        <v>Paid</v>
      </c>
      <c r="M245" s="8" t="str" cm="1">
        <f t="array" aca="1" ref="M245" ca="1">INDEX('Payment Method'!$A$8:$A$12,RANDBETWEEN(1,5))</f>
        <v>Bank Transfer</v>
      </c>
      <c r="N245" s="7">
        <f>IFERROR(SUMIF(Holiday!$A$8:$A$11,B245,Holiday!$C$8:$C$11),0)</f>
        <v>0</v>
      </c>
      <c r="O245" s="7">
        <f t="shared" ca="1" si="44"/>
        <v>29</v>
      </c>
      <c r="P245" s="19">
        <f t="shared" ca="1" si="45"/>
        <v>29</v>
      </c>
      <c r="Q245" s="7">
        <f t="shared" ca="1" si="46"/>
        <v>0</v>
      </c>
      <c r="R245" s="8">
        <f ca="1">VLOOKUP(M245,'Payment Method'!$A$8:$B$12,2,0)</f>
        <v>0</v>
      </c>
      <c r="S245" s="9">
        <f t="shared" ca="1" si="36"/>
        <v>0</v>
      </c>
      <c r="T245" s="8">
        <v>0.01</v>
      </c>
      <c r="U245" s="9">
        <f t="shared" ca="1" si="37"/>
        <v>0.28999999999999915</v>
      </c>
      <c r="V245" s="7">
        <f t="shared" ca="1" si="38"/>
        <v>0</v>
      </c>
      <c r="W245" s="7">
        <f t="shared" ca="1" si="39"/>
        <v>28.71</v>
      </c>
      <c r="X245" s="5" t="str">
        <f t="shared" ca="1" si="47"/>
        <v>Tiktok</v>
      </c>
      <c r="Y245" s="78">
        <f>IF(COUNTIF($C$1:C244,B244)=1,10,"")</f>
        <v>10</v>
      </c>
    </row>
    <row r="246" spans="1:25" x14ac:dyDescent="0.3">
      <c r="A246" s="75">
        <v>245</v>
      </c>
      <c r="B246" s="6">
        <v>46195</v>
      </c>
      <c r="C246" s="6">
        <v>46195</v>
      </c>
      <c r="D246" s="17" t="str">
        <f t="shared" si="40"/>
        <v>June</v>
      </c>
      <c r="E246" s="5" t="str">
        <f t="shared" ca="1" si="41"/>
        <v>STU-33</v>
      </c>
      <c r="F246" s="5" t="str">
        <f ca="1">IF(COUNTIF($E$2:E246,E246)=1,"New Customer","Returning Customer")</f>
        <v>New Customer</v>
      </c>
      <c r="G246" s="5" t="str">
        <f t="shared" ca="1" si="42"/>
        <v>Not specified</v>
      </c>
      <c r="H246" s="5" t="s">
        <v>138</v>
      </c>
      <c r="I246" s="5" t="str" cm="1">
        <f t="array" aca="1" ref="I246" ca="1">INDEX(Courses!$B$9:$B$16,RANDBETWEEN(1,8))</f>
        <v>Excel Basics</v>
      </c>
      <c r="J246" s="5" t="str">
        <f ca="1">VLOOKUP(I246,Courses!$B$9:$C$16,2,0)</f>
        <v>Microsoft Office</v>
      </c>
      <c r="K246" s="7">
        <f ca="1">VLOOKUP(I246,Courses!$B$9:$D$16,3,0)</f>
        <v>29</v>
      </c>
      <c r="L246" s="5" t="str">
        <f t="shared" ca="1" si="43"/>
        <v>Refunded</v>
      </c>
      <c r="M246" s="8" t="str" cm="1">
        <f t="array" aca="1" ref="M246" ca="1">INDEX('Payment Method'!$A$8:$A$12,RANDBETWEEN(1,5))</f>
        <v>Mastercard Debit</v>
      </c>
      <c r="N246" s="7">
        <f>IFERROR(SUMIF(Holiday!$A$8:$A$11,B246,Holiday!$C$8:$C$11),0)</f>
        <v>0</v>
      </c>
      <c r="O246" s="7">
        <f t="shared" ca="1" si="44"/>
        <v>29</v>
      </c>
      <c r="P246" s="19">
        <f t="shared" ca="1" si="45"/>
        <v>28.42</v>
      </c>
      <c r="Q246" s="7">
        <f t="shared" ca="1" si="46"/>
        <v>0</v>
      </c>
      <c r="R246" s="8">
        <f ca="1">VLOOKUP(M246,'Payment Method'!$A$8:$B$12,2,0)</f>
        <v>0.02</v>
      </c>
      <c r="S246" s="9">
        <f t="shared" ca="1" si="36"/>
        <v>0.57999999999999829</v>
      </c>
      <c r="T246" s="8">
        <v>0.01</v>
      </c>
      <c r="U246" s="9">
        <f t="shared" ca="1" si="37"/>
        <v>0.28419999999999845</v>
      </c>
      <c r="V246" s="7">
        <f t="shared" ca="1" si="38"/>
        <v>28.135800000000003</v>
      </c>
      <c r="W246" s="7">
        <f t="shared" ca="1" si="39"/>
        <v>0</v>
      </c>
      <c r="X246" s="5" t="str">
        <f t="shared" ca="1" si="47"/>
        <v>Facebook</v>
      </c>
      <c r="Y246" s="78">
        <f>IF(COUNTIF($C$1:C245,B245)=1,10,"")</f>
        <v>10</v>
      </c>
    </row>
    <row r="247" spans="1:25" x14ac:dyDescent="0.3">
      <c r="A247" s="76">
        <v>246</v>
      </c>
      <c r="B247" s="6">
        <v>46088</v>
      </c>
      <c r="C247" s="6">
        <v>46093</v>
      </c>
      <c r="D247" s="17" t="str">
        <f t="shared" si="40"/>
        <v>March</v>
      </c>
      <c r="E247" s="5" t="str">
        <f t="shared" ca="1" si="41"/>
        <v>STU-721</v>
      </c>
      <c r="F247" s="5" t="str">
        <f ca="1">IF(COUNTIF($E$2:E247,E247)=1,"New Customer","Returning Customer")</f>
        <v>New Customer</v>
      </c>
      <c r="G247" s="5" t="str">
        <f t="shared" ca="1" si="42"/>
        <v>Male</v>
      </c>
      <c r="H247" s="5" t="s">
        <v>135</v>
      </c>
      <c r="I247" s="5" t="str" cm="1">
        <f t="array" aca="1" ref="I247" ca="1">INDEX(Courses!$B$9:$B$16,RANDBETWEEN(1,8))</f>
        <v>Adolescent Psychology</v>
      </c>
      <c r="J247" s="5" t="str">
        <f ca="1">VLOOKUP(I247,Courses!$B$9:$C$16,2,0)</f>
        <v>Psychology</v>
      </c>
      <c r="K247" s="7">
        <f ca="1">VLOOKUP(I247,Courses!$B$9:$D$16,3,0)</f>
        <v>29</v>
      </c>
      <c r="L247" s="5" t="str">
        <f t="shared" ca="1" si="43"/>
        <v>Paid</v>
      </c>
      <c r="M247" s="8" t="str" cm="1">
        <f t="array" aca="1" ref="M247" ca="1">INDEX('Payment Method'!$A$8:$A$12,RANDBETWEEN(1,5))</f>
        <v>Visa Debit</v>
      </c>
      <c r="N247" s="7">
        <f>IFERROR(SUMIF(Holiday!$A$8:$A$11,B247,Holiday!$C$8:$C$11),0)</f>
        <v>0</v>
      </c>
      <c r="O247" s="7">
        <f t="shared" ca="1" si="44"/>
        <v>29</v>
      </c>
      <c r="P247" s="19">
        <f t="shared" ca="1" si="45"/>
        <v>28.42</v>
      </c>
      <c r="Q247" s="7">
        <f t="shared" ca="1" si="46"/>
        <v>0</v>
      </c>
      <c r="R247" s="8">
        <f ca="1">VLOOKUP(M247,'Payment Method'!$A$8:$B$12,2,0)</f>
        <v>0.02</v>
      </c>
      <c r="S247" s="9">
        <f t="shared" ca="1" si="36"/>
        <v>0.57999999999999829</v>
      </c>
      <c r="T247" s="8">
        <v>0.01</v>
      </c>
      <c r="U247" s="9">
        <f t="shared" ca="1" si="37"/>
        <v>0.28419999999999845</v>
      </c>
      <c r="V247" s="7">
        <f t="shared" ca="1" si="38"/>
        <v>0</v>
      </c>
      <c r="W247" s="7">
        <f t="shared" ca="1" si="39"/>
        <v>28.135800000000003</v>
      </c>
      <c r="X247" s="5" t="str">
        <f t="shared" ca="1" si="47"/>
        <v>Facebook</v>
      </c>
      <c r="Y247" s="78" t="str">
        <f>IF(COUNTIF($C$1:C246,B246)=1,10,"")</f>
        <v/>
      </c>
    </row>
    <row r="248" spans="1:25" x14ac:dyDescent="0.3">
      <c r="A248" s="75">
        <v>247</v>
      </c>
      <c r="B248" s="6">
        <v>46142</v>
      </c>
      <c r="C248" s="6">
        <v>46142</v>
      </c>
      <c r="D248" s="17" t="str">
        <f t="shared" si="40"/>
        <v>April</v>
      </c>
      <c r="E248" s="5" t="str">
        <f t="shared" ca="1" si="41"/>
        <v>STU-214</v>
      </c>
      <c r="F248" s="5" t="str">
        <f ca="1">IF(COUNTIF($E$2:E248,E248)=1,"New Customer","Returning Customer")</f>
        <v>New Customer</v>
      </c>
      <c r="G248" s="5" t="str">
        <f t="shared" ca="1" si="42"/>
        <v>Male</v>
      </c>
      <c r="H248" s="5" t="s">
        <v>142</v>
      </c>
      <c r="I248" s="5" t="str" cm="1">
        <f t="array" aca="1" ref="I248" ca="1">INDEX(Courses!$B$9:$B$16,RANDBETWEEN(1,8))</f>
        <v>SQL</v>
      </c>
      <c r="J248" s="5" t="str">
        <f ca="1">VLOOKUP(I248,Courses!$B$9:$C$16,2,0)</f>
        <v>Data Analytics</v>
      </c>
      <c r="K248" s="7">
        <f ca="1">VLOOKUP(I248,Courses!$B$9:$D$16,3,0)</f>
        <v>99</v>
      </c>
      <c r="L248" s="5" t="str">
        <f t="shared" ca="1" si="43"/>
        <v>Paid</v>
      </c>
      <c r="M248" s="8" t="str" cm="1">
        <f t="array" aca="1" ref="M248" ca="1">INDEX('Payment Method'!$A$8:$A$12,RANDBETWEEN(1,5))</f>
        <v>Visa Credit</v>
      </c>
      <c r="N248" s="7">
        <f>IFERROR(SUMIF(Holiday!$A$8:$A$11,B248,Holiday!$C$8:$C$11),0)</f>
        <v>0</v>
      </c>
      <c r="O248" s="7">
        <f t="shared" ca="1" si="44"/>
        <v>99</v>
      </c>
      <c r="P248" s="19">
        <f t="shared" ca="1" si="45"/>
        <v>95.534999999999997</v>
      </c>
      <c r="Q248" s="7">
        <f t="shared" ca="1" si="46"/>
        <v>0</v>
      </c>
      <c r="R248" s="8">
        <f ca="1">VLOOKUP(M248,'Payment Method'!$A$8:$B$12,2,0)</f>
        <v>3.5000000000000003E-2</v>
      </c>
      <c r="S248" s="9">
        <f t="shared" ca="1" si="36"/>
        <v>3.4650000000000034</v>
      </c>
      <c r="T248" s="8">
        <v>0.01</v>
      </c>
      <c r="U248" s="9">
        <f t="shared" ca="1" si="37"/>
        <v>0.9553499999999957</v>
      </c>
      <c r="V248" s="7">
        <f t="shared" ca="1" si="38"/>
        <v>0</v>
      </c>
      <c r="W248" s="7">
        <f t="shared" ca="1" si="39"/>
        <v>94.579650000000001</v>
      </c>
      <c r="X248" s="5" t="str">
        <f t="shared" ca="1" si="47"/>
        <v>Facebook</v>
      </c>
      <c r="Y248" s="78" t="str">
        <f>IF(COUNTIF($C$1:C247,B247)=1,10,"")</f>
        <v/>
      </c>
    </row>
    <row r="249" spans="1:25" x14ac:dyDescent="0.3">
      <c r="A249" s="76">
        <v>248</v>
      </c>
      <c r="B249" s="6">
        <v>46118</v>
      </c>
      <c r="C249" s="6">
        <v>46121</v>
      </c>
      <c r="D249" s="17" t="str">
        <f t="shared" si="40"/>
        <v>April</v>
      </c>
      <c r="E249" s="5" t="str">
        <f t="shared" ca="1" si="41"/>
        <v>STU-593</v>
      </c>
      <c r="F249" s="5" t="str">
        <f ca="1">IF(COUNTIF($E$2:E249,E249)=1,"New Customer","Returning Customer")</f>
        <v>Returning Customer</v>
      </c>
      <c r="G249" s="5" t="str">
        <f t="shared" ca="1" si="42"/>
        <v>Female</v>
      </c>
      <c r="H249" s="5" t="s">
        <v>139</v>
      </c>
      <c r="I249" s="5" t="str" cm="1">
        <f t="array" aca="1" ref="I249" ca="1">INDEX(Courses!$B$9:$B$16,RANDBETWEEN(1,8))</f>
        <v>SQL</v>
      </c>
      <c r="J249" s="5" t="str">
        <f ca="1">VLOOKUP(I249,Courses!$B$9:$C$16,2,0)</f>
        <v>Data Analytics</v>
      </c>
      <c r="K249" s="7">
        <f ca="1">VLOOKUP(I249,Courses!$B$9:$D$16,3,0)</f>
        <v>99</v>
      </c>
      <c r="L249" s="5" t="str">
        <f t="shared" ca="1" si="43"/>
        <v>Paid</v>
      </c>
      <c r="M249" s="8" t="str" cm="1">
        <f t="array" aca="1" ref="M249" ca="1">INDEX('Payment Method'!$A$8:$A$12,RANDBETWEEN(1,5))</f>
        <v>Mastercard Credit</v>
      </c>
      <c r="N249" s="7">
        <f>IFERROR(SUMIF(Holiday!$A$8:$A$11,B249,Holiday!$C$8:$C$11),0)</f>
        <v>0</v>
      </c>
      <c r="O249" s="7">
        <f t="shared" ca="1" si="44"/>
        <v>99</v>
      </c>
      <c r="P249" s="19">
        <f t="shared" ca="1" si="45"/>
        <v>95.534999999999997</v>
      </c>
      <c r="Q249" s="7">
        <f t="shared" ca="1" si="46"/>
        <v>0</v>
      </c>
      <c r="R249" s="8">
        <f ca="1">VLOOKUP(M249,'Payment Method'!$A$8:$B$12,2,0)</f>
        <v>3.5000000000000003E-2</v>
      </c>
      <c r="S249" s="9">
        <f t="shared" ca="1" si="36"/>
        <v>3.4650000000000034</v>
      </c>
      <c r="T249" s="8">
        <v>0.01</v>
      </c>
      <c r="U249" s="9">
        <f t="shared" ca="1" si="37"/>
        <v>0.9553499999999957</v>
      </c>
      <c r="V249" s="7">
        <f t="shared" ca="1" si="38"/>
        <v>0</v>
      </c>
      <c r="W249" s="7">
        <f t="shared" ca="1" si="39"/>
        <v>94.579650000000001</v>
      </c>
      <c r="X249" s="5" t="str">
        <f t="shared" ca="1" si="47"/>
        <v>Instagram</v>
      </c>
      <c r="Y249" s="78" t="str">
        <f>IF(COUNTIF($C$1:C248,B248)=1,10,"")</f>
        <v/>
      </c>
    </row>
    <row r="250" spans="1:25" x14ac:dyDescent="0.3">
      <c r="A250" s="75">
        <v>249</v>
      </c>
      <c r="B250" s="6">
        <v>46134</v>
      </c>
      <c r="C250" s="6">
        <v>46134</v>
      </c>
      <c r="D250" s="17" t="str">
        <f t="shared" si="40"/>
        <v>April</v>
      </c>
      <c r="E250" s="5" t="str">
        <f t="shared" ca="1" si="41"/>
        <v>STU-609</v>
      </c>
      <c r="F250" s="5" t="str">
        <f ca="1">IF(COUNTIF($E$2:E250,E250)=1,"New Customer","Returning Customer")</f>
        <v>Returning Customer</v>
      </c>
      <c r="G250" s="5" t="str">
        <f t="shared" ca="1" si="42"/>
        <v>Female</v>
      </c>
      <c r="H250" s="5" t="s">
        <v>141</v>
      </c>
      <c r="I250" s="5" t="str" cm="1">
        <f t="array" aca="1" ref="I250" ca="1">INDEX(Courses!$B$9:$B$16,RANDBETWEEN(1,8))</f>
        <v>Complete Excel Course</v>
      </c>
      <c r="J250" s="5" t="str">
        <f ca="1">VLOOKUP(I250,Courses!$B$9:$C$16,2,0)</f>
        <v>Microsoft Office</v>
      </c>
      <c r="K250" s="7">
        <f ca="1">VLOOKUP(I250,Courses!$B$9:$D$16,3,0)</f>
        <v>59</v>
      </c>
      <c r="L250" s="5" t="str">
        <f t="shared" ca="1" si="43"/>
        <v>Paid</v>
      </c>
      <c r="M250" s="8" t="str" cm="1">
        <f t="array" aca="1" ref="M250" ca="1">INDEX('Payment Method'!$A$8:$A$12,RANDBETWEEN(1,5))</f>
        <v>Mastercard Debit</v>
      </c>
      <c r="N250" s="7">
        <f>IFERROR(SUMIF(Holiday!$A$8:$A$11,B250,Holiday!$C$8:$C$11),0)</f>
        <v>0</v>
      </c>
      <c r="O250" s="7">
        <f t="shared" ca="1" si="44"/>
        <v>59</v>
      </c>
      <c r="P250" s="19">
        <f t="shared" ca="1" si="45"/>
        <v>57.82</v>
      </c>
      <c r="Q250" s="7">
        <f t="shared" ca="1" si="46"/>
        <v>0</v>
      </c>
      <c r="R250" s="8">
        <f ca="1">VLOOKUP(M250,'Payment Method'!$A$8:$B$12,2,0)</f>
        <v>0.02</v>
      </c>
      <c r="S250" s="9">
        <f t="shared" ca="1" si="36"/>
        <v>1.1799999999999997</v>
      </c>
      <c r="T250" s="8">
        <v>0.01</v>
      </c>
      <c r="U250" s="9">
        <f t="shared" ca="1" si="37"/>
        <v>0.57820000000000249</v>
      </c>
      <c r="V250" s="7">
        <f t="shared" ca="1" si="38"/>
        <v>0</v>
      </c>
      <c r="W250" s="7">
        <f t="shared" ca="1" si="39"/>
        <v>57.241799999999998</v>
      </c>
      <c r="X250" s="5" t="str">
        <f t="shared" ca="1" si="47"/>
        <v>Facebook</v>
      </c>
      <c r="Y250" s="78">
        <f>IF(COUNTIF($C$1:C249,B249)=1,10,"")</f>
        <v>10</v>
      </c>
    </row>
    <row r="251" spans="1:25" x14ac:dyDescent="0.3">
      <c r="A251" s="76">
        <v>250</v>
      </c>
      <c r="B251" s="6">
        <v>46119</v>
      </c>
      <c r="C251" s="6">
        <v>46119</v>
      </c>
      <c r="D251" s="17" t="str">
        <f t="shared" si="40"/>
        <v>April</v>
      </c>
      <c r="E251" s="5" t="str">
        <f t="shared" ca="1" si="41"/>
        <v>STU-148</v>
      </c>
      <c r="F251" s="5" t="str">
        <f ca="1">IF(COUNTIF($E$2:E251,E251)=1,"New Customer","Returning Customer")</f>
        <v>New Customer</v>
      </c>
      <c r="G251" s="5" t="str">
        <f t="shared" ca="1" si="42"/>
        <v>Male</v>
      </c>
      <c r="H251" s="5" t="s">
        <v>135</v>
      </c>
      <c r="I251" s="5" t="str" cm="1">
        <f t="array" aca="1" ref="I251" ca="1">INDEX(Courses!$B$9:$B$16,RANDBETWEEN(1,8))</f>
        <v>Microsoft Word</v>
      </c>
      <c r="J251" s="5" t="str">
        <f ca="1">VLOOKUP(I251,Courses!$B$9:$C$16,2,0)</f>
        <v>Microsoft Office</v>
      </c>
      <c r="K251" s="7">
        <f ca="1">VLOOKUP(I251,Courses!$B$9:$D$16,3,0)</f>
        <v>29</v>
      </c>
      <c r="L251" s="5" t="str">
        <f t="shared" ca="1" si="43"/>
        <v>Paid</v>
      </c>
      <c r="M251" s="8" t="str" cm="1">
        <f t="array" aca="1" ref="M251" ca="1">INDEX('Payment Method'!$A$8:$A$12,RANDBETWEEN(1,5))</f>
        <v>Mastercard Credit</v>
      </c>
      <c r="N251" s="7">
        <f>IFERROR(SUMIF(Holiday!$A$8:$A$11,B251,Holiday!$C$8:$C$11),0)</f>
        <v>0</v>
      </c>
      <c r="O251" s="7">
        <f t="shared" ca="1" si="44"/>
        <v>29</v>
      </c>
      <c r="P251" s="19">
        <f t="shared" ca="1" si="45"/>
        <v>27.984999999999999</v>
      </c>
      <c r="Q251" s="7">
        <f t="shared" ca="1" si="46"/>
        <v>0</v>
      </c>
      <c r="R251" s="8">
        <f ca="1">VLOOKUP(M251,'Payment Method'!$A$8:$B$12,2,0)</f>
        <v>3.5000000000000003E-2</v>
      </c>
      <c r="S251" s="9">
        <f t="shared" ca="1" si="36"/>
        <v>1.0150000000000006</v>
      </c>
      <c r="T251" s="8">
        <v>0.01</v>
      </c>
      <c r="U251" s="9">
        <f t="shared" ca="1" si="37"/>
        <v>0.27984999999999971</v>
      </c>
      <c r="V251" s="7">
        <f t="shared" ca="1" si="38"/>
        <v>0</v>
      </c>
      <c r="W251" s="7">
        <f t="shared" ca="1" si="39"/>
        <v>27.70515</v>
      </c>
      <c r="X251" s="5" t="str">
        <f t="shared" ca="1" si="47"/>
        <v>Facebook</v>
      </c>
      <c r="Y251" s="78">
        <f>IF(COUNTIF($C$1:C250,B250)=1,10,"")</f>
        <v>10</v>
      </c>
    </row>
    <row r="252" spans="1:25" x14ac:dyDescent="0.3">
      <c r="A252" s="75">
        <v>251</v>
      </c>
      <c r="B252" s="6">
        <v>46034</v>
      </c>
      <c r="C252" s="6">
        <v>46036</v>
      </c>
      <c r="D252" s="17" t="str">
        <f t="shared" si="40"/>
        <v>January</v>
      </c>
      <c r="E252" s="5" t="str">
        <f t="shared" ca="1" si="41"/>
        <v>STU-972</v>
      </c>
      <c r="F252" s="5" t="str">
        <f ca="1">IF(COUNTIF($E$2:E252,E252)=1,"New Customer","Returning Customer")</f>
        <v>New Customer</v>
      </c>
      <c r="G252" s="5" t="str">
        <f t="shared" ca="1" si="42"/>
        <v>Not specified</v>
      </c>
      <c r="H252" s="5" t="s">
        <v>141</v>
      </c>
      <c r="I252" s="5" t="str" cm="1">
        <f t="array" aca="1" ref="I252" ca="1">INDEX(Courses!$B$9:$B$16,RANDBETWEEN(1,8))</f>
        <v>Power BI</v>
      </c>
      <c r="J252" s="5" t="str">
        <f ca="1">VLOOKUP(I252,Courses!$B$9:$C$16,2,0)</f>
        <v>Data Analytics</v>
      </c>
      <c r="K252" s="7">
        <f ca="1">VLOOKUP(I252,Courses!$B$9:$D$16,3,0)</f>
        <v>59</v>
      </c>
      <c r="L252" s="5" t="str">
        <f t="shared" ca="1" si="43"/>
        <v>Paid</v>
      </c>
      <c r="M252" s="8" t="str" cm="1">
        <f t="array" aca="1" ref="M252" ca="1">INDEX('Payment Method'!$A$8:$A$12,RANDBETWEEN(1,5))</f>
        <v>Mastercard Debit</v>
      </c>
      <c r="N252" s="7">
        <f>IFERROR(SUMIF(Holiday!$A$8:$A$11,B252,Holiday!$C$8:$C$11),0)</f>
        <v>0</v>
      </c>
      <c r="O252" s="7">
        <f t="shared" ca="1" si="44"/>
        <v>59</v>
      </c>
      <c r="P252" s="19">
        <f t="shared" ca="1" si="45"/>
        <v>57.82</v>
      </c>
      <c r="Q252" s="7">
        <f t="shared" ca="1" si="46"/>
        <v>0</v>
      </c>
      <c r="R252" s="8">
        <f ca="1">VLOOKUP(M252,'Payment Method'!$A$8:$B$12,2,0)</f>
        <v>0.02</v>
      </c>
      <c r="S252" s="9">
        <f t="shared" ca="1" si="36"/>
        <v>1.1799999999999997</v>
      </c>
      <c r="T252" s="8">
        <v>0.01</v>
      </c>
      <c r="U252" s="9">
        <f t="shared" ca="1" si="37"/>
        <v>0.57820000000000249</v>
      </c>
      <c r="V252" s="7">
        <f t="shared" ca="1" si="38"/>
        <v>0</v>
      </c>
      <c r="W252" s="7">
        <f t="shared" ca="1" si="39"/>
        <v>57.241799999999998</v>
      </c>
      <c r="X252" s="5" t="str">
        <f t="shared" ca="1" si="47"/>
        <v>Instagram</v>
      </c>
      <c r="Y252" s="78">
        <f>IF(COUNTIF($C$1:C251,B251)=1,10,"")</f>
        <v>10</v>
      </c>
    </row>
    <row r="253" spans="1:25" x14ac:dyDescent="0.3">
      <c r="A253" s="76">
        <v>252</v>
      </c>
      <c r="B253" s="6">
        <v>46088</v>
      </c>
      <c r="C253" s="6">
        <v>46090</v>
      </c>
      <c r="D253" s="17" t="str">
        <f t="shared" si="40"/>
        <v>March</v>
      </c>
      <c r="E253" s="5" t="str">
        <f t="shared" ca="1" si="41"/>
        <v>STU-407</v>
      </c>
      <c r="F253" s="5" t="str">
        <f ca="1">IF(COUNTIF($E$2:E253,E253)=1,"New Customer","Returning Customer")</f>
        <v>New Customer</v>
      </c>
      <c r="G253" s="5" t="str">
        <f t="shared" ca="1" si="42"/>
        <v>Male</v>
      </c>
      <c r="H253" s="5" t="s">
        <v>142</v>
      </c>
      <c r="I253" s="5" t="str" cm="1">
        <f t="array" aca="1" ref="I253" ca="1">INDEX(Courses!$B$9:$B$16,RANDBETWEEN(1,8))</f>
        <v>Power BI</v>
      </c>
      <c r="J253" s="5" t="str">
        <f ca="1">VLOOKUP(I253,Courses!$B$9:$C$16,2,0)</f>
        <v>Data Analytics</v>
      </c>
      <c r="K253" s="7">
        <f ca="1">VLOOKUP(I253,Courses!$B$9:$D$16,3,0)</f>
        <v>59</v>
      </c>
      <c r="L253" s="5" t="str">
        <f t="shared" ca="1" si="43"/>
        <v>Paid</v>
      </c>
      <c r="M253" s="8" t="str" cm="1">
        <f t="array" aca="1" ref="M253" ca="1">INDEX('Payment Method'!$A$8:$A$12,RANDBETWEEN(1,5))</f>
        <v>Mastercard Credit</v>
      </c>
      <c r="N253" s="7">
        <f>IFERROR(SUMIF(Holiday!$A$8:$A$11,B253,Holiday!$C$8:$C$11),0)</f>
        <v>0</v>
      </c>
      <c r="O253" s="7">
        <f t="shared" ca="1" si="44"/>
        <v>59</v>
      </c>
      <c r="P253" s="19">
        <f t="shared" ca="1" si="45"/>
        <v>56.935000000000002</v>
      </c>
      <c r="Q253" s="7">
        <f t="shared" ca="1" si="46"/>
        <v>0</v>
      </c>
      <c r="R253" s="8">
        <f ca="1">VLOOKUP(M253,'Payment Method'!$A$8:$B$12,2,0)</f>
        <v>3.5000000000000003E-2</v>
      </c>
      <c r="S253" s="9">
        <f t="shared" ca="1" si="36"/>
        <v>2.0649999999999977</v>
      </c>
      <c r="T253" s="8">
        <v>0.01</v>
      </c>
      <c r="U253" s="9">
        <f t="shared" ca="1" si="37"/>
        <v>0.56935000000000002</v>
      </c>
      <c r="V253" s="7">
        <f t="shared" ca="1" si="38"/>
        <v>0</v>
      </c>
      <c r="W253" s="7">
        <f t="shared" ca="1" si="39"/>
        <v>56.365650000000002</v>
      </c>
      <c r="X253" s="5" t="str">
        <f t="shared" ca="1" si="47"/>
        <v>Facebook</v>
      </c>
      <c r="Y253" s="78">
        <f>IF(COUNTIF($C$1:C252,B252)=1,10,"")</f>
        <v>10</v>
      </c>
    </row>
    <row r="254" spans="1:25" x14ac:dyDescent="0.3">
      <c r="A254" s="75">
        <v>253</v>
      </c>
      <c r="B254" s="6">
        <v>46216</v>
      </c>
      <c r="C254" s="6">
        <v>46218</v>
      </c>
      <c r="D254" s="17" t="str">
        <f t="shared" si="40"/>
        <v>July</v>
      </c>
      <c r="E254" s="5" t="str">
        <f t="shared" ca="1" si="41"/>
        <v>STU-945</v>
      </c>
      <c r="F254" s="5" t="str">
        <f ca="1">IF(COUNTIF($E$2:E254,E254)=1,"New Customer","Returning Customer")</f>
        <v>New Customer</v>
      </c>
      <c r="G254" s="5" t="str">
        <f t="shared" ca="1" si="42"/>
        <v>Not specified</v>
      </c>
      <c r="H254" s="5" t="s">
        <v>140</v>
      </c>
      <c r="I254" s="5" t="str" cm="1">
        <f t="array" aca="1" ref="I254" ca="1">INDEX(Courses!$B$9:$B$16,RANDBETWEEN(1,8))</f>
        <v>Adolescent Psychology</v>
      </c>
      <c r="J254" s="5" t="str">
        <f ca="1">VLOOKUP(I254,Courses!$B$9:$C$16,2,0)</f>
        <v>Psychology</v>
      </c>
      <c r="K254" s="7">
        <f ca="1">VLOOKUP(I254,Courses!$B$9:$D$16,3,0)</f>
        <v>29</v>
      </c>
      <c r="L254" s="5" t="str">
        <f t="shared" ca="1" si="43"/>
        <v>Paid</v>
      </c>
      <c r="M254" s="8" t="str" cm="1">
        <f t="array" aca="1" ref="M254" ca="1">INDEX('Payment Method'!$A$8:$A$12,RANDBETWEEN(1,5))</f>
        <v>Visa Debit</v>
      </c>
      <c r="N254" s="7">
        <f>IFERROR(SUMIF(Holiday!$A$8:$A$11,B254,Holiday!$C$8:$C$11),0)</f>
        <v>0</v>
      </c>
      <c r="O254" s="7">
        <f t="shared" ca="1" si="44"/>
        <v>29</v>
      </c>
      <c r="P254" s="19">
        <f t="shared" ca="1" si="45"/>
        <v>28.42</v>
      </c>
      <c r="Q254" s="7">
        <f t="shared" ca="1" si="46"/>
        <v>0</v>
      </c>
      <c r="R254" s="8">
        <f ca="1">VLOOKUP(M254,'Payment Method'!$A$8:$B$12,2,0)</f>
        <v>0.02</v>
      </c>
      <c r="S254" s="9">
        <f t="shared" ca="1" si="36"/>
        <v>0.57999999999999829</v>
      </c>
      <c r="T254" s="8">
        <v>0.01</v>
      </c>
      <c r="U254" s="9">
        <f t="shared" ca="1" si="37"/>
        <v>0.28419999999999845</v>
      </c>
      <c r="V254" s="7">
        <f t="shared" ca="1" si="38"/>
        <v>0</v>
      </c>
      <c r="W254" s="7">
        <f t="shared" ca="1" si="39"/>
        <v>28.135800000000003</v>
      </c>
      <c r="X254" s="5" t="str">
        <f t="shared" ca="1" si="47"/>
        <v>Instagram</v>
      </c>
      <c r="Y254" s="78" t="str">
        <f>IF(COUNTIF($C$1:C253,B253)=1,10,"")</f>
        <v/>
      </c>
    </row>
    <row r="255" spans="1:25" x14ac:dyDescent="0.3">
      <c r="A255" s="76">
        <v>254</v>
      </c>
      <c r="B255" s="6">
        <v>46040</v>
      </c>
      <c r="C255" s="6">
        <v>46044</v>
      </c>
      <c r="D255" s="17" t="str">
        <f t="shared" si="40"/>
        <v>January</v>
      </c>
      <c r="E255" s="5" t="str">
        <f t="shared" ca="1" si="41"/>
        <v>STU-12</v>
      </c>
      <c r="F255" s="5" t="str">
        <f ca="1">IF(COUNTIF($E$2:E255,E255)=1,"New Customer","Returning Customer")</f>
        <v>New Customer</v>
      </c>
      <c r="G255" s="5" t="str">
        <f t="shared" ca="1" si="42"/>
        <v>Male</v>
      </c>
      <c r="H255" s="5" t="s">
        <v>137</v>
      </c>
      <c r="I255" s="5" t="str" cm="1">
        <f t="array" aca="1" ref="I255" ca="1">INDEX(Courses!$B$9:$B$16,RANDBETWEEN(1,8))</f>
        <v>Tax Code</v>
      </c>
      <c r="J255" s="5" t="str">
        <f ca="1">VLOOKUP(I255,Courses!$B$9:$C$16,2,0)</f>
        <v>Finance &amp; Taxation</v>
      </c>
      <c r="K255" s="7">
        <f ca="1">VLOOKUP(I255,Courses!$B$9:$D$16,3,0)</f>
        <v>59</v>
      </c>
      <c r="L255" s="5" t="str">
        <f t="shared" ca="1" si="43"/>
        <v>Pending</v>
      </c>
      <c r="M255" s="8" t="str" cm="1">
        <f t="array" aca="1" ref="M255" ca="1">INDEX('Payment Method'!$A$8:$A$12,RANDBETWEEN(1,5))</f>
        <v>Mastercard Debit</v>
      </c>
      <c r="N255" s="7">
        <f>IFERROR(SUMIF(Holiday!$A$8:$A$11,B255,Holiday!$C$8:$C$11),0)</f>
        <v>0</v>
      </c>
      <c r="O255" s="7">
        <f t="shared" ca="1" si="44"/>
        <v>59</v>
      </c>
      <c r="P255" s="19">
        <f t="shared" ca="1" si="45"/>
        <v>57.82</v>
      </c>
      <c r="Q255" s="7">
        <f t="shared" ca="1" si="46"/>
        <v>57.241799999999998</v>
      </c>
      <c r="R255" s="8">
        <f ca="1">VLOOKUP(M255,'Payment Method'!$A$8:$B$12,2,0)</f>
        <v>0.02</v>
      </c>
      <c r="S255" s="9">
        <f t="shared" ca="1" si="36"/>
        <v>1.1799999999999997</v>
      </c>
      <c r="T255" s="8">
        <v>0.01</v>
      </c>
      <c r="U255" s="9">
        <f t="shared" ca="1" si="37"/>
        <v>0.57820000000000249</v>
      </c>
      <c r="V255" s="7">
        <f t="shared" ca="1" si="38"/>
        <v>0</v>
      </c>
      <c r="W255" s="7">
        <f t="shared" ca="1" si="39"/>
        <v>0</v>
      </c>
      <c r="X255" s="5" t="str">
        <f t="shared" ca="1" si="47"/>
        <v>Facebook</v>
      </c>
      <c r="Y255" s="78" t="str">
        <f>IF(COUNTIF($C$1:C254,B254)=1,10,"")</f>
        <v/>
      </c>
    </row>
    <row r="256" spans="1:25" x14ac:dyDescent="0.3">
      <c r="A256" s="75">
        <v>255</v>
      </c>
      <c r="B256" s="6">
        <v>46085</v>
      </c>
      <c r="C256" s="6">
        <v>46089</v>
      </c>
      <c r="D256" s="17" t="str">
        <f t="shared" si="40"/>
        <v>March</v>
      </c>
      <c r="E256" s="5" t="str">
        <f t="shared" ca="1" si="41"/>
        <v>STU-671</v>
      </c>
      <c r="F256" s="5" t="str">
        <f ca="1">IF(COUNTIF($E$2:E256,E256)=1,"New Customer","Returning Customer")</f>
        <v>New Customer</v>
      </c>
      <c r="G256" s="5" t="str">
        <f t="shared" ca="1" si="42"/>
        <v>Male</v>
      </c>
      <c r="H256" s="5" t="s">
        <v>135</v>
      </c>
      <c r="I256" s="5" t="str" cm="1">
        <f t="array" aca="1" ref="I256" ca="1">INDEX(Courses!$B$9:$B$16,RANDBETWEEN(1,8))</f>
        <v>Power BI</v>
      </c>
      <c r="J256" s="5" t="str">
        <f ca="1">VLOOKUP(I256,Courses!$B$9:$C$16,2,0)</f>
        <v>Data Analytics</v>
      </c>
      <c r="K256" s="7">
        <f ca="1">VLOOKUP(I256,Courses!$B$9:$D$16,3,0)</f>
        <v>59</v>
      </c>
      <c r="L256" s="5" t="str">
        <f t="shared" ca="1" si="43"/>
        <v>Pending</v>
      </c>
      <c r="M256" s="8" t="str" cm="1">
        <f t="array" aca="1" ref="M256" ca="1">INDEX('Payment Method'!$A$8:$A$12,RANDBETWEEN(1,5))</f>
        <v>Mastercard Debit</v>
      </c>
      <c r="N256" s="7">
        <f>IFERROR(SUMIF(Holiday!$A$8:$A$11,B256,Holiday!$C$8:$C$11),0)</f>
        <v>0</v>
      </c>
      <c r="O256" s="7">
        <f t="shared" ca="1" si="44"/>
        <v>59</v>
      </c>
      <c r="P256" s="19">
        <f t="shared" ca="1" si="45"/>
        <v>57.82</v>
      </c>
      <c r="Q256" s="7">
        <f t="shared" ca="1" si="46"/>
        <v>57.241799999999998</v>
      </c>
      <c r="R256" s="8">
        <f ca="1">VLOOKUP(M256,'Payment Method'!$A$8:$B$12,2,0)</f>
        <v>0.02</v>
      </c>
      <c r="S256" s="9">
        <f t="shared" ca="1" si="36"/>
        <v>1.1799999999999997</v>
      </c>
      <c r="T256" s="8">
        <v>0.01</v>
      </c>
      <c r="U256" s="9">
        <f t="shared" ca="1" si="37"/>
        <v>0.57820000000000249</v>
      </c>
      <c r="V256" s="7">
        <f t="shared" ca="1" si="38"/>
        <v>0</v>
      </c>
      <c r="W256" s="7">
        <f t="shared" ca="1" si="39"/>
        <v>0</v>
      </c>
      <c r="X256" s="5" t="str">
        <f t="shared" ca="1" si="47"/>
        <v>Instagram</v>
      </c>
      <c r="Y256" s="78" t="str">
        <f>IF(COUNTIF($C$1:C255,B255)=1,10,"")</f>
        <v/>
      </c>
    </row>
    <row r="257" spans="1:25" x14ac:dyDescent="0.3">
      <c r="A257" s="76">
        <v>256</v>
      </c>
      <c r="B257" s="6">
        <v>46084</v>
      </c>
      <c r="C257" s="6">
        <v>46088</v>
      </c>
      <c r="D257" s="17" t="str">
        <f t="shared" si="40"/>
        <v>March</v>
      </c>
      <c r="E257" s="5" t="str">
        <f t="shared" ca="1" si="41"/>
        <v>STU-224</v>
      </c>
      <c r="F257" s="5" t="str">
        <f ca="1">IF(COUNTIF($E$2:E257,E257)=1,"New Customer","Returning Customer")</f>
        <v>New Customer</v>
      </c>
      <c r="G257" s="5" t="str">
        <f t="shared" ca="1" si="42"/>
        <v>Male</v>
      </c>
      <c r="H257" s="5" t="s">
        <v>138</v>
      </c>
      <c r="I257" s="5" t="str" cm="1">
        <f t="array" aca="1" ref="I257" ca="1">INDEX(Courses!$B$9:$B$16,RANDBETWEEN(1,8))</f>
        <v>Complete Excel Course</v>
      </c>
      <c r="J257" s="5" t="str">
        <f ca="1">VLOOKUP(I257,Courses!$B$9:$C$16,2,0)</f>
        <v>Microsoft Office</v>
      </c>
      <c r="K257" s="7">
        <f ca="1">VLOOKUP(I257,Courses!$B$9:$D$16,3,0)</f>
        <v>59</v>
      </c>
      <c r="L257" s="5" t="str">
        <f t="shared" ca="1" si="43"/>
        <v>Paid</v>
      </c>
      <c r="M257" s="8" t="str" cm="1">
        <f t="array" aca="1" ref="M257" ca="1">INDEX('Payment Method'!$A$8:$A$12,RANDBETWEEN(1,5))</f>
        <v>Visa Debit</v>
      </c>
      <c r="N257" s="7">
        <f>IFERROR(SUMIF(Holiday!$A$8:$A$11,B257,Holiday!$C$8:$C$11),0)</f>
        <v>20</v>
      </c>
      <c r="O257" s="7">
        <f t="shared" ca="1" si="44"/>
        <v>-1121</v>
      </c>
      <c r="P257" s="19">
        <f t="shared" ca="1" si="45"/>
        <v>-1098.58</v>
      </c>
      <c r="Q257" s="7">
        <f t="shared" ca="1" si="46"/>
        <v>0</v>
      </c>
      <c r="R257" s="8">
        <f ca="1">VLOOKUP(M257,'Payment Method'!$A$8:$B$12,2,0)</f>
        <v>0.02</v>
      </c>
      <c r="S257" s="9">
        <f t="shared" ca="1" si="36"/>
        <v>-22.420000000000073</v>
      </c>
      <c r="T257" s="8">
        <v>0.01</v>
      </c>
      <c r="U257" s="9">
        <f t="shared" ca="1" si="37"/>
        <v>-10.985799999999927</v>
      </c>
      <c r="V257" s="7">
        <f t="shared" ca="1" si="38"/>
        <v>0</v>
      </c>
      <c r="W257" s="7">
        <f t="shared" ca="1" si="39"/>
        <v>-1087.5942</v>
      </c>
      <c r="X257" s="5" t="str">
        <f t="shared" ca="1" si="47"/>
        <v>Instagram</v>
      </c>
      <c r="Y257" s="78" t="str">
        <f>IF(COUNTIF($C$1:C256,B256)=1,10,"")</f>
        <v/>
      </c>
    </row>
    <row r="258" spans="1:25" x14ac:dyDescent="0.3">
      <c r="A258" s="75">
        <v>257</v>
      </c>
      <c r="B258" s="6">
        <v>46228</v>
      </c>
      <c r="C258" s="6">
        <v>46230</v>
      </c>
      <c r="D258" s="17" t="str">
        <f t="shared" si="40"/>
        <v>July</v>
      </c>
      <c r="E258" s="5" t="str">
        <f t="shared" ca="1" si="41"/>
        <v>STU-248</v>
      </c>
      <c r="F258" s="5" t="str">
        <f ca="1">IF(COUNTIF($E$2:E258,E258)=1,"New Customer","Returning Customer")</f>
        <v>New Customer</v>
      </c>
      <c r="G258" s="5" t="str">
        <f t="shared" ca="1" si="42"/>
        <v>Female</v>
      </c>
      <c r="H258" s="5" t="s">
        <v>136</v>
      </c>
      <c r="I258" s="5" t="str" cm="1">
        <f t="array" aca="1" ref="I258" ca="1">INDEX(Courses!$B$9:$B$16,RANDBETWEEN(1,8))</f>
        <v>Complete Excel Course</v>
      </c>
      <c r="J258" s="5" t="str">
        <f ca="1">VLOOKUP(I258,Courses!$B$9:$C$16,2,0)</f>
        <v>Microsoft Office</v>
      </c>
      <c r="K258" s="7">
        <f ca="1">VLOOKUP(I258,Courses!$B$9:$D$16,3,0)</f>
        <v>59</v>
      </c>
      <c r="L258" s="5" t="str">
        <f t="shared" ca="1" si="43"/>
        <v>Pending</v>
      </c>
      <c r="M258" s="8" t="str" cm="1">
        <f t="array" aca="1" ref="M258" ca="1">INDEX('Payment Method'!$A$8:$A$12,RANDBETWEEN(1,5))</f>
        <v>Bank Transfer</v>
      </c>
      <c r="N258" s="7">
        <f>IFERROR(SUMIF(Holiday!$A$8:$A$11,B258,Holiday!$C$8:$C$11),0)</f>
        <v>0</v>
      </c>
      <c r="O258" s="7">
        <f t="shared" ca="1" si="44"/>
        <v>59</v>
      </c>
      <c r="P258" s="19">
        <f t="shared" ca="1" si="45"/>
        <v>59</v>
      </c>
      <c r="Q258" s="7">
        <f t="shared" ca="1" si="46"/>
        <v>58.41</v>
      </c>
      <c r="R258" s="8">
        <f ca="1">VLOOKUP(M258,'Payment Method'!$A$8:$B$12,2,0)</f>
        <v>0</v>
      </c>
      <c r="S258" s="9">
        <f t="shared" ref="S258:S321" ca="1" si="48">O258-(O258-O258*R258)</f>
        <v>0</v>
      </c>
      <c r="T258" s="8">
        <v>0.01</v>
      </c>
      <c r="U258" s="9">
        <f t="shared" ref="U258:U321" ca="1" si="49">O258-S258-((O258-S258)-(O258-S258)*T258)</f>
        <v>0.59000000000000341</v>
      </c>
      <c r="V258" s="7">
        <f t="shared" ref="V258:V321" ca="1" si="50">IF(L258="refunded",(K258-K258*N258)-(K258-K258*N258)*R258-((K258-K258*N258)-(K258-K258*N258)*R258)*T258,0)</f>
        <v>0</v>
      </c>
      <c r="W258" s="7">
        <f t="shared" ref="W258:W321" ca="1" si="51">IF(L258="paid",(K258-K258*N258)-(K258-K258*N258)*R258-((K258-K258*N258)-(K258-K258*N258)*R258)*T258,0)</f>
        <v>0</v>
      </c>
      <c r="X258" s="5" t="str">
        <f t="shared" ca="1" si="47"/>
        <v>Facebook</v>
      </c>
      <c r="Y258" s="78">
        <f>IF(COUNTIF($C$1:C257,B257)=1,10,"")</f>
        <v>10</v>
      </c>
    </row>
    <row r="259" spans="1:25" x14ac:dyDescent="0.3">
      <c r="A259" s="76">
        <v>258</v>
      </c>
      <c r="B259" s="6">
        <v>46116</v>
      </c>
      <c r="C259" s="6">
        <v>46117</v>
      </c>
      <c r="D259" s="17" t="str">
        <f t="shared" ref="D259:D322" si="52">TEXT(C259,"mmmm")</f>
        <v>April</v>
      </c>
      <c r="E259" s="5" t="str">
        <f t="shared" ref="E259:E322" ca="1" si="53">"STU-"&amp;RANDBETWEEN(1,1000)</f>
        <v>STU-745</v>
      </c>
      <c r="F259" s="5" t="str">
        <f ca="1">IF(COUNTIF($E$2:E259,E259)=1,"New Customer","Returning Customer")</f>
        <v>New Customer</v>
      </c>
      <c r="G259" s="5" t="str">
        <f t="shared" ref="G259:G322" ca="1" si="54">CHOOSE(RANDBETWEEN(1,3),"Male","Female","Not specified")</f>
        <v>Male</v>
      </c>
      <c r="H259" s="5" t="s">
        <v>137</v>
      </c>
      <c r="I259" s="5" t="str" cm="1">
        <f t="array" aca="1" ref="I259" ca="1">INDEX(Courses!$B$9:$B$16,RANDBETWEEN(1,8))</f>
        <v>Power BI</v>
      </c>
      <c r="J259" s="5" t="str">
        <f ca="1">VLOOKUP(I259,Courses!$B$9:$C$16,2,0)</f>
        <v>Data Analytics</v>
      </c>
      <c r="K259" s="7">
        <f ca="1">VLOOKUP(I259,Courses!$B$9:$D$16,3,0)</f>
        <v>59</v>
      </c>
      <c r="L259" s="5" t="str">
        <f t="shared" ref="L259:L322" ca="1" si="55">IF(RAND()&lt;0.6,"Paid",IF(RAND()&lt;0.75,"Pending","Refunded"))</f>
        <v>Pending</v>
      </c>
      <c r="M259" s="8" t="str" cm="1">
        <f t="array" aca="1" ref="M259" ca="1">INDEX('Payment Method'!$A$8:$A$12,RANDBETWEEN(1,5))</f>
        <v>Visa Credit</v>
      </c>
      <c r="N259" s="7">
        <f>IFERROR(SUMIF(Holiday!$A$8:$A$11,B259,Holiday!$C$8:$C$11),0)</f>
        <v>0</v>
      </c>
      <c r="O259" s="7">
        <f t="shared" ref="O259:O322" ca="1" si="56">K259-K259*N259</f>
        <v>59</v>
      </c>
      <c r="P259" s="19">
        <f t="shared" ref="P259:P322" ca="1" si="57">O259-S259</f>
        <v>56.935000000000002</v>
      </c>
      <c r="Q259" s="7">
        <f t="shared" ref="Q259:Q322" ca="1" si="58">IF(L259="pending",(K259-K259*N259)-(K259-K259*N259)*R259-((K259-K259*N259)-(K259-K259*N259)*R259)*T259,0)</f>
        <v>56.365650000000002</v>
      </c>
      <c r="R259" s="8">
        <f ca="1">VLOOKUP(M259,'Payment Method'!$A$8:$B$12,2,0)</f>
        <v>3.5000000000000003E-2</v>
      </c>
      <c r="S259" s="9">
        <f t="shared" ca="1" si="48"/>
        <v>2.0649999999999977</v>
      </c>
      <c r="T259" s="8">
        <v>0.01</v>
      </c>
      <c r="U259" s="9">
        <f t="shared" ca="1" si="49"/>
        <v>0.56935000000000002</v>
      </c>
      <c r="V259" s="7">
        <f t="shared" ca="1" si="50"/>
        <v>0</v>
      </c>
      <c r="W259" s="7">
        <f t="shared" ca="1" si="51"/>
        <v>0</v>
      </c>
      <c r="X259" s="5" t="str">
        <f t="shared" ref="X259:X322" ca="1" si="59">CHOOSE(RANDBETWEEN(1,3),"Facebook","Instagram","Tiktok")</f>
        <v>Facebook</v>
      </c>
      <c r="Y259" s="78" t="str">
        <f>IF(COUNTIF($C$1:C258,B258)=1,10,"")</f>
        <v/>
      </c>
    </row>
    <row r="260" spans="1:25" x14ac:dyDescent="0.3">
      <c r="A260" s="75">
        <v>259</v>
      </c>
      <c r="B260" s="6">
        <v>46049</v>
      </c>
      <c r="C260" s="6">
        <v>46050</v>
      </c>
      <c r="D260" s="17" t="str">
        <f t="shared" si="52"/>
        <v>January</v>
      </c>
      <c r="E260" s="5" t="str">
        <f t="shared" ca="1" si="53"/>
        <v>STU-393</v>
      </c>
      <c r="F260" s="5" t="str">
        <f ca="1">IF(COUNTIF($E$2:E260,E260)=1,"New Customer","Returning Customer")</f>
        <v>New Customer</v>
      </c>
      <c r="G260" s="5" t="str">
        <f t="shared" ca="1" si="54"/>
        <v>Not specified</v>
      </c>
      <c r="H260" s="5" t="s">
        <v>135</v>
      </c>
      <c r="I260" s="5" t="str" cm="1">
        <f t="array" aca="1" ref="I260" ca="1">INDEX(Courses!$B$9:$B$16,RANDBETWEEN(1,8))</f>
        <v>Tax Code</v>
      </c>
      <c r="J260" s="5" t="str">
        <f ca="1">VLOOKUP(I260,Courses!$B$9:$C$16,2,0)</f>
        <v>Finance &amp; Taxation</v>
      </c>
      <c r="K260" s="7">
        <f ca="1">VLOOKUP(I260,Courses!$B$9:$D$16,3,0)</f>
        <v>59</v>
      </c>
      <c r="L260" s="5" t="str">
        <f t="shared" ca="1" si="55"/>
        <v>Refunded</v>
      </c>
      <c r="M260" s="8" t="str" cm="1">
        <f t="array" aca="1" ref="M260" ca="1">INDEX('Payment Method'!$A$8:$A$12,RANDBETWEEN(1,5))</f>
        <v>Mastercard Debit</v>
      </c>
      <c r="N260" s="7">
        <f>IFERROR(SUMIF(Holiday!$A$8:$A$11,B260,Holiday!$C$8:$C$11),0)</f>
        <v>0</v>
      </c>
      <c r="O260" s="7">
        <f t="shared" ca="1" si="56"/>
        <v>59</v>
      </c>
      <c r="P260" s="19">
        <f t="shared" ca="1" si="57"/>
        <v>57.82</v>
      </c>
      <c r="Q260" s="7">
        <f t="shared" ca="1" si="58"/>
        <v>0</v>
      </c>
      <c r="R260" s="8">
        <f ca="1">VLOOKUP(M260,'Payment Method'!$A$8:$B$12,2,0)</f>
        <v>0.02</v>
      </c>
      <c r="S260" s="9">
        <f t="shared" ca="1" si="48"/>
        <v>1.1799999999999997</v>
      </c>
      <c r="T260" s="8">
        <v>0.01</v>
      </c>
      <c r="U260" s="9">
        <f t="shared" ca="1" si="49"/>
        <v>0.57820000000000249</v>
      </c>
      <c r="V260" s="7">
        <f t="shared" ca="1" si="50"/>
        <v>57.241799999999998</v>
      </c>
      <c r="W260" s="7">
        <f t="shared" ca="1" si="51"/>
        <v>0</v>
      </c>
      <c r="X260" s="5" t="str">
        <f t="shared" ca="1" si="59"/>
        <v>Facebook</v>
      </c>
      <c r="Y260" s="78">
        <f>IF(COUNTIF($C$1:C259,B259)=1,10,"")</f>
        <v>10</v>
      </c>
    </row>
    <row r="261" spans="1:25" x14ac:dyDescent="0.3">
      <c r="A261" s="76">
        <v>260</v>
      </c>
      <c r="B261" s="6">
        <v>46151</v>
      </c>
      <c r="C261" s="6">
        <v>46153</v>
      </c>
      <c r="D261" s="17" t="str">
        <f t="shared" si="52"/>
        <v>May</v>
      </c>
      <c r="E261" s="5" t="str">
        <f t="shared" ca="1" si="53"/>
        <v>STU-747</v>
      </c>
      <c r="F261" s="5" t="str">
        <f ca="1">IF(COUNTIF($E$2:E261,E261)=1,"New Customer","Returning Customer")</f>
        <v>New Customer</v>
      </c>
      <c r="G261" s="5" t="str">
        <f t="shared" ca="1" si="54"/>
        <v>Male</v>
      </c>
      <c r="H261" s="5" t="s">
        <v>142</v>
      </c>
      <c r="I261" s="5" t="str" cm="1">
        <f t="array" aca="1" ref="I261" ca="1">INDEX(Courses!$B$9:$B$16,RANDBETWEEN(1,8))</f>
        <v>PowerPoint</v>
      </c>
      <c r="J261" s="5" t="str">
        <f ca="1">VLOOKUP(I261,Courses!$B$9:$C$16,2,0)</f>
        <v>Microsoft Office</v>
      </c>
      <c r="K261" s="7">
        <f ca="1">VLOOKUP(I261,Courses!$B$9:$D$16,3,0)</f>
        <v>29</v>
      </c>
      <c r="L261" s="5" t="str">
        <f t="shared" ca="1" si="55"/>
        <v>Pending</v>
      </c>
      <c r="M261" s="8" t="str" cm="1">
        <f t="array" aca="1" ref="M261" ca="1">INDEX('Payment Method'!$A$8:$A$12,RANDBETWEEN(1,5))</f>
        <v>Visa Credit</v>
      </c>
      <c r="N261" s="7">
        <f>IFERROR(SUMIF(Holiday!$A$8:$A$11,B261,Holiday!$C$8:$C$11),0)</f>
        <v>0</v>
      </c>
      <c r="O261" s="7">
        <f t="shared" ca="1" si="56"/>
        <v>29</v>
      </c>
      <c r="P261" s="19">
        <f t="shared" ca="1" si="57"/>
        <v>27.984999999999999</v>
      </c>
      <c r="Q261" s="7">
        <f t="shared" ca="1" si="58"/>
        <v>27.70515</v>
      </c>
      <c r="R261" s="8">
        <f ca="1">VLOOKUP(M261,'Payment Method'!$A$8:$B$12,2,0)</f>
        <v>3.5000000000000003E-2</v>
      </c>
      <c r="S261" s="9">
        <f t="shared" ca="1" si="48"/>
        <v>1.0150000000000006</v>
      </c>
      <c r="T261" s="8">
        <v>0.01</v>
      </c>
      <c r="U261" s="9">
        <f t="shared" ca="1" si="49"/>
        <v>0.27984999999999971</v>
      </c>
      <c r="V261" s="7">
        <f t="shared" ca="1" si="50"/>
        <v>0</v>
      </c>
      <c r="W261" s="7">
        <f t="shared" ca="1" si="51"/>
        <v>0</v>
      </c>
      <c r="X261" s="5" t="str">
        <f t="shared" ca="1" si="59"/>
        <v>Instagram</v>
      </c>
      <c r="Y261" s="78" t="str">
        <f>IF(COUNTIF($C$1:C260,B260)=1,10,"")</f>
        <v/>
      </c>
    </row>
    <row r="262" spans="1:25" x14ac:dyDescent="0.3">
      <c r="A262" s="75">
        <v>261</v>
      </c>
      <c r="B262" s="6">
        <v>46160</v>
      </c>
      <c r="C262" s="6">
        <v>46161</v>
      </c>
      <c r="D262" s="17" t="str">
        <f t="shared" si="52"/>
        <v>May</v>
      </c>
      <c r="E262" s="5" t="str">
        <f t="shared" ca="1" si="53"/>
        <v>STU-462</v>
      </c>
      <c r="F262" s="5" t="str">
        <f ca="1">IF(COUNTIF($E$2:E262,E262)=1,"New Customer","Returning Customer")</f>
        <v>New Customer</v>
      </c>
      <c r="G262" s="5" t="str">
        <f t="shared" ca="1" si="54"/>
        <v>Female</v>
      </c>
      <c r="H262" s="5" t="s">
        <v>141</v>
      </c>
      <c r="I262" s="5" t="str" cm="1">
        <f t="array" aca="1" ref="I262" ca="1">INDEX(Courses!$B$9:$B$16,RANDBETWEEN(1,8))</f>
        <v>SQL</v>
      </c>
      <c r="J262" s="5" t="str">
        <f ca="1">VLOOKUP(I262,Courses!$B$9:$C$16,2,0)</f>
        <v>Data Analytics</v>
      </c>
      <c r="K262" s="7">
        <f ca="1">VLOOKUP(I262,Courses!$B$9:$D$16,3,0)</f>
        <v>99</v>
      </c>
      <c r="L262" s="5" t="str">
        <f t="shared" ca="1" si="55"/>
        <v>Pending</v>
      </c>
      <c r="M262" s="8" t="str" cm="1">
        <f t="array" aca="1" ref="M262" ca="1">INDEX('Payment Method'!$A$8:$A$12,RANDBETWEEN(1,5))</f>
        <v>Bank Transfer</v>
      </c>
      <c r="N262" s="7">
        <f>IFERROR(SUMIF(Holiday!$A$8:$A$11,B262,Holiday!$C$8:$C$11),0)</f>
        <v>0</v>
      </c>
      <c r="O262" s="7">
        <f t="shared" ca="1" si="56"/>
        <v>99</v>
      </c>
      <c r="P262" s="19">
        <f t="shared" ca="1" si="57"/>
        <v>99</v>
      </c>
      <c r="Q262" s="7">
        <f t="shared" ca="1" si="58"/>
        <v>98.01</v>
      </c>
      <c r="R262" s="8">
        <f ca="1">VLOOKUP(M262,'Payment Method'!$A$8:$B$12,2,0)</f>
        <v>0</v>
      </c>
      <c r="S262" s="9">
        <f t="shared" ca="1" si="48"/>
        <v>0</v>
      </c>
      <c r="T262" s="8">
        <v>0.01</v>
      </c>
      <c r="U262" s="9">
        <f t="shared" ca="1" si="49"/>
        <v>0.98999999999999488</v>
      </c>
      <c r="V262" s="7">
        <f t="shared" ca="1" si="50"/>
        <v>0</v>
      </c>
      <c r="W262" s="7">
        <f t="shared" ca="1" si="51"/>
        <v>0</v>
      </c>
      <c r="X262" s="5" t="str">
        <f t="shared" ca="1" si="59"/>
        <v>Instagram</v>
      </c>
      <c r="Y262" s="78" t="str">
        <f>IF(COUNTIF($C$1:C261,B261)=1,10,"")</f>
        <v/>
      </c>
    </row>
    <row r="263" spans="1:25" x14ac:dyDescent="0.3">
      <c r="A263" s="76">
        <v>262</v>
      </c>
      <c r="B263" s="6">
        <v>46208</v>
      </c>
      <c r="C263" s="6">
        <v>46213</v>
      </c>
      <c r="D263" s="17" t="str">
        <f t="shared" si="52"/>
        <v>July</v>
      </c>
      <c r="E263" s="5" t="str">
        <f t="shared" ca="1" si="53"/>
        <v>STU-799</v>
      </c>
      <c r="F263" s="5" t="str">
        <f ca="1">IF(COUNTIF($E$2:E263,E263)=1,"New Customer","Returning Customer")</f>
        <v>New Customer</v>
      </c>
      <c r="G263" s="5" t="str">
        <f t="shared" ca="1" si="54"/>
        <v>Male</v>
      </c>
      <c r="H263" s="5" t="s">
        <v>137</v>
      </c>
      <c r="I263" s="5" t="str" cm="1">
        <f t="array" aca="1" ref="I263" ca="1">INDEX(Courses!$B$9:$B$16,RANDBETWEEN(1,8))</f>
        <v>SQL</v>
      </c>
      <c r="J263" s="5" t="str">
        <f ca="1">VLOOKUP(I263,Courses!$B$9:$C$16,2,0)</f>
        <v>Data Analytics</v>
      </c>
      <c r="K263" s="7">
        <f ca="1">VLOOKUP(I263,Courses!$B$9:$D$16,3,0)</f>
        <v>99</v>
      </c>
      <c r="L263" s="5" t="str">
        <f t="shared" ca="1" si="55"/>
        <v>Refunded</v>
      </c>
      <c r="M263" s="8" t="str" cm="1">
        <f t="array" aca="1" ref="M263" ca="1">INDEX('Payment Method'!$A$8:$A$12,RANDBETWEEN(1,5))</f>
        <v>Visa Credit</v>
      </c>
      <c r="N263" s="7">
        <f>IFERROR(SUMIF(Holiday!$A$8:$A$11,B263,Holiday!$C$8:$C$11),0)</f>
        <v>0</v>
      </c>
      <c r="O263" s="7">
        <f t="shared" ca="1" si="56"/>
        <v>99</v>
      </c>
      <c r="P263" s="19">
        <f t="shared" ca="1" si="57"/>
        <v>95.534999999999997</v>
      </c>
      <c r="Q263" s="7">
        <f t="shared" ca="1" si="58"/>
        <v>0</v>
      </c>
      <c r="R263" s="8">
        <f ca="1">VLOOKUP(M263,'Payment Method'!$A$8:$B$12,2,0)</f>
        <v>3.5000000000000003E-2</v>
      </c>
      <c r="S263" s="9">
        <f t="shared" ca="1" si="48"/>
        <v>3.4650000000000034</v>
      </c>
      <c r="T263" s="8">
        <v>0.01</v>
      </c>
      <c r="U263" s="9">
        <f t="shared" ca="1" si="49"/>
        <v>0.9553499999999957</v>
      </c>
      <c r="V263" s="7">
        <f t="shared" ca="1" si="50"/>
        <v>94.579650000000001</v>
      </c>
      <c r="W263" s="7">
        <f t="shared" ca="1" si="51"/>
        <v>0</v>
      </c>
      <c r="X263" s="5" t="str">
        <f t="shared" ca="1" si="59"/>
        <v>Instagram</v>
      </c>
      <c r="Y263" s="78">
        <f>IF(COUNTIF($C$1:C262,B262)=1,10,"")</f>
        <v>10</v>
      </c>
    </row>
    <row r="264" spans="1:25" x14ac:dyDescent="0.3">
      <c r="A264" s="75">
        <v>263</v>
      </c>
      <c r="B264" s="6">
        <v>46046</v>
      </c>
      <c r="C264" s="6">
        <v>46046</v>
      </c>
      <c r="D264" s="17" t="str">
        <f t="shared" si="52"/>
        <v>January</v>
      </c>
      <c r="E264" s="5" t="str">
        <f t="shared" ca="1" si="53"/>
        <v>STU-308</v>
      </c>
      <c r="F264" s="5" t="str">
        <f ca="1">IF(COUNTIF($E$2:E264,E264)=1,"New Customer","Returning Customer")</f>
        <v>New Customer</v>
      </c>
      <c r="G264" s="5" t="str">
        <f t="shared" ca="1" si="54"/>
        <v>Not specified</v>
      </c>
      <c r="H264" s="5" t="s">
        <v>136</v>
      </c>
      <c r="I264" s="5" t="str" cm="1">
        <f t="array" aca="1" ref="I264" ca="1">INDEX(Courses!$B$9:$B$16,RANDBETWEEN(1,8))</f>
        <v>Excel Basics</v>
      </c>
      <c r="J264" s="5" t="str">
        <f ca="1">VLOOKUP(I264,Courses!$B$9:$C$16,2,0)</f>
        <v>Microsoft Office</v>
      </c>
      <c r="K264" s="7">
        <f ca="1">VLOOKUP(I264,Courses!$B$9:$D$16,3,0)</f>
        <v>29</v>
      </c>
      <c r="L264" s="5" t="str">
        <f t="shared" ca="1" si="55"/>
        <v>Pending</v>
      </c>
      <c r="M264" s="8" t="str" cm="1">
        <f t="array" aca="1" ref="M264" ca="1">INDEX('Payment Method'!$A$8:$A$12,RANDBETWEEN(1,5))</f>
        <v>Visa Credit</v>
      </c>
      <c r="N264" s="7">
        <f>IFERROR(SUMIF(Holiday!$A$8:$A$11,B264,Holiday!$C$8:$C$11),0)</f>
        <v>0</v>
      </c>
      <c r="O264" s="7">
        <f t="shared" ca="1" si="56"/>
        <v>29</v>
      </c>
      <c r="P264" s="19">
        <f t="shared" ca="1" si="57"/>
        <v>27.984999999999999</v>
      </c>
      <c r="Q264" s="7">
        <f t="shared" ca="1" si="58"/>
        <v>27.70515</v>
      </c>
      <c r="R264" s="8">
        <f ca="1">VLOOKUP(M264,'Payment Method'!$A$8:$B$12,2,0)</f>
        <v>3.5000000000000003E-2</v>
      </c>
      <c r="S264" s="9">
        <f t="shared" ca="1" si="48"/>
        <v>1.0150000000000006</v>
      </c>
      <c r="T264" s="8">
        <v>0.01</v>
      </c>
      <c r="U264" s="9">
        <f t="shared" ca="1" si="49"/>
        <v>0.27984999999999971</v>
      </c>
      <c r="V264" s="7">
        <f t="shared" ca="1" si="50"/>
        <v>0</v>
      </c>
      <c r="W264" s="7">
        <f t="shared" ca="1" si="51"/>
        <v>0</v>
      </c>
      <c r="X264" s="5" t="str">
        <f t="shared" ca="1" si="59"/>
        <v>Facebook</v>
      </c>
      <c r="Y264" s="78">
        <f>IF(COUNTIF($C$1:C263,B263)=1,10,"")</f>
        <v>10</v>
      </c>
    </row>
    <row r="265" spans="1:25" x14ac:dyDescent="0.3">
      <c r="A265" s="76">
        <v>264</v>
      </c>
      <c r="B265" s="6">
        <v>46062</v>
      </c>
      <c r="C265" s="6">
        <v>46064</v>
      </c>
      <c r="D265" s="17" t="str">
        <f t="shared" si="52"/>
        <v>February</v>
      </c>
      <c r="E265" s="5" t="str">
        <f t="shared" ca="1" si="53"/>
        <v>STU-868</v>
      </c>
      <c r="F265" s="5" t="str">
        <f ca="1">IF(COUNTIF($E$2:E265,E265)=1,"New Customer","Returning Customer")</f>
        <v>New Customer</v>
      </c>
      <c r="G265" s="5" t="str">
        <f t="shared" ca="1" si="54"/>
        <v>Not specified</v>
      </c>
      <c r="H265" s="5" t="s">
        <v>138</v>
      </c>
      <c r="I265" s="5" t="str" cm="1">
        <f t="array" aca="1" ref="I265" ca="1">INDEX(Courses!$B$9:$B$16,RANDBETWEEN(1,8))</f>
        <v>Complete Excel Course</v>
      </c>
      <c r="J265" s="5" t="str">
        <f ca="1">VLOOKUP(I265,Courses!$B$9:$C$16,2,0)</f>
        <v>Microsoft Office</v>
      </c>
      <c r="K265" s="7">
        <f ca="1">VLOOKUP(I265,Courses!$B$9:$D$16,3,0)</f>
        <v>59</v>
      </c>
      <c r="L265" s="5" t="str">
        <f t="shared" ca="1" si="55"/>
        <v>Paid</v>
      </c>
      <c r="M265" s="8" t="str" cm="1">
        <f t="array" aca="1" ref="M265" ca="1">INDEX('Payment Method'!$A$8:$A$12,RANDBETWEEN(1,5))</f>
        <v>Mastercard Debit</v>
      </c>
      <c r="N265" s="7">
        <f>IFERROR(SUMIF(Holiday!$A$8:$A$11,B265,Holiday!$C$8:$C$11),0)</f>
        <v>0</v>
      </c>
      <c r="O265" s="7">
        <f t="shared" ca="1" si="56"/>
        <v>59</v>
      </c>
      <c r="P265" s="19">
        <f t="shared" ca="1" si="57"/>
        <v>57.82</v>
      </c>
      <c r="Q265" s="7">
        <f t="shared" ca="1" si="58"/>
        <v>0</v>
      </c>
      <c r="R265" s="8">
        <f ca="1">VLOOKUP(M265,'Payment Method'!$A$8:$B$12,2,0)</f>
        <v>0.02</v>
      </c>
      <c r="S265" s="9">
        <f t="shared" ca="1" si="48"/>
        <v>1.1799999999999997</v>
      </c>
      <c r="T265" s="8">
        <v>0.01</v>
      </c>
      <c r="U265" s="9">
        <f t="shared" ca="1" si="49"/>
        <v>0.57820000000000249</v>
      </c>
      <c r="V265" s="7">
        <f t="shared" ca="1" si="50"/>
        <v>0</v>
      </c>
      <c r="W265" s="7">
        <f t="shared" ca="1" si="51"/>
        <v>57.241799999999998</v>
      </c>
      <c r="X265" s="5" t="str">
        <f t="shared" ca="1" si="59"/>
        <v>Facebook</v>
      </c>
      <c r="Y265" s="78" t="str">
        <f>IF(COUNTIF($C$1:C264,B264)=1,10,"")</f>
        <v/>
      </c>
    </row>
    <row r="266" spans="1:25" x14ac:dyDescent="0.3">
      <c r="A266" s="75">
        <v>265</v>
      </c>
      <c r="B266" s="6">
        <v>46172</v>
      </c>
      <c r="C266" s="6">
        <v>46172</v>
      </c>
      <c r="D266" s="17" t="str">
        <f t="shared" si="52"/>
        <v>May</v>
      </c>
      <c r="E266" s="5" t="str">
        <f t="shared" ca="1" si="53"/>
        <v>STU-777</v>
      </c>
      <c r="F266" s="5" t="str">
        <f ca="1">IF(COUNTIF($E$2:E266,E266)=1,"New Customer","Returning Customer")</f>
        <v>New Customer</v>
      </c>
      <c r="G266" s="5" t="str">
        <f t="shared" ca="1" si="54"/>
        <v>Male</v>
      </c>
      <c r="H266" s="5" t="s">
        <v>142</v>
      </c>
      <c r="I266" s="5" t="str" cm="1">
        <f t="array" aca="1" ref="I266" ca="1">INDEX(Courses!$B$9:$B$16,RANDBETWEEN(1,8))</f>
        <v>SQL</v>
      </c>
      <c r="J266" s="5" t="str">
        <f ca="1">VLOOKUP(I266,Courses!$B$9:$C$16,2,0)</f>
        <v>Data Analytics</v>
      </c>
      <c r="K266" s="7">
        <f ca="1">VLOOKUP(I266,Courses!$B$9:$D$16,3,0)</f>
        <v>99</v>
      </c>
      <c r="L266" s="5" t="str">
        <f t="shared" ca="1" si="55"/>
        <v>Pending</v>
      </c>
      <c r="M266" s="8" t="str" cm="1">
        <f t="array" aca="1" ref="M266" ca="1">INDEX('Payment Method'!$A$8:$A$12,RANDBETWEEN(1,5))</f>
        <v>Visa Debit</v>
      </c>
      <c r="N266" s="7">
        <f>IFERROR(SUMIF(Holiday!$A$8:$A$11,B266,Holiday!$C$8:$C$11),0)</f>
        <v>0</v>
      </c>
      <c r="O266" s="7">
        <f t="shared" ca="1" si="56"/>
        <v>99</v>
      </c>
      <c r="P266" s="19">
        <f t="shared" ca="1" si="57"/>
        <v>97.02</v>
      </c>
      <c r="Q266" s="7">
        <f t="shared" ca="1" si="58"/>
        <v>96.049799999999991</v>
      </c>
      <c r="R266" s="8">
        <f ca="1">VLOOKUP(M266,'Payment Method'!$A$8:$B$12,2,0)</f>
        <v>0.02</v>
      </c>
      <c r="S266" s="9">
        <f t="shared" ca="1" si="48"/>
        <v>1.980000000000004</v>
      </c>
      <c r="T266" s="8">
        <v>0.01</v>
      </c>
      <c r="U266" s="9">
        <f t="shared" ca="1" si="49"/>
        <v>0.9702000000000055</v>
      </c>
      <c r="V266" s="7">
        <f t="shared" ca="1" si="50"/>
        <v>0</v>
      </c>
      <c r="W266" s="7">
        <f t="shared" ca="1" si="51"/>
        <v>0</v>
      </c>
      <c r="X266" s="5" t="str">
        <f t="shared" ca="1" si="59"/>
        <v>Facebook</v>
      </c>
      <c r="Y266" s="78">
        <f>IF(COUNTIF($C$1:C265,B265)=1,10,"")</f>
        <v>10</v>
      </c>
    </row>
    <row r="267" spans="1:25" x14ac:dyDescent="0.3">
      <c r="A267" s="76">
        <v>266</v>
      </c>
      <c r="B267" s="6">
        <v>46129</v>
      </c>
      <c r="C267" s="6">
        <v>46133</v>
      </c>
      <c r="D267" s="17" t="str">
        <f t="shared" si="52"/>
        <v>April</v>
      </c>
      <c r="E267" s="5" t="str">
        <f t="shared" ca="1" si="53"/>
        <v>STU-311</v>
      </c>
      <c r="F267" s="5" t="str">
        <f ca="1">IF(COUNTIF($E$2:E267,E267)=1,"New Customer","Returning Customer")</f>
        <v>New Customer</v>
      </c>
      <c r="G267" s="5" t="str">
        <f t="shared" ca="1" si="54"/>
        <v>Not specified</v>
      </c>
      <c r="H267" s="5" t="s">
        <v>141</v>
      </c>
      <c r="I267" s="5" t="str" cm="1">
        <f t="array" aca="1" ref="I267" ca="1">INDEX(Courses!$B$9:$B$16,RANDBETWEEN(1,8))</f>
        <v>Excel Basics</v>
      </c>
      <c r="J267" s="5" t="str">
        <f ca="1">VLOOKUP(I267,Courses!$B$9:$C$16,2,0)</f>
        <v>Microsoft Office</v>
      </c>
      <c r="K267" s="7">
        <f ca="1">VLOOKUP(I267,Courses!$B$9:$D$16,3,0)</f>
        <v>29</v>
      </c>
      <c r="L267" s="5" t="str">
        <f t="shared" ca="1" si="55"/>
        <v>Paid</v>
      </c>
      <c r="M267" s="8" t="str" cm="1">
        <f t="array" aca="1" ref="M267" ca="1">INDEX('Payment Method'!$A$8:$A$12,RANDBETWEEN(1,5))</f>
        <v>Bank Transfer</v>
      </c>
      <c r="N267" s="7">
        <f>IFERROR(SUMIF(Holiday!$A$8:$A$11,B267,Holiday!$C$8:$C$11),0)</f>
        <v>0</v>
      </c>
      <c r="O267" s="7">
        <f t="shared" ca="1" si="56"/>
        <v>29</v>
      </c>
      <c r="P267" s="19">
        <f t="shared" ca="1" si="57"/>
        <v>29</v>
      </c>
      <c r="Q267" s="7">
        <f t="shared" ca="1" si="58"/>
        <v>0</v>
      </c>
      <c r="R267" s="8">
        <f ca="1">VLOOKUP(M267,'Payment Method'!$A$8:$B$12,2,0)</f>
        <v>0</v>
      </c>
      <c r="S267" s="9">
        <f t="shared" ca="1" si="48"/>
        <v>0</v>
      </c>
      <c r="T267" s="8">
        <v>0.01</v>
      </c>
      <c r="U267" s="9">
        <f t="shared" ca="1" si="49"/>
        <v>0.28999999999999915</v>
      </c>
      <c r="V267" s="7">
        <f t="shared" ca="1" si="50"/>
        <v>0</v>
      </c>
      <c r="W267" s="7">
        <f t="shared" ca="1" si="51"/>
        <v>28.71</v>
      </c>
      <c r="X267" s="5" t="str">
        <f t="shared" ca="1" si="59"/>
        <v>Tiktok</v>
      </c>
      <c r="Y267" s="78" t="str">
        <f>IF(COUNTIF($C$1:C266,B266)=1,10,"")</f>
        <v/>
      </c>
    </row>
    <row r="268" spans="1:25" x14ac:dyDescent="0.3">
      <c r="A268" s="75">
        <v>267</v>
      </c>
      <c r="B268" s="6">
        <v>46136</v>
      </c>
      <c r="C268" s="6">
        <v>46139</v>
      </c>
      <c r="D268" s="17" t="str">
        <f t="shared" si="52"/>
        <v>April</v>
      </c>
      <c r="E268" s="5" t="str">
        <f t="shared" ca="1" si="53"/>
        <v>STU-842</v>
      </c>
      <c r="F268" s="5" t="str">
        <f ca="1">IF(COUNTIF($E$2:E268,E268)=1,"New Customer","Returning Customer")</f>
        <v>New Customer</v>
      </c>
      <c r="G268" s="5" t="str">
        <f t="shared" ca="1" si="54"/>
        <v>Male</v>
      </c>
      <c r="H268" s="5" t="s">
        <v>135</v>
      </c>
      <c r="I268" s="5" t="str" cm="1">
        <f t="array" aca="1" ref="I268" ca="1">INDEX(Courses!$B$9:$B$16,RANDBETWEEN(1,8))</f>
        <v>Complete Excel Course</v>
      </c>
      <c r="J268" s="5" t="str">
        <f ca="1">VLOOKUP(I268,Courses!$B$9:$C$16,2,0)</f>
        <v>Microsoft Office</v>
      </c>
      <c r="K268" s="7">
        <f ca="1">VLOOKUP(I268,Courses!$B$9:$D$16,3,0)</f>
        <v>59</v>
      </c>
      <c r="L268" s="5" t="str">
        <f t="shared" ca="1" si="55"/>
        <v>Pending</v>
      </c>
      <c r="M268" s="8" t="str" cm="1">
        <f t="array" aca="1" ref="M268" ca="1">INDEX('Payment Method'!$A$8:$A$12,RANDBETWEEN(1,5))</f>
        <v>Mastercard Debit</v>
      </c>
      <c r="N268" s="7">
        <f>IFERROR(SUMIF(Holiday!$A$8:$A$11,B268,Holiday!$C$8:$C$11),0)</f>
        <v>0</v>
      </c>
      <c r="O268" s="7">
        <f t="shared" ca="1" si="56"/>
        <v>59</v>
      </c>
      <c r="P268" s="19">
        <f t="shared" ca="1" si="57"/>
        <v>57.82</v>
      </c>
      <c r="Q268" s="7">
        <f t="shared" ca="1" si="58"/>
        <v>57.241799999999998</v>
      </c>
      <c r="R268" s="8">
        <f ca="1">VLOOKUP(M268,'Payment Method'!$A$8:$B$12,2,0)</f>
        <v>0.02</v>
      </c>
      <c r="S268" s="9">
        <f t="shared" ca="1" si="48"/>
        <v>1.1799999999999997</v>
      </c>
      <c r="T268" s="8">
        <v>0.01</v>
      </c>
      <c r="U268" s="9">
        <f t="shared" ca="1" si="49"/>
        <v>0.57820000000000249</v>
      </c>
      <c r="V268" s="7">
        <f t="shared" ca="1" si="50"/>
        <v>0</v>
      </c>
      <c r="W268" s="7">
        <f t="shared" ca="1" si="51"/>
        <v>0</v>
      </c>
      <c r="X268" s="5" t="str">
        <f t="shared" ca="1" si="59"/>
        <v>Facebook</v>
      </c>
      <c r="Y268" s="78">
        <f>IF(COUNTIF($C$1:C267,B267)=1,10,"")</f>
        <v>10</v>
      </c>
    </row>
    <row r="269" spans="1:25" x14ac:dyDescent="0.3">
      <c r="A269" s="76">
        <v>268</v>
      </c>
      <c r="B269" s="6">
        <v>46232</v>
      </c>
      <c r="C269" s="6">
        <v>46232</v>
      </c>
      <c r="D269" s="17" t="str">
        <f t="shared" si="52"/>
        <v>July</v>
      </c>
      <c r="E269" s="5" t="str">
        <f t="shared" ca="1" si="53"/>
        <v>STU-612</v>
      </c>
      <c r="F269" s="5" t="str">
        <f ca="1">IF(COUNTIF($E$2:E269,E269)=1,"New Customer","Returning Customer")</f>
        <v>New Customer</v>
      </c>
      <c r="G269" s="5" t="str">
        <f t="shared" ca="1" si="54"/>
        <v>Not specified</v>
      </c>
      <c r="H269" s="5" t="s">
        <v>135</v>
      </c>
      <c r="I269" s="5" t="str" cm="1">
        <f t="array" aca="1" ref="I269" ca="1">INDEX(Courses!$B$9:$B$16,RANDBETWEEN(1,8))</f>
        <v>Complete Excel Course</v>
      </c>
      <c r="J269" s="5" t="str">
        <f ca="1">VLOOKUP(I269,Courses!$B$9:$C$16,2,0)</f>
        <v>Microsoft Office</v>
      </c>
      <c r="K269" s="7">
        <f ca="1">VLOOKUP(I269,Courses!$B$9:$D$16,3,0)</f>
        <v>59</v>
      </c>
      <c r="L269" s="5" t="str">
        <f t="shared" ca="1" si="55"/>
        <v>Paid</v>
      </c>
      <c r="M269" s="8" t="str" cm="1">
        <f t="array" aca="1" ref="M269" ca="1">INDEX('Payment Method'!$A$8:$A$12,RANDBETWEEN(1,5))</f>
        <v>Mastercard Debit</v>
      </c>
      <c r="N269" s="7">
        <f>IFERROR(SUMIF(Holiday!$A$8:$A$11,B269,Holiday!$C$8:$C$11),0)</f>
        <v>0</v>
      </c>
      <c r="O269" s="7">
        <f t="shared" ca="1" si="56"/>
        <v>59</v>
      </c>
      <c r="P269" s="19">
        <f t="shared" ca="1" si="57"/>
        <v>57.82</v>
      </c>
      <c r="Q269" s="7">
        <f t="shared" ca="1" si="58"/>
        <v>0</v>
      </c>
      <c r="R269" s="8">
        <f ca="1">VLOOKUP(M269,'Payment Method'!$A$8:$B$12,2,0)</f>
        <v>0.02</v>
      </c>
      <c r="S269" s="9">
        <f t="shared" ca="1" si="48"/>
        <v>1.1799999999999997</v>
      </c>
      <c r="T269" s="8">
        <v>0.01</v>
      </c>
      <c r="U269" s="9">
        <f t="shared" ca="1" si="49"/>
        <v>0.57820000000000249</v>
      </c>
      <c r="V269" s="7">
        <f t="shared" ca="1" si="50"/>
        <v>0</v>
      </c>
      <c r="W269" s="7">
        <f t="shared" ca="1" si="51"/>
        <v>57.241799999999998</v>
      </c>
      <c r="X269" s="5" t="str">
        <f t="shared" ca="1" si="59"/>
        <v>Tiktok</v>
      </c>
      <c r="Y269" s="78" t="str">
        <f>IF(COUNTIF($C$1:C268,B268)=1,10,"")</f>
        <v/>
      </c>
    </row>
    <row r="270" spans="1:25" x14ac:dyDescent="0.3">
      <c r="A270" s="75">
        <v>269</v>
      </c>
      <c r="B270" s="6">
        <v>46189</v>
      </c>
      <c r="C270" s="6">
        <v>46193</v>
      </c>
      <c r="D270" s="17" t="str">
        <f t="shared" si="52"/>
        <v>June</v>
      </c>
      <c r="E270" s="5" t="str">
        <f t="shared" ca="1" si="53"/>
        <v>STU-117</v>
      </c>
      <c r="F270" s="5" t="str">
        <f ca="1">IF(COUNTIF($E$2:E270,E270)=1,"New Customer","Returning Customer")</f>
        <v>New Customer</v>
      </c>
      <c r="G270" s="5" t="str">
        <f t="shared" ca="1" si="54"/>
        <v>Female</v>
      </c>
      <c r="H270" s="5" t="s">
        <v>141</v>
      </c>
      <c r="I270" s="5" t="str" cm="1">
        <f t="array" aca="1" ref="I270" ca="1">INDEX(Courses!$B$9:$B$16,RANDBETWEEN(1,8))</f>
        <v>Complete Excel Course</v>
      </c>
      <c r="J270" s="5" t="str">
        <f ca="1">VLOOKUP(I270,Courses!$B$9:$C$16,2,0)</f>
        <v>Microsoft Office</v>
      </c>
      <c r="K270" s="7">
        <f ca="1">VLOOKUP(I270,Courses!$B$9:$D$16,3,0)</f>
        <v>59</v>
      </c>
      <c r="L270" s="5" t="str">
        <f t="shared" ca="1" si="55"/>
        <v>Pending</v>
      </c>
      <c r="M270" s="8" t="str" cm="1">
        <f t="array" aca="1" ref="M270" ca="1">INDEX('Payment Method'!$A$8:$A$12,RANDBETWEEN(1,5))</f>
        <v>Mastercard Debit</v>
      </c>
      <c r="N270" s="7">
        <f>IFERROR(SUMIF(Holiday!$A$8:$A$11,B270,Holiday!$C$8:$C$11),0)</f>
        <v>0</v>
      </c>
      <c r="O270" s="7">
        <f t="shared" ca="1" si="56"/>
        <v>59</v>
      </c>
      <c r="P270" s="19">
        <f t="shared" ca="1" si="57"/>
        <v>57.82</v>
      </c>
      <c r="Q270" s="7">
        <f t="shared" ca="1" si="58"/>
        <v>57.241799999999998</v>
      </c>
      <c r="R270" s="8">
        <f ca="1">VLOOKUP(M270,'Payment Method'!$A$8:$B$12,2,0)</f>
        <v>0.02</v>
      </c>
      <c r="S270" s="9">
        <f t="shared" ca="1" si="48"/>
        <v>1.1799999999999997</v>
      </c>
      <c r="T270" s="8">
        <v>0.01</v>
      </c>
      <c r="U270" s="9">
        <f t="shared" ca="1" si="49"/>
        <v>0.57820000000000249</v>
      </c>
      <c r="V270" s="7">
        <f t="shared" ca="1" si="50"/>
        <v>0</v>
      </c>
      <c r="W270" s="7">
        <f t="shared" ca="1" si="51"/>
        <v>0</v>
      </c>
      <c r="X270" s="5" t="str">
        <f t="shared" ca="1" si="59"/>
        <v>Facebook</v>
      </c>
      <c r="Y270" s="78" t="str">
        <f>IF(COUNTIF($C$1:C269,B269)=1,10,"")</f>
        <v/>
      </c>
    </row>
    <row r="271" spans="1:25" x14ac:dyDescent="0.3">
      <c r="A271" s="76">
        <v>270</v>
      </c>
      <c r="B271" s="6">
        <v>46080</v>
      </c>
      <c r="C271" s="6">
        <v>46082</v>
      </c>
      <c r="D271" s="17" t="str">
        <f t="shared" si="52"/>
        <v>March</v>
      </c>
      <c r="E271" s="5" t="str">
        <f t="shared" ca="1" si="53"/>
        <v>STU-291</v>
      </c>
      <c r="F271" s="5" t="str">
        <f ca="1">IF(COUNTIF($E$2:E271,E271)=1,"New Customer","Returning Customer")</f>
        <v>New Customer</v>
      </c>
      <c r="G271" s="5" t="str">
        <f t="shared" ca="1" si="54"/>
        <v>Male</v>
      </c>
      <c r="H271" s="5" t="s">
        <v>135</v>
      </c>
      <c r="I271" s="5" t="str" cm="1">
        <f t="array" aca="1" ref="I271" ca="1">INDEX(Courses!$B$9:$B$16,RANDBETWEEN(1,8))</f>
        <v>Power BI</v>
      </c>
      <c r="J271" s="5" t="str">
        <f ca="1">VLOOKUP(I271,Courses!$B$9:$C$16,2,0)</f>
        <v>Data Analytics</v>
      </c>
      <c r="K271" s="7">
        <f ca="1">VLOOKUP(I271,Courses!$B$9:$D$16,3,0)</f>
        <v>59</v>
      </c>
      <c r="L271" s="5" t="str">
        <f t="shared" ca="1" si="55"/>
        <v>Pending</v>
      </c>
      <c r="M271" s="8" t="str" cm="1">
        <f t="array" aca="1" ref="M271" ca="1">INDEX('Payment Method'!$A$8:$A$12,RANDBETWEEN(1,5))</f>
        <v>Bank Transfer</v>
      </c>
      <c r="N271" s="7">
        <f>IFERROR(SUMIF(Holiday!$A$8:$A$11,B271,Holiday!$C$8:$C$11),0)</f>
        <v>0</v>
      </c>
      <c r="O271" s="7">
        <f t="shared" ca="1" si="56"/>
        <v>59</v>
      </c>
      <c r="P271" s="19">
        <f t="shared" ca="1" si="57"/>
        <v>59</v>
      </c>
      <c r="Q271" s="7">
        <f t="shared" ca="1" si="58"/>
        <v>58.41</v>
      </c>
      <c r="R271" s="8">
        <f ca="1">VLOOKUP(M271,'Payment Method'!$A$8:$B$12,2,0)</f>
        <v>0</v>
      </c>
      <c r="S271" s="9">
        <f t="shared" ca="1" si="48"/>
        <v>0</v>
      </c>
      <c r="T271" s="8">
        <v>0.01</v>
      </c>
      <c r="U271" s="9">
        <f t="shared" ca="1" si="49"/>
        <v>0.59000000000000341</v>
      </c>
      <c r="V271" s="7">
        <f t="shared" ca="1" si="50"/>
        <v>0</v>
      </c>
      <c r="W271" s="7">
        <f t="shared" ca="1" si="51"/>
        <v>0</v>
      </c>
      <c r="X271" s="5" t="str">
        <f t="shared" ca="1" si="59"/>
        <v>Instagram</v>
      </c>
      <c r="Y271" s="78" t="str">
        <f>IF(COUNTIF($C$1:C270,B270)=1,10,"")</f>
        <v/>
      </c>
    </row>
    <row r="272" spans="1:25" x14ac:dyDescent="0.3">
      <c r="A272" s="75">
        <v>271</v>
      </c>
      <c r="B272" s="6">
        <v>46114</v>
      </c>
      <c r="C272" s="6">
        <v>46115</v>
      </c>
      <c r="D272" s="17" t="str">
        <f t="shared" si="52"/>
        <v>April</v>
      </c>
      <c r="E272" s="5" t="str">
        <f t="shared" ca="1" si="53"/>
        <v>STU-505</v>
      </c>
      <c r="F272" s="5" t="str">
        <f ca="1">IF(COUNTIF($E$2:E272,E272)=1,"New Customer","Returning Customer")</f>
        <v>New Customer</v>
      </c>
      <c r="G272" s="5" t="str">
        <f t="shared" ca="1" si="54"/>
        <v>Male</v>
      </c>
      <c r="H272" s="5" t="s">
        <v>137</v>
      </c>
      <c r="I272" s="5" t="str" cm="1">
        <f t="array" aca="1" ref="I272" ca="1">INDEX(Courses!$B$9:$B$16,RANDBETWEEN(1,8))</f>
        <v>SQL</v>
      </c>
      <c r="J272" s="5" t="str">
        <f ca="1">VLOOKUP(I272,Courses!$B$9:$C$16,2,0)</f>
        <v>Data Analytics</v>
      </c>
      <c r="K272" s="7">
        <f ca="1">VLOOKUP(I272,Courses!$B$9:$D$16,3,0)</f>
        <v>99</v>
      </c>
      <c r="L272" s="5" t="str">
        <f t="shared" ca="1" si="55"/>
        <v>Refunded</v>
      </c>
      <c r="M272" s="8" t="str" cm="1">
        <f t="array" aca="1" ref="M272" ca="1">INDEX('Payment Method'!$A$8:$A$12,RANDBETWEEN(1,5))</f>
        <v>Mastercard Credit</v>
      </c>
      <c r="N272" s="7">
        <f>IFERROR(SUMIF(Holiday!$A$8:$A$11,B272,Holiday!$C$8:$C$11),0)</f>
        <v>0</v>
      </c>
      <c r="O272" s="7">
        <f t="shared" ca="1" si="56"/>
        <v>99</v>
      </c>
      <c r="P272" s="19">
        <f t="shared" ca="1" si="57"/>
        <v>95.534999999999997</v>
      </c>
      <c r="Q272" s="7">
        <f t="shared" ca="1" si="58"/>
        <v>0</v>
      </c>
      <c r="R272" s="8">
        <f ca="1">VLOOKUP(M272,'Payment Method'!$A$8:$B$12,2,0)</f>
        <v>3.5000000000000003E-2</v>
      </c>
      <c r="S272" s="9">
        <f t="shared" ca="1" si="48"/>
        <v>3.4650000000000034</v>
      </c>
      <c r="T272" s="8">
        <v>0.01</v>
      </c>
      <c r="U272" s="9">
        <f t="shared" ca="1" si="49"/>
        <v>0.9553499999999957</v>
      </c>
      <c r="V272" s="7">
        <f t="shared" ca="1" si="50"/>
        <v>94.579650000000001</v>
      </c>
      <c r="W272" s="7">
        <f t="shared" ca="1" si="51"/>
        <v>0</v>
      </c>
      <c r="X272" s="5" t="str">
        <f t="shared" ca="1" si="59"/>
        <v>Instagram</v>
      </c>
      <c r="Y272" s="78" t="str">
        <f>IF(COUNTIF($C$1:C271,B271)=1,10,"")</f>
        <v/>
      </c>
    </row>
    <row r="273" spans="1:25" x14ac:dyDescent="0.3">
      <c r="A273" s="76">
        <v>272</v>
      </c>
      <c r="B273" s="6">
        <v>46108</v>
      </c>
      <c r="C273" s="6">
        <v>46109</v>
      </c>
      <c r="D273" s="17" t="str">
        <f t="shared" si="52"/>
        <v>March</v>
      </c>
      <c r="E273" s="5" t="str">
        <f t="shared" ca="1" si="53"/>
        <v>STU-146</v>
      </c>
      <c r="F273" s="5" t="str">
        <f ca="1">IF(COUNTIF($E$2:E273,E273)=1,"New Customer","Returning Customer")</f>
        <v>New Customer</v>
      </c>
      <c r="G273" s="5" t="str">
        <f t="shared" ca="1" si="54"/>
        <v>Female</v>
      </c>
      <c r="H273" s="5" t="s">
        <v>138</v>
      </c>
      <c r="I273" s="5" t="str" cm="1">
        <f t="array" aca="1" ref="I273" ca="1">INDEX(Courses!$B$9:$B$16,RANDBETWEEN(1,8))</f>
        <v>SQL</v>
      </c>
      <c r="J273" s="5" t="str">
        <f ca="1">VLOOKUP(I273,Courses!$B$9:$C$16,2,0)</f>
        <v>Data Analytics</v>
      </c>
      <c r="K273" s="7">
        <f ca="1">VLOOKUP(I273,Courses!$B$9:$D$16,3,0)</f>
        <v>99</v>
      </c>
      <c r="L273" s="5" t="str">
        <f t="shared" ca="1" si="55"/>
        <v>Pending</v>
      </c>
      <c r="M273" s="8" t="str" cm="1">
        <f t="array" aca="1" ref="M273" ca="1">INDEX('Payment Method'!$A$8:$A$12,RANDBETWEEN(1,5))</f>
        <v>Visa Credit</v>
      </c>
      <c r="N273" s="7">
        <f>IFERROR(SUMIF(Holiday!$A$8:$A$11,B273,Holiday!$C$8:$C$11),0)</f>
        <v>0</v>
      </c>
      <c r="O273" s="7">
        <f t="shared" ca="1" si="56"/>
        <v>99</v>
      </c>
      <c r="P273" s="19">
        <f t="shared" ca="1" si="57"/>
        <v>95.534999999999997</v>
      </c>
      <c r="Q273" s="7">
        <f t="shared" ca="1" si="58"/>
        <v>94.579650000000001</v>
      </c>
      <c r="R273" s="8">
        <f ca="1">VLOOKUP(M273,'Payment Method'!$A$8:$B$12,2,0)</f>
        <v>3.5000000000000003E-2</v>
      </c>
      <c r="S273" s="9">
        <f t="shared" ca="1" si="48"/>
        <v>3.4650000000000034</v>
      </c>
      <c r="T273" s="8">
        <v>0.01</v>
      </c>
      <c r="U273" s="9">
        <f t="shared" ca="1" si="49"/>
        <v>0.9553499999999957</v>
      </c>
      <c r="V273" s="7">
        <f t="shared" ca="1" si="50"/>
        <v>0</v>
      </c>
      <c r="W273" s="7">
        <f t="shared" ca="1" si="51"/>
        <v>0</v>
      </c>
      <c r="X273" s="5" t="str">
        <f t="shared" ca="1" si="59"/>
        <v>Tiktok</v>
      </c>
      <c r="Y273" s="78" t="str">
        <f>IF(COUNTIF($C$1:C272,B272)=1,10,"")</f>
        <v/>
      </c>
    </row>
    <row r="274" spans="1:25" x14ac:dyDescent="0.3">
      <c r="A274" s="75">
        <v>273</v>
      </c>
      <c r="B274" s="6">
        <v>46057</v>
      </c>
      <c r="C274" s="6">
        <v>46062</v>
      </c>
      <c r="D274" s="17" t="str">
        <f t="shared" si="52"/>
        <v>February</v>
      </c>
      <c r="E274" s="5" t="str">
        <f t="shared" ca="1" si="53"/>
        <v>STU-113</v>
      </c>
      <c r="F274" s="5" t="str">
        <f ca="1">IF(COUNTIF($E$2:E274,E274)=1,"New Customer","Returning Customer")</f>
        <v>New Customer</v>
      </c>
      <c r="G274" s="5" t="str">
        <f t="shared" ca="1" si="54"/>
        <v>Male</v>
      </c>
      <c r="H274" s="5" t="s">
        <v>136</v>
      </c>
      <c r="I274" s="5" t="str" cm="1">
        <f t="array" aca="1" ref="I274" ca="1">INDEX(Courses!$B$9:$B$16,RANDBETWEEN(1,8))</f>
        <v>SQL</v>
      </c>
      <c r="J274" s="5" t="str">
        <f ca="1">VLOOKUP(I274,Courses!$B$9:$C$16,2,0)</f>
        <v>Data Analytics</v>
      </c>
      <c r="K274" s="7">
        <f ca="1">VLOOKUP(I274,Courses!$B$9:$D$16,3,0)</f>
        <v>99</v>
      </c>
      <c r="L274" s="5" t="str">
        <f t="shared" ca="1" si="55"/>
        <v>Paid</v>
      </c>
      <c r="M274" s="8" t="str" cm="1">
        <f t="array" aca="1" ref="M274" ca="1">INDEX('Payment Method'!$A$8:$A$12,RANDBETWEEN(1,5))</f>
        <v>Mastercard Credit</v>
      </c>
      <c r="N274" s="7">
        <f>IFERROR(SUMIF(Holiday!$A$8:$A$11,B274,Holiday!$C$8:$C$11),0)</f>
        <v>0</v>
      </c>
      <c r="O274" s="7">
        <f t="shared" ca="1" si="56"/>
        <v>99</v>
      </c>
      <c r="P274" s="19">
        <f t="shared" ca="1" si="57"/>
        <v>95.534999999999997</v>
      </c>
      <c r="Q274" s="7">
        <f t="shared" ca="1" si="58"/>
        <v>0</v>
      </c>
      <c r="R274" s="8">
        <f ca="1">VLOOKUP(M274,'Payment Method'!$A$8:$B$12,2,0)</f>
        <v>3.5000000000000003E-2</v>
      </c>
      <c r="S274" s="9">
        <f t="shared" ca="1" si="48"/>
        <v>3.4650000000000034</v>
      </c>
      <c r="T274" s="8">
        <v>0.01</v>
      </c>
      <c r="U274" s="9">
        <f t="shared" ca="1" si="49"/>
        <v>0.9553499999999957</v>
      </c>
      <c r="V274" s="7">
        <f t="shared" ca="1" si="50"/>
        <v>0</v>
      </c>
      <c r="W274" s="7">
        <f t="shared" ca="1" si="51"/>
        <v>94.579650000000001</v>
      </c>
      <c r="X274" s="5" t="str">
        <f t="shared" ca="1" si="59"/>
        <v>Facebook</v>
      </c>
      <c r="Y274" s="78" t="str">
        <f>IF(COUNTIF($C$1:C273,B273)=1,10,"")</f>
        <v/>
      </c>
    </row>
    <row r="275" spans="1:25" x14ac:dyDescent="0.3">
      <c r="A275" s="76">
        <v>274</v>
      </c>
      <c r="B275" s="6">
        <v>46061</v>
      </c>
      <c r="C275" s="6">
        <v>46066</v>
      </c>
      <c r="D275" s="17" t="str">
        <f t="shared" si="52"/>
        <v>February</v>
      </c>
      <c r="E275" s="5" t="str">
        <f t="shared" ca="1" si="53"/>
        <v>STU-466</v>
      </c>
      <c r="F275" s="5" t="str">
        <f ca="1">IF(COUNTIF($E$2:E275,E275)=1,"New Customer","Returning Customer")</f>
        <v>New Customer</v>
      </c>
      <c r="G275" s="5" t="str">
        <f t="shared" ca="1" si="54"/>
        <v>Male</v>
      </c>
      <c r="H275" s="5" t="s">
        <v>136</v>
      </c>
      <c r="I275" s="5" t="str" cm="1">
        <f t="array" aca="1" ref="I275" ca="1">INDEX(Courses!$B$9:$B$16,RANDBETWEEN(1,8))</f>
        <v>PowerPoint</v>
      </c>
      <c r="J275" s="5" t="str">
        <f ca="1">VLOOKUP(I275,Courses!$B$9:$C$16,2,0)</f>
        <v>Microsoft Office</v>
      </c>
      <c r="K275" s="7">
        <f ca="1">VLOOKUP(I275,Courses!$B$9:$D$16,3,0)</f>
        <v>29</v>
      </c>
      <c r="L275" s="5" t="str">
        <f t="shared" ca="1" si="55"/>
        <v>Refunded</v>
      </c>
      <c r="M275" s="8" t="str" cm="1">
        <f t="array" aca="1" ref="M275" ca="1">INDEX('Payment Method'!$A$8:$A$12,RANDBETWEEN(1,5))</f>
        <v>Visa Debit</v>
      </c>
      <c r="N275" s="7">
        <f>IFERROR(SUMIF(Holiday!$A$8:$A$11,B275,Holiday!$C$8:$C$11),0)</f>
        <v>0</v>
      </c>
      <c r="O275" s="7">
        <f t="shared" ca="1" si="56"/>
        <v>29</v>
      </c>
      <c r="P275" s="19">
        <f t="shared" ca="1" si="57"/>
        <v>28.42</v>
      </c>
      <c r="Q275" s="7">
        <f t="shared" ca="1" si="58"/>
        <v>0</v>
      </c>
      <c r="R275" s="8">
        <f ca="1">VLOOKUP(M275,'Payment Method'!$A$8:$B$12,2,0)</f>
        <v>0.02</v>
      </c>
      <c r="S275" s="9">
        <f t="shared" ca="1" si="48"/>
        <v>0.57999999999999829</v>
      </c>
      <c r="T275" s="8">
        <v>0.01</v>
      </c>
      <c r="U275" s="9">
        <f t="shared" ca="1" si="49"/>
        <v>0.28419999999999845</v>
      </c>
      <c r="V275" s="7">
        <f t="shared" ca="1" si="50"/>
        <v>28.135800000000003</v>
      </c>
      <c r="W275" s="7">
        <f t="shared" ca="1" si="51"/>
        <v>0</v>
      </c>
      <c r="X275" s="5" t="str">
        <f t="shared" ca="1" si="59"/>
        <v>Tiktok</v>
      </c>
      <c r="Y275" s="78">
        <f>IF(COUNTIF($C$1:C274,B274)=1,10,"")</f>
        <v>10</v>
      </c>
    </row>
    <row r="276" spans="1:25" x14ac:dyDescent="0.3">
      <c r="A276" s="75">
        <v>275</v>
      </c>
      <c r="B276" s="6">
        <v>46057</v>
      </c>
      <c r="C276" s="6">
        <v>46057</v>
      </c>
      <c r="D276" s="17" t="str">
        <f t="shared" si="52"/>
        <v>February</v>
      </c>
      <c r="E276" s="5" t="str">
        <f t="shared" ca="1" si="53"/>
        <v>STU-180</v>
      </c>
      <c r="F276" s="5" t="str">
        <f ca="1">IF(COUNTIF($E$2:E276,E276)=1,"New Customer","Returning Customer")</f>
        <v>New Customer</v>
      </c>
      <c r="G276" s="5" t="str">
        <f t="shared" ca="1" si="54"/>
        <v>Male</v>
      </c>
      <c r="H276" s="5" t="s">
        <v>141</v>
      </c>
      <c r="I276" s="5" t="str" cm="1">
        <f t="array" aca="1" ref="I276" ca="1">INDEX(Courses!$B$9:$B$16,RANDBETWEEN(1,8))</f>
        <v>Power BI</v>
      </c>
      <c r="J276" s="5" t="str">
        <f ca="1">VLOOKUP(I276,Courses!$B$9:$C$16,2,0)</f>
        <v>Data Analytics</v>
      </c>
      <c r="K276" s="7">
        <f ca="1">VLOOKUP(I276,Courses!$B$9:$D$16,3,0)</f>
        <v>59</v>
      </c>
      <c r="L276" s="5" t="str">
        <f t="shared" ca="1" si="55"/>
        <v>Paid</v>
      </c>
      <c r="M276" s="8" t="str" cm="1">
        <f t="array" aca="1" ref="M276" ca="1">INDEX('Payment Method'!$A$8:$A$12,RANDBETWEEN(1,5))</f>
        <v>Visa Credit</v>
      </c>
      <c r="N276" s="7">
        <f>IFERROR(SUMIF(Holiday!$A$8:$A$11,B276,Holiday!$C$8:$C$11),0)</f>
        <v>0</v>
      </c>
      <c r="O276" s="7">
        <f t="shared" ca="1" si="56"/>
        <v>59</v>
      </c>
      <c r="P276" s="19">
        <f t="shared" ca="1" si="57"/>
        <v>56.935000000000002</v>
      </c>
      <c r="Q276" s="7">
        <f t="shared" ca="1" si="58"/>
        <v>0</v>
      </c>
      <c r="R276" s="8">
        <f ca="1">VLOOKUP(M276,'Payment Method'!$A$8:$B$12,2,0)</f>
        <v>3.5000000000000003E-2</v>
      </c>
      <c r="S276" s="9">
        <f t="shared" ca="1" si="48"/>
        <v>2.0649999999999977</v>
      </c>
      <c r="T276" s="8">
        <v>0.01</v>
      </c>
      <c r="U276" s="9">
        <f t="shared" ca="1" si="49"/>
        <v>0.56935000000000002</v>
      </c>
      <c r="V276" s="7">
        <f t="shared" ca="1" si="50"/>
        <v>0</v>
      </c>
      <c r="W276" s="7">
        <f t="shared" ca="1" si="51"/>
        <v>56.365650000000002</v>
      </c>
      <c r="X276" s="5" t="str">
        <f t="shared" ca="1" si="59"/>
        <v>Facebook</v>
      </c>
      <c r="Y276" s="78" t="str">
        <f>IF(COUNTIF($C$1:C275,B275)=1,10,"")</f>
        <v/>
      </c>
    </row>
    <row r="277" spans="1:25" x14ac:dyDescent="0.3">
      <c r="A277" s="76">
        <v>276</v>
      </c>
      <c r="B277" s="6">
        <v>46099</v>
      </c>
      <c r="C277" s="6">
        <v>46101</v>
      </c>
      <c r="D277" s="17" t="str">
        <f t="shared" si="52"/>
        <v>March</v>
      </c>
      <c r="E277" s="5" t="str">
        <f t="shared" ca="1" si="53"/>
        <v>STU-320</v>
      </c>
      <c r="F277" s="5" t="str">
        <f ca="1">IF(COUNTIF($E$2:E277,E277)=1,"New Customer","Returning Customer")</f>
        <v>Returning Customer</v>
      </c>
      <c r="G277" s="5" t="str">
        <f t="shared" ca="1" si="54"/>
        <v>Not specified</v>
      </c>
      <c r="H277" s="5" t="s">
        <v>142</v>
      </c>
      <c r="I277" s="5" t="str" cm="1">
        <f t="array" aca="1" ref="I277" ca="1">INDEX(Courses!$B$9:$B$16,RANDBETWEEN(1,8))</f>
        <v>SQL</v>
      </c>
      <c r="J277" s="5" t="str">
        <f ca="1">VLOOKUP(I277,Courses!$B$9:$C$16,2,0)</f>
        <v>Data Analytics</v>
      </c>
      <c r="K277" s="7">
        <f ca="1">VLOOKUP(I277,Courses!$B$9:$D$16,3,0)</f>
        <v>99</v>
      </c>
      <c r="L277" s="5" t="str">
        <f t="shared" ca="1" si="55"/>
        <v>Pending</v>
      </c>
      <c r="M277" s="8" t="str" cm="1">
        <f t="array" aca="1" ref="M277" ca="1">INDEX('Payment Method'!$A$8:$A$12,RANDBETWEEN(1,5))</f>
        <v>Visa Debit</v>
      </c>
      <c r="N277" s="7">
        <f>IFERROR(SUMIF(Holiday!$A$8:$A$11,B277,Holiday!$C$8:$C$11),0)</f>
        <v>0</v>
      </c>
      <c r="O277" s="7">
        <f t="shared" ca="1" si="56"/>
        <v>99</v>
      </c>
      <c r="P277" s="19">
        <f t="shared" ca="1" si="57"/>
        <v>97.02</v>
      </c>
      <c r="Q277" s="7">
        <f t="shared" ca="1" si="58"/>
        <v>96.049799999999991</v>
      </c>
      <c r="R277" s="8">
        <f ca="1">VLOOKUP(M277,'Payment Method'!$A$8:$B$12,2,0)</f>
        <v>0.02</v>
      </c>
      <c r="S277" s="9">
        <f t="shared" ca="1" si="48"/>
        <v>1.980000000000004</v>
      </c>
      <c r="T277" s="8">
        <v>0.01</v>
      </c>
      <c r="U277" s="9">
        <f t="shared" ca="1" si="49"/>
        <v>0.9702000000000055</v>
      </c>
      <c r="V277" s="7">
        <f t="shared" ca="1" si="50"/>
        <v>0</v>
      </c>
      <c r="W277" s="7">
        <f t="shared" ca="1" si="51"/>
        <v>0</v>
      </c>
      <c r="X277" s="5" t="str">
        <f t="shared" ca="1" si="59"/>
        <v>Instagram</v>
      </c>
      <c r="Y277" s="78" t="str">
        <f>IF(COUNTIF($C$1:C276,B276)=1,10,"")</f>
        <v/>
      </c>
    </row>
    <row r="278" spans="1:25" x14ac:dyDescent="0.3">
      <c r="A278" s="75">
        <v>277</v>
      </c>
      <c r="B278" s="6">
        <v>46037</v>
      </c>
      <c r="C278" s="6">
        <v>46039</v>
      </c>
      <c r="D278" s="17" t="str">
        <f t="shared" si="52"/>
        <v>January</v>
      </c>
      <c r="E278" s="5" t="str">
        <f t="shared" ca="1" si="53"/>
        <v>STU-298</v>
      </c>
      <c r="F278" s="5" t="str">
        <f ca="1">IF(COUNTIF($E$2:E278,E278)=1,"New Customer","Returning Customer")</f>
        <v>New Customer</v>
      </c>
      <c r="G278" s="5" t="str">
        <f t="shared" ca="1" si="54"/>
        <v>Not specified</v>
      </c>
      <c r="H278" s="5" t="s">
        <v>136</v>
      </c>
      <c r="I278" s="5" t="str" cm="1">
        <f t="array" aca="1" ref="I278" ca="1">INDEX(Courses!$B$9:$B$16,RANDBETWEEN(1,8))</f>
        <v>PowerPoint</v>
      </c>
      <c r="J278" s="5" t="str">
        <f ca="1">VLOOKUP(I278,Courses!$B$9:$C$16,2,0)</f>
        <v>Microsoft Office</v>
      </c>
      <c r="K278" s="7">
        <f ca="1">VLOOKUP(I278,Courses!$B$9:$D$16,3,0)</f>
        <v>29</v>
      </c>
      <c r="L278" s="5" t="str">
        <f t="shared" ca="1" si="55"/>
        <v>Refunded</v>
      </c>
      <c r="M278" s="8" t="str" cm="1">
        <f t="array" aca="1" ref="M278" ca="1">INDEX('Payment Method'!$A$8:$A$12,RANDBETWEEN(1,5))</f>
        <v>Mastercard Credit</v>
      </c>
      <c r="N278" s="7">
        <f>IFERROR(SUMIF(Holiday!$A$8:$A$11,B278,Holiday!$C$8:$C$11),0)</f>
        <v>0</v>
      </c>
      <c r="O278" s="7">
        <f t="shared" ca="1" si="56"/>
        <v>29</v>
      </c>
      <c r="P278" s="19">
        <f t="shared" ca="1" si="57"/>
        <v>27.984999999999999</v>
      </c>
      <c r="Q278" s="7">
        <f t="shared" ca="1" si="58"/>
        <v>0</v>
      </c>
      <c r="R278" s="8">
        <f ca="1">VLOOKUP(M278,'Payment Method'!$A$8:$B$12,2,0)</f>
        <v>3.5000000000000003E-2</v>
      </c>
      <c r="S278" s="9">
        <f t="shared" ca="1" si="48"/>
        <v>1.0150000000000006</v>
      </c>
      <c r="T278" s="8">
        <v>0.01</v>
      </c>
      <c r="U278" s="9">
        <f t="shared" ca="1" si="49"/>
        <v>0.27984999999999971</v>
      </c>
      <c r="V278" s="7">
        <f t="shared" ca="1" si="50"/>
        <v>27.70515</v>
      </c>
      <c r="W278" s="7">
        <f t="shared" ca="1" si="51"/>
        <v>0</v>
      </c>
      <c r="X278" s="5" t="str">
        <f t="shared" ca="1" si="59"/>
        <v>Tiktok</v>
      </c>
      <c r="Y278" s="78">
        <f>IF(COUNTIF($C$1:C277,B277)=1,10,"")</f>
        <v>10</v>
      </c>
    </row>
    <row r="279" spans="1:25" x14ac:dyDescent="0.3">
      <c r="A279" s="76">
        <v>278</v>
      </c>
      <c r="B279" s="6">
        <v>46102</v>
      </c>
      <c r="C279" s="6">
        <v>46106</v>
      </c>
      <c r="D279" s="17" t="str">
        <f t="shared" si="52"/>
        <v>March</v>
      </c>
      <c r="E279" s="5" t="str">
        <f t="shared" ca="1" si="53"/>
        <v>STU-672</v>
      </c>
      <c r="F279" s="5" t="str">
        <f ca="1">IF(COUNTIF($E$2:E279,E279)=1,"New Customer","Returning Customer")</f>
        <v>New Customer</v>
      </c>
      <c r="G279" s="5" t="str">
        <f t="shared" ca="1" si="54"/>
        <v>Female</v>
      </c>
      <c r="H279" s="5" t="s">
        <v>135</v>
      </c>
      <c r="I279" s="5" t="str" cm="1">
        <f t="array" aca="1" ref="I279" ca="1">INDEX(Courses!$B$9:$B$16,RANDBETWEEN(1,8))</f>
        <v>SQL</v>
      </c>
      <c r="J279" s="5" t="str">
        <f ca="1">VLOOKUP(I279,Courses!$B$9:$C$16,2,0)</f>
        <v>Data Analytics</v>
      </c>
      <c r="K279" s="7">
        <f ca="1">VLOOKUP(I279,Courses!$B$9:$D$16,3,0)</f>
        <v>99</v>
      </c>
      <c r="L279" s="5" t="str">
        <f t="shared" ca="1" si="55"/>
        <v>Paid</v>
      </c>
      <c r="M279" s="8" t="str" cm="1">
        <f t="array" aca="1" ref="M279" ca="1">INDEX('Payment Method'!$A$8:$A$12,RANDBETWEEN(1,5))</f>
        <v>Bank Transfer</v>
      </c>
      <c r="N279" s="7">
        <f>IFERROR(SUMIF(Holiday!$A$8:$A$11,B279,Holiday!$C$8:$C$11),0)</f>
        <v>0</v>
      </c>
      <c r="O279" s="7">
        <f t="shared" ca="1" si="56"/>
        <v>99</v>
      </c>
      <c r="P279" s="19">
        <f t="shared" ca="1" si="57"/>
        <v>99</v>
      </c>
      <c r="Q279" s="7">
        <f t="shared" ca="1" si="58"/>
        <v>0</v>
      </c>
      <c r="R279" s="8">
        <f ca="1">VLOOKUP(M279,'Payment Method'!$A$8:$B$12,2,0)</f>
        <v>0</v>
      </c>
      <c r="S279" s="9">
        <f t="shared" ca="1" si="48"/>
        <v>0</v>
      </c>
      <c r="T279" s="8">
        <v>0.01</v>
      </c>
      <c r="U279" s="9">
        <f t="shared" ca="1" si="49"/>
        <v>0.98999999999999488</v>
      </c>
      <c r="V279" s="7">
        <f t="shared" ca="1" si="50"/>
        <v>0</v>
      </c>
      <c r="W279" s="7">
        <f t="shared" ca="1" si="51"/>
        <v>98.01</v>
      </c>
      <c r="X279" s="5" t="str">
        <f t="shared" ca="1" si="59"/>
        <v>Tiktok</v>
      </c>
      <c r="Y279" s="78">
        <f>IF(COUNTIF($C$1:C278,B278)=1,10,"")</f>
        <v>10</v>
      </c>
    </row>
    <row r="280" spans="1:25" x14ac:dyDescent="0.3">
      <c r="A280" s="75">
        <v>279</v>
      </c>
      <c r="B280" s="6">
        <v>46096</v>
      </c>
      <c r="C280" s="6">
        <v>46096</v>
      </c>
      <c r="D280" s="17" t="str">
        <f t="shared" si="52"/>
        <v>March</v>
      </c>
      <c r="E280" s="5" t="str">
        <f t="shared" ca="1" si="53"/>
        <v>STU-660</v>
      </c>
      <c r="F280" s="5" t="str">
        <f ca="1">IF(COUNTIF($E$2:E280,E280)=1,"New Customer","Returning Customer")</f>
        <v>Returning Customer</v>
      </c>
      <c r="G280" s="5" t="str">
        <f t="shared" ca="1" si="54"/>
        <v>Male</v>
      </c>
      <c r="H280" s="5" t="s">
        <v>140</v>
      </c>
      <c r="I280" s="5" t="str" cm="1">
        <f t="array" aca="1" ref="I280" ca="1">INDEX(Courses!$B$9:$B$16,RANDBETWEEN(1,8))</f>
        <v>PowerPoint</v>
      </c>
      <c r="J280" s="5" t="str">
        <f ca="1">VLOOKUP(I280,Courses!$B$9:$C$16,2,0)</f>
        <v>Microsoft Office</v>
      </c>
      <c r="K280" s="7">
        <f ca="1">VLOOKUP(I280,Courses!$B$9:$D$16,3,0)</f>
        <v>29</v>
      </c>
      <c r="L280" s="5" t="str">
        <f t="shared" ca="1" si="55"/>
        <v>Paid</v>
      </c>
      <c r="M280" s="8" t="str" cm="1">
        <f t="array" aca="1" ref="M280" ca="1">INDEX('Payment Method'!$A$8:$A$12,RANDBETWEEN(1,5))</f>
        <v>Mastercard Credit</v>
      </c>
      <c r="N280" s="7">
        <f>IFERROR(SUMIF(Holiday!$A$8:$A$11,B280,Holiday!$C$8:$C$11),0)</f>
        <v>0</v>
      </c>
      <c r="O280" s="7">
        <f t="shared" ca="1" si="56"/>
        <v>29</v>
      </c>
      <c r="P280" s="19">
        <f t="shared" ca="1" si="57"/>
        <v>27.984999999999999</v>
      </c>
      <c r="Q280" s="7">
        <f t="shared" ca="1" si="58"/>
        <v>0</v>
      </c>
      <c r="R280" s="8">
        <f ca="1">VLOOKUP(M280,'Payment Method'!$A$8:$B$12,2,0)</f>
        <v>3.5000000000000003E-2</v>
      </c>
      <c r="S280" s="9">
        <f t="shared" ca="1" si="48"/>
        <v>1.0150000000000006</v>
      </c>
      <c r="T280" s="8">
        <v>0.01</v>
      </c>
      <c r="U280" s="9">
        <f t="shared" ca="1" si="49"/>
        <v>0.27984999999999971</v>
      </c>
      <c r="V280" s="7">
        <f t="shared" ca="1" si="50"/>
        <v>0</v>
      </c>
      <c r="W280" s="7">
        <f t="shared" ca="1" si="51"/>
        <v>27.70515</v>
      </c>
      <c r="X280" s="5" t="str">
        <f t="shared" ca="1" si="59"/>
        <v>Instagram</v>
      </c>
      <c r="Y280" s="78">
        <f>IF(COUNTIF($C$1:C279,B279)=1,10,"")</f>
        <v>10</v>
      </c>
    </row>
    <row r="281" spans="1:25" x14ac:dyDescent="0.3">
      <c r="A281" s="76">
        <v>280</v>
      </c>
      <c r="B281" s="6">
        <v>46179</v>
      </c>
      <c r="C281" s="6">
        <v>46183</v>
      </c>
      <c r="D281" s="17" t="str">
        <f t="shared" si="52"/>
        <v>June</v>
      </c>
      <c r="E281" s="5" t="str">
        <f t="shared" ca="1" si="53"/>
        <v>STU-339</v>
      </c>
      <c r="F281" s="5" t="str">
        <f ca="1">IF(COUNTIF($E$2:E281,E281)=1,"New Customer","Returning Customer")</f>
        <v>New Customer</v>
      </c>
      <c r="G281" s="5" t="str">
        <f t="shared" ca="1" si="54"/>
        <v>Male</v>
      </c>
      <c r="H281" s="5" t="s">
        <v>135</v>
      </c>
      <c r="I281" s="5" t="str" cm="1">
        <f t="array" aca="1" ref="I281" ca="1">INDEX(Courses!$B$9:$B$16,RANDBETWEEN(1,8))</f>
        <v>Excel Basics</v>
      </c>
      <c r="J281" s="5" t="str">
        <f ca="1">VLOOKUP(I281,Courses!$B$9:$C$16,2,0)</f>
        <v>Microsoft Office</v>
      </c>
      <c r="K281" s="7">
        <f ca="1">VLOOKUP(I281,Courses!$B$9:$D$16,3,0)</f>
        <v>29</v>
      </c>
      <c r="L281" s="5" t="str">
        <f t="shared" ca="1" si="55"/>
        <v>Paid</v>
      </c>
      <c r="M281" s="8" t="str" cm="1">
        <f t="array" aca="1" ref="M281" ca="1">INDEX('Payment Method'!$A$8:$A$12,RANDBETWEEN(1,5))</f>
        <v>Visa Debit</v>
      </c>
      <c r="N281" s="7">
        <f>IFERROR(SUMIF(Holiday!$A$8:$A$11,B281,Holiday!$C$8:$C$11),0)</f>
        <v>0</v>
      </c>
      <c r="O281" s="7">
        <f t="shared" ca="1" si="56"/>
        <v>29</v>
      </c>
      <c r="P281" s="19">
        <f t="shared" ca="1" si="57"/>
        <v>28.42</v>
      </c>
      <c r="Q281" s="7">
        <f t="shared" ca="1" si="58"/>
        <v>0</v>
      </c>
      <c r="R281" s="8">
        <f ca="1">VLOOKUP(M281,'Payment Method'!$A$8:$B$12,2,0)</f>
        <v>0.02</v>
      </c>
      <c r="S281" s="9">
        <f t="shared" ca="1" si="48"/>
        <v>0.57999999999999829</v>
      </c>
      <c r="T281" s="8">
        <v>0.01</v>
      </c>
      <c r="U281" s="9">
        <f t="shared" ca="1" si="49"/>
        <v>0.28419999999999845</v>
      </c>
      <c r="V281" s="7">
        <f t="shared" ca="1" si="50"/>
        <v>0</v>
      </c>
      <c r="W281" s="7">
        <f t="shared" ca="1" si="51"/>
        <v>28.135800000000003</v>
      </c>
      <c r="X281" s="5" t="str">
        <f t="shared" ca="1" si="59"/>
        <v>Tiktok</v>
      </c>
      <c r="Y281" s="78" t="str">
        <f>IF(COUNTIF($C$1:C280,B280)=1,10,"")</f>
        <v/>
      </c>
    </row>
    <row r="282" spans="1:25" x14ac:dyDescent="0.3">
      <c r="A282" s="75">
        <v>281</v>
      </c>
      <c r="B282" s="6">
        <v>46088</v>
      </c>
      <c r="C282" s="6">
        <v>46092</v>
      </c>
      <c r="D282" s="17" t="str">
        <f t="shared" si="52"/>
        <v>March</v>
      </c>
      <c r="E282" s="5" t="str">
        <f t="shared" ca="1" si="53"/>
        <v>STU-249</v>
      </c>
      <c r="F282" s="5" t="str">
        <f ca="1">IF(COUNTIF($E$2:E282,E282)=1,"New Customer","Returning Customer")</f>
        <v>New Customer</v>
      </c>
      <c r="G282" s="5" t="str">
        <f t="shared" ca="1" si="54"/>
        <v>Not specified</v>
      </c>
      <c r="H282" s="5" t="s">
        <v>138</v>
      </c>
      <c r="I282" s="5" t="str" cm="1">
        <f t="array" aca="1" ref="I282" ca="1">INDEX(Courses!$B$9:$B$16,RANDBETWEEN(1,8))</f>
        <v>Excel Basics</v>
      </c>
      <c r="J282" s="5" t="str">
        <f ca="1">VLOOKUP(I282,Courses!$B$9:$C$16,2,0)</f>
        <v>Microsoft Office</v>
      </c>
      <c r="K282" s="7">
        <f ca="1">VLOOKUP(I282,Courses!$B$9:$D$16,3,0)</f>
        <v>29</v>
      </c>
      <c r="L282" s="5" t="str">
        <f t="shared" ca="1" si="55"/>
        <v>Pending</v>
      </c>
      <c r="M282" s="8" t="str" cm="1">
        <f t="array" aca="1" ref="M282" ca="1">INDEX('Payment Method'!$A$8:$A$12,RANDBETWEEN(1,5))</f>
        <v>Visa Credit</v>
      </c>
      <c r="N282" s="7">
        <f>IFERROR(SUMIF(Holiday!$A$8:$A$11,B282,Holiday!$C$8:$C$11),0)</f>
        <v>0</v>
      </c>
      <c r="O282" s="7">
        <f t="shared" ca="1" si="56"/>
        <v>29</v>
      </c>
      <c r="P282" s="19">
        <f t="shared" ca="1" si="57"/>
        <v>27.984999999999999</v>
      </c>
      <c r="Q282" s="7">
        <f t="shared" ca="1" si="58"/>
        <v>27.70515</v>
      </c>
      <c r="R282" s="8">
        <f ca="1">VLOOKUP(M282,'Payment Method'!$A$8:$B$12,2,0)</f>
        <v>3.5000000000000003E-2</v>
      </c>
      <c r="S282" s="9">
        <f t="shared" ca="1" si="48"/>
        <v>1.0150000000000006</v>
      </c>
      <c r="T282" s="8">
        <v>0.01</v>
      </c>
      <c r="U282" s="9">
        <f t="shared" ca="1" si="49"/>
        <v>0.27984999999999971</v>
      </c>
      <c r="V282" s="7">
        <f t="shared" ca="1" si="50"/>
        <v>0</v>
      </c>
      <c r="W282" s="7">
        <f t="shared" ca="1" si="51"/>
        <v>0</v>
      </c>
      <c r="X282" s="5" t="str">
        <f t="shared" ca="1" si="59"/>
        <v>Instagram</v>
      </c>
      <c r="Y282" s="78" t="str">
        <f>IF(COUNTIF($C$1:C281,B281)=1,10,"")</f>
        <v/>
      </c>
    </row>
    <row r="283" spans="1:25" x14ac:dyDescent="0.3">
      <c r="A283" s="76">
        <v>282</v>
      </c>
      <c r="B283" s="6">
        <v>46138</v>
      </c>
      <c r="C283" s="6">
        <v>46139</v>
      </c>
      <c r="D283" s="17" t="str">
        <f t="shared" si="52"/>
        <v>April</v>
      </c>
      <c r="E283" s="5" t="str">
        <f t="shared" ca="1" si="53"/>
        <v>STU-59</v>
      </c>
      <c r="F283" s="5" t="str">
        <f ca="1">IF(COUNTIF($E$2:E283,E283)=1,"New Customer","Returning Customer")</f>
        <v>Returning Customer</v>
      </c>
      <c r="G283" s="5" t="str">
        <f t="shared" ca="1" si="54"/>
        <v>Female</v>
      </c>
      <c r="H283" s="5" t="s">
        <v>138</v>
      </c>
      <c r="I283" s="5" t="str" cm="1">
        <f t="array" aca="1" ref="I283" ca="1">INDEX(Courses!$B$9:$B$16,RANDBETWEEN(1,8))</f>
        <v>PowerPoint</v>
      </c>
      <c r="J283" s="5" t="str">
        <f ca="1">VLOOKUP(I283,Courses!$B$9:$C$16,2,0)</f>
        <v>Microsoft Office</v>
      </c>
      <c r="K283" s="7">
        <f ca="1">VLOOKUP(I283,Courses!$B$9:$D$16,3,0)</f>
        <v>29</v>
      </c>
      <c r="L283" s="5" t="str">
        <f t="shared" ca="1" si="55"/>
        <v>Pending</v>
      </c>
      <c r="M283" s="8" t="str" cm="1">
        <f t="array" aca="1" ref="M283" ca="1">INDEX('Payment Method'!$A$8:$A$12,RANDBETWEEN(1,5))</f>
        <v>Mastercard Debit</v>
      </c>
      <c r="N283" s="7">
        <f>IFERROR(SUMIF(Holiday!$A$8:$A$11,B283,Holiday!$C$8:$C$11),0)</f>
        <v>0</v>
      </c>
      <c r="O283" s="7">
        <f t="shared" ca="1" si="56"/>
        <v>29</v>
      </c>
      <c r="P283" s="19">
        <f t="shared" ca="1" si="57"/>
        <v>28.42</v>
      </c>
      <c r="Q283" s="7">
        <f t="shared" ca="1" si="58"/>
        <v>28.135800000000003</v>
      </c>
      <c r="R283" s="8">
        <f ca="1">VLOOKUP(M283,'Payment Method'!$A$8:$B$12,2,0)</f>
        <v>0.02</v>
      </c>
      <c r="S283" s="9">
        <f t="shared" ca="1" si="48"/>
        <v>0.57999999999999829</v>
      </c>
      <c r="T283" s="8">
        <v>0.01</v>
      </c>
      <c r="U283" s="9">
        <f t="shared" ca="1" si="49"/>
        <v>0.28419999999999845</v>
      </c>
      <c r="V283" s="7">
        <f t="shared" ca="1" si="50"/>
        <v>0</v>
      </c>
      <c r="W283" s="7">
        <f t="shared" ca="1" si="51"/>
        <v>0</v>
      </c>
      <c r="X283" s="5" t="str">
        <f t="shared" ca="1" si="59"/>
        <v>Instagram</v>
      </c>
      <c r="Y283" s="78" t="str">
        <f>IF(COUNTIF($C$1:C282,B282)=1,10,"")</f>
        <v/>
      </c>
    </row>
    <row r="284" spans="1:25" x14ac:dyDescent="0.3">
      <c r="A284" s="75">
        <v>283</v>
      </c>
      <c r="B284" s="6">
        <v>46204</v>
      </c>
      <c r="C284" s="6">
        <v>46205</v>
      </c>
      <c r="D284" s="17" t="str">
        <f t="shared" si="52"/>
        <v>July</v>
      </c>
      <c r="E284" s="5" t="str">
        <f t="shared" ca="1" si="53"/>
        <v>STU-786</v>
      </c>
      <c r="F284" s="5" t="str">
        <f ca="1">IF(COUNTIF($E$2:E284,E284)=1,"New Customer","Returning Customer")</f>
        <v>New Customer</v>
      </c>
      <c r="G284" s="5" t="str">
        <f t="shared" ca="1" si="54"/>
        <v>Not specified</v>
      </c>
      <c r="H284" s="5" t="s">
        <v>139</v>
      </c>
      <c r="I284" s="5" t="str" cm="1">
        <f t="array" aca="1" ref="I284" ca="1">INDEX(Courses!$B$9:$B$16,RANDBETWEEN(1,8))</f>
        <v>Power BI</v>
      </c>
      <c r="J284" s="5" t="str">
        <f ca="1">VLOOKUP(I284,Courses!$B$9:$C$16,2,0)</f>
        <v>Data Analytics</v>
      </c>
      <c r="K284" s="7">
        <f ca="1">VLOOKUP(I284,Courses!$B$9:$D$16,3,0)</f>
        <v>59</v>
      </c>
      <c r="L284" s="5" t="str">
        <f t="shared" ca="1" si="55"/>
        <v>Paid</v>
      </c>
      <c r="M284" s="8" t="str" cm="1">
        <f t="array" aca="1" ref="M284" ca="1">INDEX('Payment Method'!$A$8:$A$12,RANDBETWEEN(1,5))</f>
        <v>Visa Credit</v>
      </c>
      <c r="N284" s="7">
        <f>IFERROR(SUMIF(Holiday!$A$8:$A$11,B284,Holiday!$C$8:$C$11),0)</f>
        <v>0</v>
      </c>
      <c r="O284" s="7">
        <f t="shared" ca="1" si="56"/>
        <v>59</v>
      </c>
      <c r="P284" s="19">
        <f t="shared" ca="1" si="57"/>
        <v>56.935000000000002</v>
      </c>
      <c r="Q284" s="7">
        <f t="shared" ca="1" si="58"/>
        <v>0</v>
      </c>
      <c r="R284" s="8">
        <f ca="1">VLOOKUP(M284,'Payment Method'!$A$8:$B$12,2,0)</f>
        <v>3.5000000000000003E-2</v>
      </c>
      <c r="S284" s="9">
        <f t="shared" ca="1" si="48"/>
        <v>2.0649999999999977</v>
      </c>
      <c r="T284" s="8">
        <v>0.01</v>
      </c>
      <c r="U284" s="9">
        <f t="shared" ca="1" si="49"/>
        <v>0.56935000000000002</v>
      </c>
      <c r="V284" s="7">
        <f t="shared" ca="1" si="50"/>
        <v>0</v>
      </c>
      <c r="W284" s="7">
        <f t="shared" ca="1" si="51"/>
        <v>56.365650000000002</v>
      </c>
      <c r="X284" s="5" t="str">
        <f t="shared" ca="1" si="59"/>
        <v>Instagram</v>
      </c>
      <c r="Y284" s="78" t="str">
        <f>IF(COUNTIF($C$1:C283,B283)=1,10,"")</f>
        <v/>
      </c>
    </row>
    <row r="285" spans="1:25" x14ac:dyDescent="0.3">
      <c r="A285" s="76">
        <v>284</v>
      </c>
      <c r="B285" s="6">
        <v>46056</v>
      </c>
      <c r="C285" s="6">
        <v>46057</v>
      </c>
      <c r="D285" s="17" t="str">
        <f t="shared" si="52"/>
        <v>February</v>
      </c>
      <c r="E285" s="5" t="str">
        <f t="shared" ca="1" si="53"/>
        <v>STU-732</v>
      </c>
      <c r="F285" s="5" t="str">
        <f ca="1">IF(COUNTIF($E$2:E285,E285)=1,"New Customer","Returning Customer")</f>
        <v>New Customer</v>
      </c>
      <c r="G285" s="5" t="str">
        <f t="shared" ca="1" si="54"/>
        <v>Female</v>
      </c>
      <c r="H285" s="5" t="s">
        <v>141</v>
      </c>
      <c r="I285" s="5" t="str" cm="1">
        <f t="array" aca="1" ref="I285" ca="1">INDEX(Courses!$B$9:$B$16,RANDBETWEEN(1,8))</f>
        <v>Power BI</v>
      </c>
      <c r="J285" s="5" t="str">
        <f ca="1">VLOOKUP(I285,Courses!$B$9:$C$16,2,0)</f>
        <v>Data Analytics</v>
      </c>
      <c r="K285" s="7">
        <f ca="1">VLOOKUP(I285,Courses!$B$9:$D$16,3,0)</f>
        <v>59</v>
      </c>
      <c r="L285" s="5" t="str">
        <f t="shared" ca="1" si="55"/>
        <v>Pending</v>
      </c>
      <c r="M285" s="8" t="str" cm="1">
        <f t="array" aca="1" ref="M285" ca="1">INDEX('Payment Method'!$A$8:$A$12,RANDBETWEEN(1,5))</f>
        <v>Mastercard Debit</v>
      </c>
      <c r="N285" s="7">
        <f>IFERROR(SUMIF(Holiday!$A$8:$A$11,B285,Holiday!$C$8:$C$11),0)</f>
        <v>0</v>
      </c>
      <c r="O285" s="7">
        <f t="shared" ca="1" si="56"/>
        <v>59</v>
      </c>
      <c r="P285" s="19">
        <f t="shared" ca="1" si="57"/>
        <v>57.82</v>
      </c>
      <c r="Q285" s="7">
        <f t="shared" ca="1" si="58"/>
        <v>57.241799999999998</v>
      </c>
      <c r="R285" s="8">
        <f ca="1">VLOOKUP(M285,'Payment Method'!$A$8:$B$12,2,0)</f>
        <v>0.02</v>
      </c>
      <c r="S285" s="9">
        <f t="shared" ca="1" si="48"/>
        <v>1.1799999999999997</v>
      </c>
      <c r="T285" s="8">
        <v>0.01</v>
      </c>
      <c r="U285" s="9">
        <f t="shared" ca="1" si="49"/>
        <v>0.57820000000000249</v>
      </c>
      <c r="V285" s="7">
        <f t="shared" ca="1" si="50"/>
        <v>0</v>
      </c>
      <c r="W285" s="7">
        <f t="shared" ca="1" si="51"/>
        <v>0</v>
      </c>
      <c r="X285" s="5" t="str">
        <f t="shared" ca="1" si="59"/>
        <v>Tiktok</v>
      </c>
      <c r="Y285" s="78" t="str">
        <f>IF(COUNTIF($C$1:C284,B284)=1,10,"")</f>
        <v/>
      </c>
    </row>
    <row r="286" spans="1:25" x14ac:dyDescent="0.3">
      <c r="A286" s="75">
        <v>285</v>
      </c>
      <c r="B286" s="6">
        <v>46184</v>
      </c>
      <c r="C286" s="6">
        <v>46184</v>
      </c>
      <c r="D286" s="17" t="str">
        <f t="shared" si="52"/>
        <v>June</v>
      </c>
      <c r="E286" s="5" t="str">
        <f t="shared" ca="1" si="53"/>
        <v>STU-114</v>
      </c>
      <c r="F286" s="5" t="str">
        <f ca="1">IF(COUNTIF($E$2:E286,E286)=1,"New Customer","Returning Customer")</f>
        <v>New Customer</v>
      </c>
      <c r="G286" s="5" t="str">
        <f t="shared" ca="1" si="54"/>
        <v>Male</v>
      </c>
      <c r="H286" s="5" t="s">
        <v>137</v>
      </c>
      <c r="I286" s="5" t="str" cm="1">
        <f t="array" aca="1" ref="I286" ca="1">INDEX(Courses!$B$9:$B$16,RANDBETWEEN(1,8))</f>
        <v>SQL</v>
      </c>
      <c r="J286" s="5" t="str">
        <f ca="1">VLOOKUP(I286,Courses!$B$9:$C$16,2,0)</f>
        <v>Data Analytics</v>
      </c>
      <c r="K286" s="7">
        <f ca="1">VLOOKUP(I286,Courses!$B$9:$D$16,3,0)</f>
        <v>99</v>
      </c>
      <c r="L286" s="5" t="str">
        <f t="shared" ca="1" si="55"/>
        <v>Paid</v>
      </c>
      <c r="M286" s="8" t="str" cm="1">
        <f t="array" aca="1" ref="M286" ca="1">INDEX('Payment Method'!$A$8:$A$12,RANDBETWEEN(1,5))</f>
        <v>Mastercard Credit</v>
      </c>
      <c r="N286" s="7">
        <f>IFERROR(SUMIF(Holiday!$A$8:$A$11,B286,Holiday!$C$8:$C$11),0)</f>
        <v>0</v>
      </c>
      <c r="O286" s="7">
        <f t="shared" ca="1" si="56"/>
        <v>99</v>
      </c>
      <c r="P286" s="19">
        <f t="shared" ca="1" si="57"/>
        <v>95.534999999999997</v>
      </c>
      <c r="Q286" s="7">
        <f t="shared" ca="1" si="58"/>
        <v>0</v>
      </c>
      <c r="R286" s="8">
        <f ca="1">VLOOKUP(M286,'Payment Method'!$A$8:$B$12,2,0)</f>
        <v>3.5000000000000003E-2</v>
      </c>
      <c r="S286" s="9">
        <f t="shared" ca="1" si="48"/>
        <v>3.4650000000000034</v>
      </c>
      <c r="T286" s="8">
        <v>0.01</v>
      </c>
      <c r="U286" s="9">
        <f t="shared" ca="1" si="49"/>
        <v>0.9553499999999957</v>
      </c>
      <c r="V286" s="7">
        <f t="shared" ca="1" si="50"/>
        <v>0</v>
      </c>
      <c r="W286" s="7">
        <f t="shared" ca="1" si="51"/>
        <v>94.579650000000001</v>
      </c>
      <c r="X286" s="5" t="str">
        <f t="shared" ca="1" si="59"/>
        <v>Tiktok</v>
      </c>
      <c r="Y286" s="78" t="str">
        <f>IF(COUNTIF($C$1:C285,B285)=1,10,"")</f>
        <v/>
      </c>
    </row>
    <row r="287" spans="1:25" x14ac:dyDescent="0.3">
      <c r="A287" s="76">
        <v>286</v>
      </c>
      <c r="B287" s="6">
        <v>46052</v>
      </c>
      <c r="C287" s="6">
        <v>46056</v>
      </c>
      <c r="D287" s="17" t="str">
        <f t="shared" si="52"/>
        <v>February</v>
      </c>
      <c r="E287" s="5" t="str">
        <f t="shared" ca="1" si="53"/>
        <v>STU-712</v>
      </c>
      <c r="F287" s="5" t="str">
        <f ca="1">IF(COUNTIF($E$2:E287,E287)=1,"New Customer","Returning Customer")</f>
        <v>New Customer</v>
      </c>
      <c r="G287" s="5" t="str">
        <f t="shared" ca="1" si="54"/>
        <v>Female</v>
      </c>
      <c r="H287" s="5" t="s">
        <v>137</v>
      </c>
      <c r="I287" s="5" t="str" cm="1">
        <f t="array" aca="1" ref="I287" ca="1">INDEX(Courses!$B$9:$B$16,RANDBETWEEN(1,8))</f>
        <v>Complete Excel Course</v>
      </c>
      <c r="J287" s="5" t="str">
        <f ca="1">VLOOKUP(I287,Courses!$B$9:$C$16,2,0)</f>
        <v>Microsoft Office</v>
      </c>
      <c r="K287" s="7">
        <f ca="1">VLOOKUP(I287,Courses!$B$9:$D$16,3,0)</f>
        <v>59</v>
      </c>
      <c r="L287" s="5" t="str">
        <f t="shared" ca="1" si="55"/>
        <v>Paid</v>
      </c>
      <c r="M287" s="8" t="str" cm="1">
        <f t="array" aca="1" ref="M287" ca="1">INDEX('Payment Method'!$A$8:$A$12,RANDBETWEEN(1,5))</f>
        <v>Visa Credit</v>
      </c>
      <c r="N287" s="7">
        <f>IFERROR(SUMIF(Holiday!$A$8:$A$11,B287,Holiday!$C$8:$C$11),0)</f>
        <v>0</v>
      </c>
      <c r="O287" s="7">
        <f t="shared" ca="1" si="56"/>
        <v>59</v>
      </c>
      <c r="P287" s="19">
        <f t="shared" ca="1" si="57"/>
        <v>56.935000000000002</v>
      </c>
      <c r="Q287" s="7">
        <f t="shared" ca="1" si="58"/>
        <v>0</v>
      </c>
      <c r="R287" s="8">
        <f ca="1">VLOOKUP(M287,'Payment Method'!$A$8:$B$12,2,0)</f>
        <v>3.5000000000000003E-2</v>
      </c>
      <c r="S287" s="9">
        <f t="shared" ca="1" si="48"/>
        <v>2.0649999999999977</v>
      </c>
      <c r="T287" s="8">
        <v>0.01</v>
      </c>
      <c r="U287" s="9">
        <f t="shared" ca="1" si="49"/>
        <v>0.56935000000000002</v>
      </c>
      <c r="V287" s="7">
        <f t="shared" ca="1" si="50"/>
        <v>0</v>
      </c>
      <c r="W287" s="7">
        <f t="shared" ca="1" si="51"/>
        <v>56.365650000000002</v>
      </c>
      <c r="X287" s="5" t="str">
        <f t="shared" ca="1" si="59"/>
        <v>Facebook</v>
      </c>
      <c r="Y287" s="78">
        <f>IF(COUNTIF($C$1:C286,B286)=1,10,"")</f>
        <v>10</v>
      </c>
    </row>
    <row r="288" spans="1:25" x14ac:dyDescent="0.3">
      <c r="A288" s="75">
        <v>287</v>
      </c>
      <c r="B288" s="6">
        <v>46056</v>
      </c>
      <c r="C288" s="6">
        <v>46061</v>
      </c>
      <c r="D288" s="17" t="str">
        <f t="shared" si="52"/>
        <v>February</v>
      </c>
      <c r="E288" s="5" t="str">
        <f t="shared" ca="1" si="53"/>
        <v>STU-946</v>
      </c>
      <c r="F288" s="5" t="str">
        <f ca="1">IF(COUNTIF($E$2:E288,E288)=1,"New Customer","Returning Customer")</f>
        <v>New Customer</v>
      </c>
      <c r="G288" s="5" t="str">
        <f t="shared" ca="1" si="54"/>
        <v>Female</v>
      </c>
      <c r="H288" s="5" t="s">
        <v>135</v>
      </c>
      <c r="I288" s="5" t="str" cm="1">
        <f t="array" aca="1" ref="I288" ca="1">INDEX(Courses!$B$9:$B$16,RANDBETWEEN(1,8))</f>
        <v>SQL</v>
      </c>
      <c r="J288" s="5" t="str">
        <f ca="1">VLOOKUP(I288,Courses!$B$9:$C$16,2,0)</f>
        <v>Data Analytics</v>
      </c>
      <c r="K288" s="7">
        <f ca="1">VLOOKUP(I288,Courses!$B$9:$D$16,3,0)</f>
        <v>99</v>
      </c>
      <c r="L288" s="5" t="str">
        <f t="shared" ca="1" si="55"/>
        <v>Paid</v>
      </c>
      <c r="M288" s="8" t="str" cm="1">
        <f t="array" aca="1" ref="M288" ca="1">INDEX('Payment Method'!$A$8:$A$12,RANDBETWEEN(1,5))</f>
        <v>Mastercard Debit</v>
      </c>
      <c r="N288" s="7">
        <f>IFERROR(SUMIF(Holiday!$A$8:$A$11,B288,Holiday!$C$8:$C$11),0)</f>
        <v>0</v>
      </c>
      <c r="O288" s="7">
        <f t="shared" ca="1" si="56"/>
        <v>99</v>
      </c>
      <c r="P288" s="19">
        <f t="shared" ca="1" si="57"/>
        <v>97.02</v>
      </c>
      <c r="Q288" s="7">
        <f t="shared" ca="1" si="58"/>
        <v>0</v>
      </c>
      <c r="R288" s="8">
        <f ca="1">VLOOKUP(M288,'Payment Method'!$A$8:$B$12,2,0)</f>
        <v>0.02</v>
      </c>
      <c r="S288" s="9">
        <f t="shared" ca="1" si="48"/>
        <v>1.980000000000004</v>
      </c>
      <c r="T288" s="8">
        <v>0.01</v>
      </c>
      <c r="U288" s="9">
        <f t="shared" ca="1" si="49"/>
        <v>0.9702000000000055</v>
      </c>
      <c r="V288" s="7">
        <f t="shared" ca="1" si="50"/>
        <v>0</v>
      </c>
      <c r="W288" s="7">
        <f t="shared" ca="1" si="51"/>
        <v>96.049799999999991</v>
      </c>
      <c r="X288" s="5" t="str">
        <f t="shared" ca="1" si="59"/>
        <v>Facebook</v>
      </c>
      <c r="Y288" s="78">
        <f>IF(COUNTIF($C$1:C287,B287)=1,10,"")</f>
        <v>10</v>
      </c>
    </row>
    <row r="289" spans="1:25" x14ac:dyDescent="0.3">
      <c r="A289" s="76">
        <v>288</v>
      </c>
      <c r="B289" s="6">
        <v>46222</v>
      </c>
      <c r="C289" s="6">
        <v>46225</v>
      </c>
      <c r="D289" s="17" t="str">
        <f t="shared" si="52"/>
        <v>July</v>
      </c>
      <c r="E289" s="5" t="str">
        <f t="shared" ca="1" si="53"/>
        <v>STU-8</v>
      </c>
      <c r="F289" s="5" t="str">
        <f ca="1">IF(COUNTIF($E$2:E289,E289)=1,"New Customer","Returning Customer")</f>
        <v>Returning Customer</v>
      </c>
      <c r="G289" s="5" t="str">
        <f t="shared" ca="1" si="54"/>
        <v>Male</v>
      </c>
      <c r="H289" s="5" t="s">
        <v>140</v>
      </c>
      <c r="I289" s="5" t="str" cm="1">
        <f t="array" aca="1" ref="I289" ca="1">INDEX(Courses!$B$9:$B$16,RANDBETWEEN(1,8))</f>
        <v>Adolescent Psychology</v>
      </c>
      <c r="J289" s="5" t="str">
        <f ca="1">VLOOKUP(I289,Courses!$B$9:$C$16,2,0)</f>
        <v>Psychology</v>
      </c>
      <c r="K289" s="7">
        <f ca="1">VLOOKUP(I289,Courses!$B$9:$D$16,3,0)</f>
        <v>29</v>
      </c>
      <c r="L289" s="5" t="str">
        <f t="shared" ca="1" si="55"/>
        <v>Paid</v>
      </c>
      <c r="M289" s="8" t="str" cm="1">
        <f t="array" aca="1" ref="M289" ca="1">INDEX('Payment Method'!$A$8:$A$12,RANDBETWEEN(1,5))</f>
        <v>Bank Transfer</v>
      </c>
      <c r="N289" s="7">
        <f>IFERROR(SUMIF(Holiday!$A$8:$A$11,B289,Holiday!$C$8:$C$11),0)</f>
        <v>0</v>
      </c>
      <c r="O289" s="7">
        <f t="shared" ca="1" si="56"/>
        <v>29</v>
      </c>
      <c r="P289" s="19">
        <f t="shared" ca="1" si="57"/>
        <v>29</v>
      </c>
      <c r="Q289" s="7">
        <f t="shared" ca="1" si="58"/>
        <v>0</v>
      </c>
      <c r="R289" s="8">
        <f ca="1">VLOOKUP(M289,'Payment Method'!$A$8:$B$12,2,0)</f>
        <v>0</v>
      </c>
      <c r="S289" s="9">
        <f t="shared" ca="1" si="48"/>
        <v>0</v>
      </c>
      <c r="T289" s="8">
        <v>0.01</v>
      </c>
      <c r="U289" s="9">
        <f t="shared" ca="1" si="49"/>
        <v>0.28999999999999915</v>
      </c>
      <c r="V289" s="7">
        <f t="shared" ca="1" si="50"/>
        <v>0</v>
      </c>
      <c r="W289" s="7">
        <f t="shared" ca="1" si="51"/>
        <v>28.71</v>
      </c>
      <c r="X289" s="5" t="str">
        <f t="shared" ca="1" si="59"/>
        <v>Tiktok</v>
      </c>
      <c r="Y289" s="78" t="str">
        <f>IF(COUNTIF($C$1:C288,B288)=1,10,"")</f>
        <v/>
      </c>
    </row>
    <row r="290" spans="1:25" x14ac:dyDescent="0.3">
      <c r="A290" s="75">
        <v>289</v>
      </c>
      <c r="B290" s="6">
        <v>46082</v>
      </c>
      <c r="C290" s="6">
        <v>46083</v>
      </c>
      <c r="D290" s="17" t="str">
        <f t="shared" si="52"/>
        <v>March</v>
      </c>
      <c r="E290" s="5" t="str">
        <f t="shared" ca="1" si="53"/>
        <v>STU-994</v>
      </c>
      <c r="F290" s="5" t="str">
        <f ca="1">IF(COUNTIF($E$2:E290,E290)=1,"New Customer","Returning Customer")</f>
        <v>Returning Customer</v>
      </c>
      <c r="G290" s="5" t="str">
        <f t="shared" ca="1" si="54"/>
        <v>Female</v>
      </c>
      <c r="H290" s="5" t="s">
        <v>137</v>
      </c>
      <c r="I290" s="5" t="str" cm="1">
        <f t="array" aca="1" ref="I290" ca="1">INDEX(Courses!$B$9:$B$16,RANDBETWEEN(1,8))</f>
        <v>Adolescent Psychology</v>
      </c>
      <c r="J290" s="5" t="str">
        <f ca="1">VLOOKUP(I290,Courses!$B$9:$C$16,2,0)</f>
        <v>Psychology</v>
      </c>
      <c r="K290" s="7">
        <f ca="1">VLOOKUP(I290,Courses!$B$9:$D$16,3,0)</f>
        <v>29</v>
      </c>
      <c r="L290" s="5" t="str">
        <f t="shared" ca="1" si="55"/>
        <v>Refunded</v>
      </c>
      <c r="M290" s="8" t="str" cm="1">
        <f t="array" aca="1" ref="M290" ca="1">INDEX('Payment Method'!$A$8:$A$12,RANDBETWEEN(1,5))</f>
        <v>Visa Credit</v>
      </c>
      <c r="N290" s="7">
        <f>IFERROR(SUMIF(Holiday!$A$8:$A$11,B290,Holiday!$C$8:$C$11),0)</f>
        <v>0</v>
      </c>
      <c r="O290" s="7">
        <f t="shared" ca="1" si="56"/>
        <v>29</v>
      </c>
      <c r="P290" s="19">
        <f t="shared" ca="1" si="57"/>
        <v>27.984999999999999</v>
      </c>
      <c r="Q290" s="7">
        <f t="shared" ca="1" si="58"/>
        <v>0</v>
      </c>
      <c r="R290" s="8">
        <f ca="1">VLOOKUP(M290,'Payment Method'!$A$8:$B$12,2,0)</f>
        <v>3.5000000000000003E-2</v>
      </c>
      <c r="S290" s="9">
        <f t="shared" ca="1" si="48"/>
        <v>1.0150000000000006</v>
      </c>
      <c r="T290" s="8">
        <v>0.01</v>
      </c>
      <c r="U290" s="9">
        <f t="shared" ca="1" si="49"/>
        <v>0.27984999999999971</v>
      </c>
      <c r="V290" s="7">
        <f t="shared" ca="1" si="50"/>
        <v>27.70515</v>
      </c>
      <c r="W290" s="7">
        <f t="shared" ca="1" si="51"/>
        <v>0</v>
      </c>
      <c r="X290" s="5" t="str">
        <f t="shared" ca="1" si="59"/>
        <v>Facebook</v>
      </c>
      <c r="Y290" s="78" t="str">
        <f>IF(COUNTIF($C$1:C289,B289)=1,10,"")</f>
        <v/>
      </c>
    </row>
    <row r="291" spans="1:25" x14ac:dyDescent="0.3">
      <c r="A291" s="76">
        <v>290</v>
      </c>
      <c r="B291" s="6">
        <v>46061</v>
      </c>
      <c r="C291" s="6">
        <v>46061</v>
      </c>
      <c r="D291" s="17" t="str">
        <f t="shared" si="52"/>
        <v>February</v>
      </c>
      <c r="E291" s="5" t="str">
        <f t="shared" ca="1" si="53"/>
        <v>STU-767</v>
      </c>
      <c r="F291" s="5" t="str">
        <f ca="1">IF(COUNTIF($E$2:E291,E291)=1,"New Customer","Returning Customer")</f>
        <v>New Customer</v>
      </c>
      <c r="G291" s="5" t="str">
        <f t="shared" ca="1" si="54"/>
        <v>Not specified</v>
      </c>
      <c r="H291" s="5" t="s">
        <v>135</v>
      </c>
      <c r="I291" s="5" t="str" cm="1">
        <f t="array" aca="1" ref="I291" ca="1">INDEX(Courses!$B$9:$B$16,RANDBETWEEN(1,8))</f>
        <v>Complete Excel Course</v>
      </c>
      <c r="J291" s="5" t="str">
        <f ca="1">VLOOKUP(I291,Courses!$B$9:$C$16,2,0)</f>
        <v>Microsoft Office</v>
      </c>
      <c r="K291" s="7">
        <f ca="1">VLOOKUP(I291,Courses!$B$9:$D$16,3,0)</f>
        <v>59</v>
      </c>
      <c r="L291" s="5" t="str">
        <f t="shared" ca="1" si="55"/>
        <v>Pending</v>
      </c>
      <c r="M291" s="8" t="str" cm="1">
        <f t="array" aca="1" ref="M291" ca="1">INDEX('Payment Method'!$A$8:$A$12,RANDBETWEEN(1,5))</f>
        <v>Visa Debit</v>
      </c>
      <c r="N291" s="7">
        <f>IFERROR(SUMIF(Holiday!$A$8:$A$11,B291,Holiday!$C$8:$C$11),0)</f>
        <v>0</v>
      </c>
      <c r="O291" s="7">
        <f t="shared" ca="1" si="56"/>
        <v>59</v>
      </c>
      <c r="P291" s="19">
        <f t="shared" ca="1" si="57"/>
        <v>57.82</v>
      </c>
      <c r="Q291" s="7">
        <f t="shared" ca="1" si="58"/>
        <v>57.241799999999998</v>
      </c>
      <c r="R291" s="8">
        <f ca="1">VLOOKUP(M291,'Payment Method'!$A$8:$B$12,2,0)</f>
        <v>0.02</v>
      </c>
      <c r="S291" s="9">
        <f t="shared" ca="1" si="48"/>
        <v>1.1799999999999997</v>
      </c>
      <c r="T291" s="8">
        <v>0.01</v>
      </c>
      <c r="U291" s="9">
        <f t="shared" ca="1" si="49"/>
        <v>0.57820000000000249</v>
      </c>
      <c r="V291" s="7">
        <f t="shared" ca="1" si="50"/>
        <v>0</v>
      </c>
      <c r="W291" s="7">
        <f t="shared" ca="1" si="51"/>
        <v>0</v>
      </c>
      <c r="X291" s="5" t="str">
        <f t="shared" ca="1" si="59"/>
        <v>Facebook</v>
      </c>
      <c r="Y291" s="78" t="str">
        <f>IF(COUNTIF($C$1:C290,B290)=1,10,"")</f>
        <v/>
      </c>
    </row>
    <row r="292" spans="1:25" x14ac:dyDescent="0.3">
      <c r="A292" s="75">
        <v>291</v>
      </c>
      <c r="B292" s="6">
        <v>46114</v>
      </c>
      <c r="C292" s="6">
        <v>46114</v>
      </c>
      <c r="D292" s="17" t="str">
        <f t="shared" si="52"/>
        <v>April</v>
      </c>
      <c r="E292" s="5" t="str">
        <f t="shared" ca="1" si="53"/>
        <v>STU-398</v>
      </c>
      <c r="F292" s="5" t="str">
        <f ca="1">IF(COUNTIF($E$2:E292,E292)=1,"New Customer","Returning Customer")</f>
        <v>Returning Customer</v>
      </c>
      <c r="G292" s="5" t="str">
        <f t="shared" ca="1" si="54"/>
        <v>Female</v>
      </c>
      <c r="H292" s="5" t="s">
        <v>139</v>
      </c>
      <c r="I292" s="5" t="str" cm="1">
        <f t="array" aca="1" ref="I292" ca="1">INDEX(Courses!$B$9:$B$16,RANDBETWEEN(1,8))</f>
        <v>Power BI</v>
      </c>
      <c r="J292" s="5" t="str">
        <f ca="1">VLOOKUP(I292,Courses!$B$9:$C$16,2,0)</f>
        <v>Data Analytics</v>
      </c>
      <c r="K292" s="7">
        <f ca="1">VLOOKUP(I292,Courses!$B$9:$D$16,3,0)</f>
        <v>59</v>
      </c>
      <c r="L292" s="5" t="str">
        <f t="shared" ca="1" si="55"/>
        <v>Paid</v>
      </c>
      <c r="M292" s="8" t="str" cm="1">
        <f t="array" aca="1" ref="M292" ca="1">INDEX('Payment Method'!$A$8:$A$12,RANDBETWEEN(1,5))</f>
        <v>Mastercard Debit</v>
      </c>
      <c r="N292" s="7">
        <f>IFERROR(SUMIF(Holiday!$A$8:$A$11,B292,Holiday!$C$8:$C$11),0)</f>
        <v>0</v>
      </c>
      <c r="O292" s="7">
        <f t="shared" ca="1" si="56"/>
        <v>59</v>
      </c>
      <c r="P292" s="19">
        <f t="shared" ca="1" si="57"/>
        <v>57.82</v>
      </c>
      <c r="Q292" s="7">
        <f t="shared" ca="1" si="58"/>
        <v>0</v>
      </c>
      <c r="R292" s="8">
        <f ca="1">VLOOKUP(M292,'Payment Method'!$A$8:$B$12,2,0)</f>
        <v>0.02</v>
      </c>
      <c r="S292" s="9">
        <f t="shared" ca="1" si="48"/>
        <v>1.1799999999999997</v>
      </c>
      <c r="T292" s="8">
        <v>0.01</v>
      </c>
      <c r="U292" s="9">
        <f t="shared" ca="1" si="49"/>
        <v>0.57820000000000249</v>
      </c>
      <c r="V292" s="7">
        <f t="shared" ca="1" si="50"/>
        <v>0</v>
      </c>
      <c r="W292" s="7">
        <f t="shared" ca="1" si="51"/>
        <v>57.241799999999998</v>
      </c>
      <c r="X292" s="5" t="str">
        <f t="shared" ca="1" si="59"/>
        <v>Instagram</v>
      </c>
      <c r="Y292" s="78" t="str">
        <f>IF(COUNTIF($C$1:C291,B291)=1,10,"")</f>
        <v/>
      </c>
    </row>
    <row r="293" spans="1:25" x14ac:dyDescent="0.3">
      <c r="A293" s="76">
        <v>292</v>
      </c>
      <c r="B293" s="6">
        <v>46148</v>
      </c>
      <c r="C293" s="6">
        <v>46151</v>
      </c>
      <c r="D293" s="17" t="str">
        <f t="shared" si="52"/>
        <v>May</v>
      </c>
      <c r="E293" s="5" t="str">
        <f t="shared" ca="1" si="53"/>
        <v>STU-795</v>
      </c>
      <c r="F293" s="5" t="str">
        <f ca="1">IF(COUNTIF($E$2:E293,E293)=1,"New Customer","Returning Customer")</f>
        <v>Returning Customer</v>
      </c>
      <c r="G293" s="5" t="str">
        <f t="shared" ca="1" si="54"/>
        <v>Male</v>
      </c>
      <c r="H293" s="5" t="s">
        <v>140</v>
      </c>
      <c r="I293" s="5" t="str" cm="1">
        <f t="array" aca="1" ref="I293" ca="1">INDEX(Courses!$B$9:$B$16,RANDBETWEEN(1,8))</f>
        <v>Tax Code</v>
      </c>
      <c r="J293" s="5" t="str">
        <f ca="1">VLOOKUP(I293,Courses!$B$9:$C$16,2,0)</f>
        <v>Finance &amp; Taxation</v>
      </c>
      <c r="K293" s="7">
        <f ca="1">VLOOKUP(I293,Courses!$B$9:$D$16,3,0)</f>
        <v>59</v>
      </c>
      <c r="L293" s="5" t="str">
        <f t="shared" ca="1" si="55"/>
        <v>Pending</v>
      </c>
      <c r="M293" s="8" t="str" cm="1">
        <f t="array" aca="1" ref="M293" ca="1">INDEX('Payment Method'!$A$8:$A$12,RANDBETWEEN(1,5))</f>
        <v>Bank Transfer</v>
      </c>
      <c r="N293" s="7">
        <f>IFERROR(SUMIF(Holiday!$A$8:$A$11,B293,Holiday!$C$8:$C$11),0)</f>
        <v>0</v>
      </c>
      <c r="O293" s="7">
        <f t="shared" ca="1" si="56"/>
        <v>59</v>
      </c>
      <c r="P293" s="19">
        <f t="shared" ca="1" si="57"/>
        <v>59</v>
      </c>
      <c r="Q293" s="7">
        <f t="shared" ca="1" si="58"/>
        <v>58.41</v>
      </c>
      <c r="R293" s="8">
        <f ca="1">VLOOKUP(M293,'Payment Method'!$A$8:$B$12,2,0)</f>
        <v>0</v>
      </c>
      <c r="S293" s="9">
        <f t="shared" ca="1" si="48"/>
        <v>0</v>
      </c>
      <c r="T293" s="8">
        <v>0.01</v>
      </c>
      <c r="U293" s="9">
        <f t="shared" ca="1" si="49"/>
        <v>0.59000000000000341</v>
      </c>
      <c r="V293" s="7">
        <f t="shared" ca="1" si="50"/>
        <v>0</v>
      </c>
      <c r="W293" s="7">
        <f t="shared" ca="1" si="51"/>
        <v>0</v>
      </c>
      <c r="X293" s="5" t="str">
        <f t="shared" ca="1" si="59"/>
        <v>Facebook</v>
      </c>
      <c r="Y293" s="78" t="str">
        <f>IF(COUNTIF($C$1:C292,B292)=1,10,"")</f>
        <v/>
      </c>
    </row>
    <row r="294" spans="1:25" x14ac:dyDescent="0.3">
      <c r="A294" s="75">
        <v>293</v>
      </c>
      <c r="B294" s="6">
        <v>46117</v>
      </c>
      <c r="C294" s="6">
        <v>46117</v>
      </c>
      <c r="D294" s="17" t="str">
        <f t="shared" si="52"/>
        <v>April</v>
      </c>
      <c r="E294" s="5" t="str">
        <f t="shared" ca="1" si="53"/>
        <v>STU-157</v>
      </c>
      <c r="F294" s="5" t="str">
        <f ca="1">IF(COUNTIF($E$2:E294,E294)=1,"New Customer","Returning Customer")</f>
        <v>New Customer</v>
      </c>
      <c r="G294" s="5" t="str">
        <f t="shared" ca="1" si="54"/>
        <v>Male</v>
      </c>
      <c r="H294" s="5" t="s">
        <v>141</v>
      </c>
      <c r="I294" s="5" t="str" cm="1">
        <f t="array" aca="1" ref="I294" ca="1">INDEX(Courses!$B$9:$B$16,RANDBETWEEN(1,8))</f>
        <v>SQL</v>
      </c>
      <c r="J294" s="5" t="str">
        <f ca="1">VLOOKUP(I294,Courses!$B$9:$C$16,2,0)</f>
        <v>Data Analytics</v>
      </c>
      <c r="K294" s="7">
        <f ca="1">VLOOKUP(I294,Courses!$B$9:$D$16,3,0)</f>
        <v>99</v>
      </c>
      <c r="L294" s="5" t="str">
        <f t="shared" ca="1" si="55"/>
        <v>Paid</v>
      </c>
      <c r="M294" s="8" t="str" cm="1">
        <f t="array" aca="1" ref="M294" ca="1">INDEX('Payment Method'!$A$8:$A$12,RANDBETWEEN(1,5))</f>
        <v>Visa Credit</v>
      </c>
      <c r="N294" s="7">
        <f>IFERROR(SUMIF(Holiday!$A$8:$A$11,B294,Holiday!$C$8:$C$11),0)</f>
        <v>0</v>
      </c>
      <c r="O294" s="7">
        <f t="shared" ca="1" si="56"/>
        <v>99</v>
      </c>
      <c r="P294" s="19">
        <f t="shared" ca="1" si="57"/>
        <v>95.534999999999997</v>
      </c>
      <c r="Q294" s="7">
        <f t="shared" ca="1" si="58"/>
        <v>0</v>
      </c>
      <c r="R294" s="8">
        <f ca="1">VLOOKUP(M294,'Payment Method'!$A$8:$B$12,2,0)</f>
        <v>3.5000000000000003E-2</v>
      </c>
      <c r="S294" s="9">
        <f t="shared" ca="1" si="48"/>
        <v>3.4650000000000034</v>
      </c>
      <c r="T294" s="8">
        <v>0.01</v>
      </c>
      <c r="U294" s="9">
        <f t="shared" ca="1" si="49"/>
        <v>0.9553499999999957</v>
      </c>
      <c r="V294" s="7">
        <f t="shared" ca="1" si="50"/>
        <v>0</v>
      </c>
      <c r="W294" s="7">
        <f t="shared" ca="1" si="51"/>
        <v>94.579650000000001</v>
      </c>
      <c r="X294" s="5" t="str">
        <f t="shared" ca="1" si="59"/>
        <v>Instagram</v>
      </c>
      <c r="Y294" s="78" t="str">
        <f>IF(COUNTIF($C$1:C293,B293)=1,10,"")</f>
        <v/>
      </c>
    </row>
    <row r="295" spans="1:25" x14ac:dyDescent="0.3">
      <c r="A295" s="76">
        <v>294</v>
      </c>
      <c r="B295" s="6">
        <v>46062</v>
      </c>
      <c r="C295" s="6">
        <v>46066</v>
      </c>
      <c r="D295" s="17" t="str">
        <f t="shared" si="52"/>
        <v>February</v>
      </c>
      <c r="E295" s="5" t="str">
        <f t="shared" ca="1" si="53"/>
        <v>STU-100</v>
      </c>
      <c r="F295" s="5" t="str">
        <f ca="1">IF(COUNTIF($E$2:E295,E295)=1,"New Customer","Returning Customer")</f>
        <v>New Customer</v>
      </c>
      <c r="G295" s="5" t="str">
        <f t="shared" ca="1" si="54"/>
        <v>Not specified</v>
      </c>
      <c r="H295" s="5" t="s">
        <v>142</v>
      </c>
      <c r="I295" s="5" t="str" cm="1">
        <f t="array" aca="1" ref="I295" ca="1">INDEX(Courses!$B$9:$B$16,RANDBETWEEN(1,8))</f>
        <v>Power BI</v>
      </c>
      <c r="J295" s="5" t="str">
        <f ca="1">VLOOKUP(I295,Courses!$B$9:$C$16,2,0)</f>
        <v>Data Analytics</v>
      </c>
      <c r="K295" s="7">
        <f ca="1">VLOOKUP(I295,Courses!$B$9:$D$16,3,0)</f>
        <v>59</v>
      </c>
      <c r="L295" s="5" t="str">
        <f t="shared" ca="1" si="55"/>
        <v>Pending</v>
      </c>
      <c r="M295" s="8" t="str" cm="1">
        <f t="array" aca="1" ref="M295" ca="1">INDEX('Payment Method'!$A$8:$A$12,RANDBETWEEN(1,5))</f>
        <v>Mastercard Credit</v>
      </c>
      <c r="N295" s="7">
        <f>IFERROR(SUMIF(Holiday!$A$8:$A$11,B295,Holiday!$C$8:$C$11),0)</f>
        <v>0</v>
      </c>
      <c r="O295" s="7">
        <f t="shared" ca="1" si="56"/>
        <v>59</v>
      </c>
      <c r="P295" s="19">
        <f t="shared" ca="1" si="57"/>
        <v>56.935000000000002</v>
      </c>
      <c r="Q295" s="7">
        <f t="shared" ca="1" si="58"/>
        <v>56.365650000000002</v>
      </c>
      <c r="R295" s="8">
        <f ca="1">VLOOKUP(M295,'Payment Method'!$A$8:$B$12,2,0)</f>
        <v>3.5000000000000003E-2</v>
      </c>
      <c r="S295" s="9">
        <f t="shared" ca="1" si="48"/>
        <v>2.0649999999999977</v>
      </c>
      <c r="T295" s="8">
        <v>0.01</v>
      </c>
      <c r="U295" s="9">
        <f t="shared" ca="1" si="49"/>
        <v>0.56935000000000002</v>
      </c>
      <c r="V295" s="7">
        <f t="shared" ca="1" si="50"/>
        <v>0</v>
      </c>
      <c r="W295" s="7">
        <f t="shared" ca="1" si="51"/>
        <v>0</v>
      </c>
      <c r="X295" s="5" t="str">
        <f t="shared" ca="1" si="59"/>
        <v>Tiktok</v>
      </c>
      <c r="Y295" s="78" t="str">
        <f>IF(COUNTIF($C$1:C294,B294)=1,10,"")</f>
        <v/>
      </c>
    </row>
    <row r="296" spans="1:25" x14ac:dyDescent="0.3">
      <c r="A296" s="75">
        <v>295</v>
      </c>
      <c r="B296" s="6">
        <v>46194</v>
      </c>
      <c r="C296" s="6">
        <v>46196</v>
      </c>
      <c r="D296" s="17" t="str">
        <f t="shared" si="52"/>
        <v>June</v>
      </c>
      <c r="E296" s="5" t="str">
        <f t="shared" ca="1" si="53"/>
        <v>STU-223</v>
      </c>
      <c r="F296" s="5" t="str">
        <f ca="1">IF(COUNTIF($E$2:E296,E296)=1,"New Customer","Returning Customer")</f>
        <v>New Customer</v>
      </c>
      <c r="G296" s="5" t="str">
        <f t="shared" ca="1" si="54"/>
        <v>Not specified</v>
      </c>
      <c r="H296" s="5" t="s">
        <v>136</v>
      </c>
      <c r="I296" s="5" t="str" cm="1">
        <f t="array" aca="1" ref="I296" ca="1">INDEX(Courses!$B$9:$B$16,RANDBETWEEN(1,8))</f>
        <v>Tax Code</v>
      </c>
      <c r="J296" s="5" t="str">
        <f ca="1">VLOOKUP(I296,Courses!$B$9:$C$16,2,0)</f>
        <v>Finance &amp; Taxation</v>
      </c>
      <c r="K296" s="7">
        <f ca="1">VLOOKUP(I296,Courses!$B$9:$D$16,3,0)</f>
        <v>59</v>
      </c>
      <c r="L296" s="5" t="str">
        <f t="shared" ca="1" si="55"/>
        <v>Paid</v>
      </c>
      <c r="M296" s="8" t="str" cm="1">
        <f t="array" aca="1" ref="M296" ca="1">INDEX('Payment Method'!$A$8:$A$12,RANDBETWEEN(1,5))</f>
        <v>Visa Credit</v>
      </c>
      <c r="N296" s="7">
        <f>IFERROR(SUMIF(Holiday!$A$8:$A$11,B296,Holiday!$C$8:$C$11),0)</f>
        <v>0</v>
      </c>
      <c r="O296" s="7">
        <f t="shared" ca="1" si="56"/>
        <v>59</v>
      </c>
      <c r="P296" s="19">
        <f t="shared" ca="1" si="57"/>
        <v>56.935000000000002</v>
      </c>
      <c r="Q296" s="7">
        <f t="shared" ca="1" si="58"/>
        <v>0</v>
      </c>
      <c r="R296" s="8">
        <f ca="1">VLOOKUP(M296,'Payment Method'!$A$8:$B$12,2,0)</f>
        <v>3.5000000000000003E-2</v>
      </c>
      <c r="S296" s="9">
        <f t="shared" ca="1" si="48"/>
        <v>2.0649999999999977</v>
      </c>
      <c r="T296" s="8">
        <v>0.01</v>
      </c>
      <c r="U296" s="9">
        <f t="shared" ca="1" si="49"/>
        <v>0.56935000000000002</v>
      </c>
      <c r="V296" s="7">
        <f t="shared" ca="1" si="50"/>
        <v>0</v>
      </c>
      <c r="W296" s="7">
        <f t="shared" ca="1" si="51"/>
        <v>56.365650000000002</v>
      </c>
      <c r="X296" s="5" t="str">
        <f t="shared" ca="1" si="59"/>
        <v>Tiktok</v>
      </c>
      <c r="Y296" s="78" t="str">
        <f>IF(COUNTIF($C$1:C295,B295)=1,10,"")</f>
        <v/>
      </c>
    </row>
    <row r="297" spans="1:25" x14ac:dyDescent="0.3">
      <c r="A297" s="76">
        <v>296</v>
      </c>
      <c r="B297" s="6">
        <v>46124</v>
      </c>
      <c r="C297" s="6">
        <v>46129</v>
      </c>
      <c r="D297" s="17" t="str">
        <f t="shared" si="52"/>
        <v>April</v>
      </c>
      <c r="E297" s="5" t="str">
        <f t="shared" ca="1" si="53"/>
        <v>STU-126</v>
      </c>
      <c r="F297" s="5" t="str">
        <f ca="1">IF(COUNTIF($E$2:E297,E297)=1,"New Customer","Returning Customer")</f>
        <v>New Customer</v>
      </c>
      <c r="G297" s="5" t="str">
        <f t="shared" ca="1" si="54"/>
        <v>Not specified</v>
      </c>
      <c r="H297" s="5" t="s">
        <v>139</v>
      </c>
      <c r="I297" s="5" t="str" cm="1">
        <f t="array" aca="1" ref="I297" ca="1">INDEX(Courses!$B$9:$B$16,RANDBETWEEN(1,8))</f>
        <v>Excel Basics</v>
      </c>
      <c r="J297" s="5" t="str">
        <f ca="1">VLOOKUP(I297,Courses!$B$9:$C$16,2,0)</f>
        <v>Microsoft Office</v>
      </c>
      <c r="K297" s="7">
        <f ca="1">VLOOKUP(I297,Courses!$B$9:$D$16,3,0)</f>
        <v>29</v>
      </c>
      <c r="L297" s="5" t="str">
        <f t="shared" ca="1" si="55"/>
        <v>Paid</v>
      </c>
      <c r="M297" s="8" t="str" cm="1">
        <f t="array" aca="1" ref="M297" ca="1">INDEX('Payment Method'!$A$8:$A$12,RANDBETWEEN(1,5))</f>
        <v>Bank Transfer</v>
      </c>
      <c r="N297" s="7">
        <f>IFERROR(SUMIF(Holiday!$A$8:$A$11,B297,Holiday!$C$8:$C$11),0)</f>
        <v>0</v>
      </c>
      <c r="O297" s="7">
        <f t="shared" ca="1" si="56"/>
        <v>29</v>
      </c>
      <c r="P297" s="19">
        <f t="shared" ca="1" si="57"/>
        <v>29</v>
      </c>
      <c r="Q297" s="7">
        <f t="shared" ca="1" si="58"/>
        <v>0</v>
      </c>
      <c r="R297" s="8">
        <f ca="1">VLOOKUP(M297,'Payment Method'!$A$8:$B$12,2,0)</f>
        <v>0</v>
      </c>
      <c r="S297" s="9">
        <f t="shared" ca="1" si="48"/>
        <v>0</v>
      </c>
      <c r="T297" s="8">
        <v>0.01</v>
      </c>
      <c r="U297" s="9">
        <f t="shared" ca="1" si="49"/>
        <v>0.28999999999999915</v>
      </c>
      <c r="V297" s="7">
        <f t="shared" ca="1" si="50"/>
        <v>0</v>
      </c>
      <c r="W297" s="7">
        <f t="shared" ca="1" si="51"/>
        <v>28.71</v>
      </c>
      <c r="X297" s="5" t="str">
        <f t="shared" ca="1" si="59"/>
        <v>Instagram</v>
      </c>
      <c r="Y297" s="78">
        <f>IF(COUNTIF($C$1:C296,B296)=1,10,"")</f>
        <v>10</v>
      </c>
    </row>
    <row r="298" spans="1:25" x14ac:dyDescent="0.3">
      <c r="A298" s="75">
        <v>297</v>
      </c>
      <c r="B298" s="6">
        <v>46033</v>
      </c>
      <c r="C298" s="6">
        <v>46035</v>
      </c>
      <c r="D298" s="17" t="str">
        <f t="shared" si="52"/>
        <v>January</v>
      </c>
      <c r="E298" s="5" t="str">
        <f t="shared" ca="1" si="53"/>
        <v>STU-760</v>
      </c>
      <c r="F298" s="5" t="str">
        <f ca="1">IF(COUNTIF($E$2:E298,E298)=1,"New Customer","Returning Customer")</f>
        <v>New Customer</v>
      </c>
      <c r="G298" s="5" t="str">
        <f t="shared" ca="1" si="54"/>
        <v>Not specified</v>
      </c>
      <c r="H298" s="5" t="s">
        <v>135</v>
      </c>
      <c r="I298" s="5" t="str" cm="1">
        <f t="array" aca="1" ref="I298" ca="1">INDEX(Courses!$B$9:$B$16,RANDBETWEEN(1,8))</f>
        <v>Complete Excel Course</v>
      </c>
      <c r="J298" s="5" t="str">
        <f ca="1">VLOOKUP(I298,Courses!$B$9:$C$16,2,0)</f>
        <v>Microsoft Office</v>
      </c>
      <c r="K298" s="7">
        <f ca="1">VLOOKUP(I298,Courses!$B$9:$D$16,3,0)</f>
        <v>59</v>
      </c>
      <c r="L298" s="5" t="str">
        <f t="shared" ca="1" si="55"/>
        <v>Paid</v>
      </c>
      <c r="M298" s="8" t="str" cm="1">
        <f t="array" aca="1" ref="M298" ca="1">INDEX('Payment Method'!$A$8:$A$12,RANDBETWEEN(1,5))</f>
        <v>Visa Debit</v>
      </c>
      <c r="N298" s="7">
        <f>IFERROR(SUMIF(Holiday!$A$8:$A$11,B298,Holiday!$C$8:$C$11),0)</f>
        <v>0</v>
      </c>
      <c r="O298" s="7">
        <f t="shared" ca="1" si="56"/>
        <v>59</v>
      </c>
      <c r="P298" s="19">
        <f t="shared" ca="1" si="57"/>
        <v>57.82</v>
      </c>
      <c r="Q298" s="7">
        <f t="shared" ca="1" si="58"/>
        <v>0</v>
      </c>
      <c r="R298" s="8">
        <f ca="1">VLOOKUP(M298,'Payment Method'!$A$8:$B$12,2,0)</f>
        <v>0.02</v>
      </c>
      <c r="S298" s="9">
        <f t="shared" ca="1" si="48"/>
        <v>1.1799999999999997</v>
      </c>
      <c r="T298" s="8">
        <v>0.01</v>
      </c>
      <c r="U298" s="9">
        <f t="shared" ca="1" si="49"/>
        <v>0.57820000000000249</v>
      </c>
      <c r="V298" s="7">
        <f t="shared" ca="1" si="50"/>
        <v>0</v>
      </c>
      <c r="W298" s="7">
        <f t="shared" ca="1" si="51"/>
        <v>57.241799999999998</v>
      </c>
      <c r="X298" s="5" t="str">
        <f t="shared" ca="1" si="59"/>
        <v>Tiktok</v>
      </c>
      <c r="Y298" s="78">
        <f>IF(COUNTIF($C$1:C297,B297)=1,10,"")</f>
        <v>10</v>
      </c>
    </row>
    <row r="299" spans="1:25" x14ac:dyDescent="0.3">
      <c r="A299" s="76">
        <v>298</v>
      </c>
      <c r="B299" s="6">
        <v>46060</v>
      </c>
      <c r="C299" s="6">
        <v>46061</v>
      </c>
      <c r="D299" s="17" t="str">
        <f t="shared" si="52"/>
        <v>February</v>
      </c>
      <c r="E299" s="5" t="str">
        <f t="shared" ca="1" si="53"/>
        <v>STU-768</v>
      </c>
      <c r="F299" s="5" t="str">
        <f ca="1">IF(COUNTIF($E$2:E299,E299)=1,"New Customer","Returning Customer")</f>
        <v>New Customer</v>
      </c>
      <c r="G299" s="5" t="str">
        <f t="shared" ca="1" si="54"/>
        <v>Not specified</v>
      </c>
      <c r="H299" s="5" t="s">
        <v>142</v>
      </c>
      <c r="I299" s="5" t="str" cm="1">
        <f t="array" aca="1" ref="I299" ca="1">INDEX(Courses!$B$9:$B$16,RANDBETWEEN(1,8))</f>
        <v>Power BI</v>
      </c>
      <c r="J299" s="5" t="str">
        <f ca="1">VLOOKUP(I299,Courses!$B$9:$C$16,2,0)</f>
        <v>Data Analytics</v>
      </c>
      <c r="K299" s="7">
        <f ca="1">VLOOKUP(I299,Courses!$B$9:$D$16,3,0)</f>
        <v>59</v>
      </c>
      <c r="L299" s="5" t="str">
        <f t="shared" ca="1" si="55"/>
        <v>Pending</v>
      </c>
      <c r="M299" s="8" t="str" cm="1">
        <f t="array" aca="1" ref="M299" ca="1">INDEX('Payment Method'!$A$8:$A$12,RANDBETWEEN(1,5))</f>
        <v>Visa Debit</v>
      </c>
      <c r="N299" s="7">
        <f>IFERROR(SUMIF(Holiday!$A$8:$A$11,B299,Holiday!$C$8:$C$11),0)</f>
        <v>0</v>
      </c>
      <c r="O299" s="7">
        <f t="shared" ca="1" si="56"/>
        <v>59</v>
      </c>
      <c r="P299" s="19">
        <f t="shared" ca="1" si="57"/>
        <v>57.82</v>
      </c>
      <c r="Q299" s="7">
        <f t="shared" ca="1" si="58"/>
        <v>57.241799999999998</v>
      </c>
      <c r="R299" s="8">
        <f ca="1">VLOOKUP(M299,'Payment Method'!$A$8:$B$12,2,0)</f>
        <v>0.02</v>
      </c>
      <c r="S299" s="9">
        <f t="shared" ca="1" si="48"/>
        <v>1.1799999999999997</v>
      </c>
      <c r="T299" s="8">
        <v>0.01</v>
      </c>
      <c r="U299" s="9">
        <f t="shared" ca="1" si="49"/>
        <v>0.57820000000000249</v>
      </c>
      <c r="V299" s="7">
        <f t="shared" ca="1" si="50"/>
        <v>0</v>
      </c>
      <c r="W299" s="7">
        <f t="shared" ca="1" si="51"/>
        <v>0</v>
      </c>
      <c r="X299" s="5" t="str">
        <f t="shared" ca="1" si="59"/>
        <v>Tiktok</v>
      </c>
      <c r="Y299" s="78" t="str">
        <f>IF(COUNTIF($C$1:C298,B298)=1,10,"")</f>
        <v/>
      </c>
    </row>
    <row r="300" spans="1:25" x14ac:dyDescent="0.3">
      <c r="A300" s="75">
        <v>299</v>
      </c>
      <c r="B300" s="6">
        <v>46060</v>
      </c>
      <c r="C300" s="6">
        <v>46061</v>
      </c>
      <c r="D300" s="17" t="str">
        <f t="shared" si="52"/>
        <v>February</v>
      </c>
      <c r="E300" s="5" t="str">
        <f t="shared" ca="1" si="53"/>
        <v>STU-711</v>
      </c>
      <c r="F300" s="5" t="str">
        <f ca="1">IF(COUNTIF($E$2:E300,E300)=1,"New Customer","Returning Customer")</f>
        <v>New Customer</v>
      </c>
      <c r="G300" s="5" t="str">
        <f t="shared" ca="1" si="54"/>
        <v>Male</v>
      </c>
      <c r="H300" s="5" t="s">
        <v>135</v>
      </c>
      <c r="I300" s="5" t="str" cm="1">
        <f t="array" aca="1" ref="I300" ca="1">INDEX(Courses!$B$9:$B$16,RANDBETWEEN(1,8))</f>
        <v>Tax Code</v>
      </c>
      <c r="J300" s="5" t="str">
        <f ca="1">VLOOKUP(I300,Courses!$B$9:$C$16,2,0)</f>
        <v>Finance &amp; Taxation</v>
      </c>
      <c r="K300" s="7">
        <f ca="1">VLOOKUP(I300,Courses!$B$9:$D$16,3,0)</f>
        <v>59</v>
      </c>
      <c r="L300" s="5" t="str">
        <f t="shared" ca="1" si="55"/>
        <v>Paid</v>
      </c>
      <c r="M300" s="8" t="str" cm="1">
        <f t="array" aca="1" ref="M300" ca="1">INDEX('Payment Method'!$A$8:$A$12,RANDBETWEEN(1,5))</f>
        <v>Visa Credit</v>
      </c>
      <c r="N300" s="7">
        <f>IFERROR(SUMIF(Holiday!$A$8:$A$11,B300,Holiday!$C$8:$C$11),0)</f>
        <v>0</v>
      </c>
      <c r="O300" s="7">
        <f t="shared" ca="1" si="56"/>
        <v>59</v>
      </c>
      <c r="P300" s="19">
        <f t="shared" ca="1" si="57"/>
        <v>56.935000000000002</v>
      </c>
      <c r="Q300" s="7">
        <f t="shared" ca="1" si="58"/>
        <v>0</v>
      </c>
      <c r="R300" s="8">
        <f ca="1">VLOOKUP(M300,'Payment Method'!$A$8:$B$12,2,0)</f>
        <v>3.5000000000000003E-2</v>
      </c>
      <c r="S300" s="9">
        <f t="shared" ca="1" si="48"/>
        <v>2.0649999999999977</v>
      </c>
      <c r="T300" s="8">
        <v>0.01</v>
      </c>
      <c r="U300" s="9">
        <f t="shared" ca="1" si="49"/>
        <v>0.56935000000000002</v>
      </c>
      <c r="V300" s="7">
        <f t="shared" ca="1" si="50"/>
        <v>0</v>
      </c>
      <c r="W300" s="7">
        <f t="shared" ca="1" si="51"/>
        <v>56.365650000000002</v>
      </c>
      <c r="X300" s="5" t="str">
        <f t="shared" ca="1" si="59"/>
        <v>Facebook</v>
      </c>
      <c r="Y300" s="78" t="str">
        <f>IF(COUNTIF($C$1:C299,B299)=1,10,"")</f>
        <v/>
      </c>
    </row>
    <row r="301" spans="1:25" x14ac:dyDescent="0.3">
      <c r="A301" s="76">
        <v>300</v>
      </c>
      <c r="B301" s="6">
        <v>46202</v>
      </c>
      <c r="C301" s="6">
        <v>46205</v>
      </c>
      <c r="D301" s="17" t="str">
        <f t="shared" si="52"/>
        <v>July</v>
      </c>
      <c r="E301" s="5" t="str">
        <f t="shared" ca="1" si="53"/>
        <v>STU-85</v>
      </c>
      <c r="F301" s="5" t="str">
        <f ca="1">IF(COUNTIF($E$2:E301,E301)=1,"New Customer","Returning Customer")</f>
        <v>New Customer</v>
      </c>
      <c r="G301" s="5" t="str">
        <f t="shared" ca="1" si="54"/>
        <v>Not specified</v>
      </c>
      <c r="H301" s="5" t="s">
        <v>141</v>
      </c>
      <c r="I301" s="5" t="str" cm="1">
        <f t="array" aca="1" ref="I301" ca="1">INDEX(Courses!$B$9:$B$16,RANDBETWEEN(1,8))</f>
        <v>Adolescent Psychology</v>
      </c>
      <c r="J301" s="5" t="str">
        <f ca="1">VLOOKUP(I301,Courses!$B$9:$C$16,2,0)</f>
        <v>Psychology</v>
      </c>
      <c r="K301" s="7">
        <f ca="1">VLOOKUP(I301,Courses!$B$9:$D$16,3,0)</f>
        <v>29</v>
      </c>
      <c r="L301" s="5" t="str">
        <f t="shared" ca="1" si="55"/>
        <v>Pending</v>
      </c>
      <c r="M301" s="8" t="str" cm="1">
        <f t="array" aca="1" ref="M301" ca="1">INDEX('Payment Method'!$A$8:$A$12,RANDBETWEEN(1,5))</f>
        <v>Visa Credit</v>
      </c>
      <c r="N301" s="7">
        <f>IFERROR(SUMIF(Holiday!$A$8:$A$11,B301,Holiday!$C$8:$C$11),0)</f>
        <v>0</v>
      </c>
      <c r="O301" s="7">
        <f t="shared" ca="1" si="56"/>
        <v>29</v>
      </c>
      <c r="P301" s="19">
        <f t="shared" ca="1" si="57"/>
        <v>27.984999999999999</v>
      </c>
      <c r="Q301" s="7">
        <f t="shared" ca="1" si="58"/>
        <v>27.70515</v>
      </c>
      <c r="R301" s="8">
        <f ca="1">VLOOKUP(M301,'Payment Method'!$A$8:$B$12,2,0)</f>
        <v>3.5000000000000003E-2</v>
      </c>
      <c r="S301" s="9">
        <f t="shared" ca="1" si="48"/>
        <v>1.0150000000000006</v>
      </c>
      <c r="T301" s="8">
        <v>0.01</v>
      </c>
      <c r="U301" s="9">
        <f t="shared" ca="1" si="49"/>
        <v>0.27984999999999971</v>
      </c>
      <c r="V301" s="7">
        <f t="shared" ca="1" si="50"/>
        <v>0</v>
      </c>
      <c r="W301" s="7">
        <f t="shared" ca="1" si="51"/>
        <v>0</v>
      </c>
      <c r="X301" s="5" t="str">
        <f t="shared" ca="1" si="59"/>
        <v>Facebook</v>
      </c>
      <c r="Y301" s="78" t="str">
        <f>IF(COUNTIF($C$1:C300,B300)=1,10,"")</f>
        <v/>
      </c>
    </row>
    <row r="302" spans="1:25" x14ac:dyDescent="0.3">
      <c r="A302" s="75">
        <v>301</v>
      </c>
      <c r="B302" s="6">
        <v>46168</v>
      </c>
      <c r="C302" s="6">
        <v>46172</v>
      </c>
      <c r="D302" s="17" t="str">
        <f t="shared" si="52"/>
        <v>May</v>
      </c>
      <c r="E302" s="5" t="str">
        <f t="shared" ca="1" si="53"/>
        <v>STU-253</v>
      </c>
      <c r="F302" s="5" t="str">
        <f ca="1">IF(COUNTIF($E$2:E302,E302)=1,"New Customer","Returning Customer")</f>
        <v>New Customer</v>
      </c>
      <c r="G302" s="5" t="str">
        <f t="shared" ca="1" si="54"/>
        <v>Female</v>
      </c>
      <c r="H302" s="5" t="s">
        <v>138</v>
      </c>
      <c r="I302" s="5" t="str" cm="1">
        <f t="array" aca="1" ref="I302" ca="1">INDEX(Courses!$B$9:$B$16,RANDBETWEEN(1,8))</f>
        <v>Complete Excel Course</v>
      </c>
      <c r="J302" s="5" t="str">
        <f ca="1">VLOOKUP(I302,Courses!$B$9:$C$16,2,0)</f>
        <v>Microsoft Office</v>
      </c>
      <c r="K302" s="7">
        <f ca="1">VLOOKUP(I302,Courses!$B$9:$D$16,3,0)</f>
        <v>59</v>
      </c>
      <c r="L302" s="5" t="str">
        <f t="shared" ca="1" si="55"/>
        <v>Paid</v>
      </c>
      <c r="M302" s="8" t="str" cm="1">
        <f t="array" aca="1" ref="M302" ca="1">INDEX('Payment Method'!$A$8:$A$12,RANDBETWEEN(1,5))</f>
        <v>Visa Credit</v>
      </c>
      <c r="N302" s="7">
        <f>IFERROR(SUMIF(Holiday!$A$8:$A$11,B302,Holiday!$C$8:$C$11),0)</f>
        <v>0</v>
      </c>
      <c r="O302" s="7">
        <f t="shared" ca="1" si="56"/>
        <v>59</v>
      </c>
      <c r="P302" s="19">
        <f t="shared" ca="1" si="57"/>
        <v>56.935000000000002</v>
      </c>
      <c r="Q302" s="7">
        <f t="shared" ca="1" si="58"/>
        <v>0</v>
      </c>
      <c r="R302" s="8">
        <f ca="1">VLOOKUP(M302,'Payment Method'!$A$8:$B$12,2,0)</f>
        <v>3.5000000000000003E-2</v>
      </c>
      <c r="S302" s="9">
        <f t="shared" ca="1" si="48"/>
        <v>2.0649999999999977</v>
      </c>
      <c r="T302" s="8">
        <v>0.01</v>
      </c>
      <c r="U302" s="9">
        <f t="shared" ca="1" si="49"/>
        <v>0.56935000000000002</v>
      </c>
      <c r="V302" s="7">
        <f t="shared" ca="1" si="50"/>
        <v>0</v>
      </c>
      <c r="W302" s="7">
        <f t="shared" ca="1" si="51"/>
        <v>56.365650000000002</v>
      </c>
      <c r="X302" s="5" t="str">
        <f t="shared" ca="1" si="59"/>
        <v>Tiktok</v>
      </c>
      <c r="Y302" s="78" t="str">
        <f>IF(COUNTIF($C$1:C301,B301)=1,10,"")</f>
        <v/>
      </c>
    </row>
    <row r="303" spans="1:25" x14ac:dyDescent="0.3">
      <c r="A303" s="76">
        <v>302</v>
      </c>
      <c r="B303" s="6">
        <v>46076</v>
      </c>
      <c r="C303" s="6">
        <v>46079</v>
      </c>
      <c r="D303" s="17" t="str">
        <f t="shared" si="52"/>
        <v>February</v>
      </c>
      <c r="E303" s="5" t="str">
        <f t="shared" ca="1" si="53"/>
        <v>STU-855</v>
      </c>
      <c r="F303" s="5" t="str">
        <f ca="1">IF(COUNTIF($E$2:E303,E303)=1,"New Customer","Returning Customer")</f>
        <v>New Customer</v>
      </c>
      <c r="G303" s="5" t="str">
        <f t="shared" ca="1" si="54"/>
        <v>Not specified</v>
      </c>
      <c r="H303" s="5" t="s">
        <v>142</v>
      </c>
      <c r="I303" s="5" t="str" cm="1">
        <f t="array" aca="1" ref="I303" ca="1">INDEX(Courses!$B$9:$B$16,RANDBETWEEN(1,8))</f>
        <v>Tax Code</v>
      </c>
      <c r="J303" s="5" t="str">
        <f ca="1">VLOOKUP(I303,Courses!$B$9:$C$16,2,0)</f>
        <v>Finance &amp; Taxation</v>
      </c>
      <c r="K303" s="7">
        <f ca="1">VLOOKUP(I303,Courses!$B$9:$D$16,3,0)</f>
        <v>59</v>
      </c>
      <c r="L303" s="5" t="str">
        <f t="shared" ca="1" si="55"/>
        <v>Paid</v>
      </c>
      <c r="M303" s="8" t="str" cm="1">
        <f t="array" aca="1" ref="M303" ca="1">INDEX('Payment Method'!$A$8:$A$12,RANDBETWEEN(1,5))</f>
        <v>Bank Transfer</v>
      </c>
      <c r="N303" s="7">
        <f>IFERROR(SUMIF(Holiday!$A$8:$A$11,B303,Holiday!$C$8:$C$11),0)</f>
        <v>0</v>
      </c>
      <c r="O303" s="7">
        <f t="shared" ca="1" si="56"/>
        <v>59</v>
      </c>
      <c r="P303" s="19">
        <f t="shared" ca="1" si="57"/>
        <v>59</v>
      </c>
      <c r="Q303" s="7">
        <f t="shared" ca="1" si="58"/>
        <v>0</v>
      </c>
      <c r="R303" s="8">
        <f ca="1">VLOOKUP(M303,'Payment Method'!$A$8:$B$12,2,0)</f>
        <v>0</v>
      </c>
      <c r="S303" s="9">
        <f t="shared" ca="1" si="48"/>
        <v>0</v>
      </c>
      <c r="T303" s="8">
        <v>0.01</v>
      </c>
      <c r="U303" s="9">
        <f t="shared" ca="1" si="49"/>
        <v>0.59000000000000341</v>
      </c>
      <c r="V303" s="7">
        <f t="shared" ca="1" si="50"/>
        <v>0</v>
      </c>
      <c r="W303" s="7">
        <f t="shared" ca="1" si="51"/>
        <v>58.41</v>
      </c>
      <c r="X303" s="5" t="str">
        <f t="shared" ca="1" si="59"/>
        <v>Tiktok</v>
      </c>
      <c r="Y303" s="78" t="str">
        <f>IF(COUNTIF($C$1:C302,B302)=1,10,"")</f>
        <v/>
      </c>
    </row>
    <row r="304" spans="1:25" x14ac:dyDescent="0.3">
      <c r="A304" s="75">
        <v>303</v>
      </c>
      <c r="B304" s="6">
        <v>46160</v>
      </c>
      <c r="C304" s="6">
        <v>46163</v>
      </c>
      <c r="D304" s="17" t="str">
        <f t="shared" si="52"/>
        <v>May</v>
      </c>
      <c r="E304" s="5" t="str">
        <f t="shared" ca="1" si="53"/>
        <v>STU-508</v>
      </c>
      <c r="F304" s="5" t="str">
        <f ca="1">IF(COUNTIF($E$2:E304,E304)=1,"New Customer","Returning Customer")</f>
        <v>New Customer</v>
      </c>
      <c r="G304" s="5" t="str">
        <f t="shared" ca="1" si="54"/>
        <v>Male</v>
      </c>
      <c r="H304" s="5" t="s">
        <v>137</v>
      </c>
      <c r="I304" s="5" t="str" cm="1">
        <f t="array" aca="1" ref="I304" ca="1">INDEX(Courses!$B$9:$B$16,RANDBETWEEN(1,8))</f>
        <v>Power BI</v>
      </c>
      <c r="J304" s="5" t="str">
        <f ca="1">VLOOKUP(I304,Courses!$B$9:$C$16,2,0)</f>
        <v>Data Analytics</v>
      </c>
      <c r="K304" s="7">
        <f ca="1">VLOOKUP(I304,Courses!$B$9:$D$16,3,0)</f>
        <v>59</v>
      </c>
      <c r="L304" s="5" t="str">
        <f t="shared" ca="1" si="55"/>
        <v>Pending</v>
      </c>
      <c r="M304" s="8" t="str" cm="1">
        <f t="array" aca="1" ref="M304" ca="1">INDEX('Payment Method'!$A$8:$A$12,RANDBETWEEN(1,5))</f>
        <v>Visa Credit</v>
      </c>
      <c r="N304" s="7">
        <f>IFERROR(SUMIF(Holiday!$A$8:$A$11,B304,Holiday!$C$8:$C$11),0)</f>
        <v>0</v>
      </c>
      <c r="O304" s="7">
        <f t="shared" ca="1" si="56"/>
        <v>59</v>
      </c>
      <c r="P304" s="19">
        <f t="shared" ca="1" si="57"/>
        <v>56.935000000000002</v>
      </c>
      <c r="Q304" s="7">
        <f t="shared" ca="1" si="58"/>
        <v>56.365650000000002</v>
      </c>
      <c r="R304" s="8">
        <f ca="1">VLOOKUP(M304,'Payment Method'!$A$8:$B$12,2,0)</f>
        <v>3.5000000000000003E-2</v>
      </c>
      <c r="S304" s="9">
        <f t="shared" ca="1" si="48"/>
        <v>2.0649999999999977</v>
      </c>
      <c r="T304" s="8">
        <v>0.01</v>
      </c>
      <c r="U304" s="9">
        <f t="shared" ca="1" si="49"/>
        <v>0.56935000000000002</v>
      </c>
      <c r="V304" s="7">
        <f t="shared" ca="1" si="50"/>
        <v>0</v>
      </c>
      <c r="W304" s="7">
        <f t="shared" ca="1" si="51"/>
        <v>0</v>
      </c>
      <c r="X304" s="5" t="str">
        <f t="shared" ca="1" si="59"/>
        <v>Instagram</v>
      </c>
      <c r="Y304" s="78">
        <f>IF(COUNTIF($C$1:C303,B303)=1,10,"")</f>
        <v>10</v>
      </c>
    </row>
    <row r="305" spans="1:25" x14ac:dyDescent="0.3">
      <c r="A305" s="76">
        <v>304</v>
      </c>
      <c r="B305" s="6">
        <v>46225</v>
      </c>
      <c r="C305" s="6">
        <v>46228</v>
      </c>
      <c r="D305" s="17" t="str">
        <f t="shared" si="52"/>
        <v>July</v>
      </c>
      <c r="E305" s="5" t="str">
        <f t="shared" ca="1" si="53"/>
        <v>STU-56</v>
      </c>
      <c r="F305" s="5" t="str">
        <f ca="1">IF(COUNTIF($E$2:E305,E305)=1,"New Customer","Returning Customer")</f>
        <v>New Customer</v>
      </c>
      <c r="G305" s="5" t="str">
        <f t="shared" ca="1" si="54"/>
        <v>Male</v>
      </c>
      <c r="H305" s="5" t="s">
        <v>135</v>
      </c>
      <c r="I305" s="5" t="str" cm="1">
        <f t="array" aca="1" ref="I305" ca="1">INDEX(Courses!$B$9:$B$16,RANDBETWEEN(1,8))</f>
        <v>SQL</v>
      </c>
      <c r="J305" s="5" t="str">
        <f ca="1">VLOOKUP(I305,Courses!$B$9:$C$16,2,0)</f>
        <v>Data Analytics</v>
      </c>
      <c r="K305" s="7">
        <f ca="1">VLOOKUP(I305,Courses!$B$9:$D$16,3,0)</f>
        <v>99</v>
      </c>
      <c r="L305" s="5" t="str">
        <f t="shared" ca="1" si="55"/>
        <v>Pending</v>
      </c>
      <c r="M305" s="8" t="str" cm="1">
        <f t="array" aca="1" ref="M305" ca="1">INDEX('Payment Method'!$A$8:$A$12,RANDBETWEEN(1,5))</f>
        <v>Mastercard Debit</v>
      </c>
      <c r="N305" s="7">
        <f>IFERROR(SUMIF(Holiday!$A$8:$A$11,B305,Holiday!$C$8:$C$11),0)</f>
        <v>0</v>
      </c>
      <c r="O305" s="7">
        <f t="shared" ca="1" si="56"/>
        <v>99</v>
      </c>
      <c r="P305" s="19">
        <f t="shared" ca="1" si="57"/>
        <v>97.02</v>
      </c>
      <c r="Q305" s="7">
        <f t="shared" ca="1" si="58"/>
        <v>96.049799999999991</v>
      </c>
      <c r="R305" s="8">
        <f ca="1">VLOOKUP(M305,'Payment Method'!$A$8:$B$12,2,0)</f>
        <v>0.02</v>
      </c>
      <c r="S305" s="9">
        <f t="shared" ca="1" si="48"/>
        <v>1.980000000000004</v>
      </c>
      <c r="T305" s="8">
        <v>0.01</v>
      </c>
      <c r="U305" s="9">
        <f t="shared" ca="1" si="49"/>
        <v>0.9702000000000055</v>
      </c>
      <c r="V305" s="7">
        <f t="shared" ca="1" si="50"/>
        <v>0</v>
      </c>
      <c r="W305" s="7">
        <f t="shared" ca="1" si="51"/>
        <v>0</v>
      </c>
      <c r="X305" s="5" t="str">
        <f t="shared" ca="1" si="59"/>
        <v>Instagram</v>
      </c>
      <c r="Y305" s="78">
        <f>IF(COUNTIF($C$1:C304,B304)=1,10,"")</f>
        <v>10</v>
      </c>
    </row>
    <row r="306" spans="1:25" x14ac:dyDescent="0.3">
      <c r="A306" s="75">
        <v>305</v>
      </c>
      <c r="B306" s="6">
        <v>46223</v>
      </c>
      <c r="C306" s="6">
        <v>46223</v>
      </c>
      <c r="D306" s="17" t="str">
        <f t="shared" si="52"/>
        <v>July</v>
      </c>
      <c r="E306" s="5" t="str">
        <f t="shared" ca="1" si="53"/>
        <v>STU-532</v>
      </c>
      <c r="F306" s="5" t="str">
        <f ca="1">IF(COUNTIF($E$2:E306,E306)=1,"New Customer","Returning Customer")</f>
        <v>New Customer</v>
      </c>
      <c r="G306" s="5" t="str">
        <f t="shared" ca="1" si="54"/>
        <v>Female</v>
      </c>
      <c r="H306" s="5" t="s">
        <v>141</v>
      </c>
      <c r="I306" s="5" t="str" cm="1">
        <f t="array" aca="1" ref="I306" ca="1">INDEX(Courses!$B$9:$B$16,RANDBETWEEN(1,8))</f>
        <v>PowerPoint</v>
      </c>
      <c r="J306" s="5" t="str">
        <f ca="1">VLOOKUP(I306,Courses!$B$9:$C$16,2,0)</f>
        <v>Microsoft Office</v>
      </c>
      <c r="K306" s="7">
        <f ca="1">VLOOKUP(I306,Courses!$B$9:$D$16,3,0)</f>
        <v>29</v>
      </c>
      <c r="L306" s="5" t="str">
        <f t="shared" ca="1" si="55"/>
        <v>Pending</v>
      </c>
      <c r="M306" s="8" t="str" cm="1">
        <f t="array" aca="1" ref="M306" ca="1">INDEX('Payment Method'!$A$8:$A$12,RANDBETWEEN(1,5))</f>
        <v>Visa Credit</v>
      </c>
      <c r="N306" s="7">
        <f>IFERROR(SUMIF(Holiday!$A$8:$A$11,B306,Holiday!$C$8:$C$11),0)</f>
        <v>0</v>
      </c>
      <c r="O306" s="7">
        <f t="shared" ca="1" si="56"/>
        <v>29</v>
      </c>
      <c r="P306" s="19">
        <f t="shared" ca="1" si="57"/>
        <v>27.984999999999999</v>
      </c>
      <c r="Q306" s="7">
        <f t="shared" ca="1" si="58"/>
        <v>27.70515</v>
      </c>
      <c r="R306" s="8">
        <f ca="1">VLOOKUP(M306,'Payment Method'!$A$8:$B$12,2,0)</f>
        <v>3.5000000000000003E-2</v>
      </c>
      <c r="S306" s="9">
        <f t="shared" ca="1" si="48"/>
        <v>1.0150000000000006</v>
      </c>
      <c r="T306" s="8">
        <v>0.01</v>
      </c>
      <c r="U306" s="9">
        <f t="shared" ca="1" si="49"/>
        <v>0.27984999999999971</v>
      </c>
      <c r="V306" s="7">
        <f t="shared" ca="1" si="50"/>
        <v>0</v>
      </c>
      <c r="W306" s="7">
        <f t="shared" ca="1" si="51"/>
        <v>0</v>
      </c>
      <c r="X306" s="5" t="str">
        <f t="shared" ca="1" si="59"/>
        <v>Facebook</v>
      </c>
      <c r="Y306" s="78" t="str">
        <f>IF(COUNTIF($C$1:C305,B305)=1,10,"")</f>
        <v/>
      </c>
    </row>
    <row r="307" spans="1:25" x14ac:dyDescent="0.3">
      <c r="A307" s="76">
        <v>306</v>
      </c>
      <c r="B307" s="6">
        <v>46233</v>
      </c>
      <c r="C307" s="6">
        <v>46223</v>
      </c>
      <c r="D307" s="17" t="str">
        <f t="shared" si="52"/>
        <v>July</v>
      </c>
      <c r="E307" s="5" t="str">
        <f t="shared" ca="1" si="53"/>
        <v>STU-485</v>
      </c>
      <c r="F307" s="5" t="str">
        <f ca="1">IF(COUNTIF($E$2:E307,E307)=1,"New Customer","Returning Customer")</f>
        <v>New Customer</v>
      </c>
      <c r="G307" s="5" t="str">
        <f t="shared" ca="1" si="54"/>
        <v>Male</v>
      </c>
      <c r="H307" s="5" t="s">
        <v>136</v>
      </c>
      <c r="I307" s="5" t="str" cm="1">
        <f t="array" aca="1" ref="I307" ca="1">INDEX(Courses!$B$9:$B$16,RANDBETWEEN(1,8))</f>
        <v>Power BI</v>
      </c>
      <c r="J307" s="5" t="str">
        <f ca="1">VLOOKUP(I307,Courses!$B$9:$C$16,2,0)</f>
        <v>Data Analytics</v>
      </c>
      <c r="K307" s="7">
        <f ca="1">VLOOKUP(I307,Courses!$B$9:$D$16,3,0)</f>
        <v>59</v>
      </c>
      <c r="L307" s="5" t="str">
        <f t="shared" ca="1" si="55"/>
        <v>Refunded</v>
      </c>
      <c r="M307" s="8" t="str" cm="1">
        <f t="array" aca="1" ref="M307" ca="1">INDEX('Payment Method'!$A$8:$A$12,RANDBETWEEN(1,5))</f>
        <v>Mastercard Debit</v>
      </c>
      <c r="N307" s="7">
        <f>IFERROR(SUMIF(Holiday!$A$8:$A$11,B307,Holiday!$C$8:$C$11),0)</f>
        <v>0</v>
      </c>
      <c r="O307" s="7">
        <f t="shared" ca="1" si="56"/>
        <v>59</v>
      </c>
      <c r="P307" s="19">
        <f t="shared" ca="1" si="57"/>
        <v>57.82</v>
      </c>
      <c r="Q307" s="7">
        <f t="shared" ca="1" si="58"/>
        <v>0</v>
      </c>
      <c r="R307" s="8">
        <f ca="1">VLOOKUP(M307,'Payment Method'!$A$8:$B$12,2,0)</f>
        <v>0.02</v>
      </c>
      <c r="S307" s="9">
        <f t="shared" ca="1" si="48"/>
        <v>1.1799999999999997</v>
      </c>
      <c r="T307" s="8">
        <v>0.01</v>
      </c>
      <c r="U307" s="9">
        <f t="shared" ca="1" si="49"/>
        <v>0.57820000000000249</v>
      </c>
      <c r="V307" s="7">
        <f t="shared" ca="1" si="50"/>
        <v>57.241799999999998</v>
      </c>
      <c r="W307" s="7">
        <f t="shared" ca="1" si="51"/>
        <v>0</v>
      </c>
      <c r="X307" s="5" t="str">
        <f t="shared" ca="1" si="59"/>
        <v>Facebook</v>
      </c>
      <c r="Y307" s="78" t="str">
        <f>IF(COUNTIF($C$1:C306,B306)=1,10,"")</f>
        <v/>
      </c>
    </row>
    <row r="308" spans="1:25" x14ac:dyDescent="0.3">
      <c r="A308" s="75">
        <v>307</v>
      </c>
      <c r="B308" s="6">
        <v>46183</v>
      </c>
      <c r="C308" s="6">
        <v>46188</v>
      </c>
      <c r="D308" s="17" t="str">
        <f t="shared" si="52"/>
        <v>June</v>
      </c>
      <c r="E308" s="5" t="str">
        <f t="shared" ca="1" si="53"/>
        <v>STU-730</v>
      </c>
      <c r="F308" s="5" t="str">
        <f ca="1">IF(COUNTIF($E$2:E308,E308)=1,"New Customer","Returning Customer")</f>
        <v>New Customer</v>
      </c>
      <c r="G308" s="5" t="str">
        <f t="shared" ca="1" si="54"/>
        <v>Not specified</v>
      </c>
      <c r="H308" s="5" t="s">
        <v>139</v>
      </c>
      <c r="I308" s="5" t="str" cm="1">
        <f t="array" aca="1" ref="I308" ca="1">INDEX(Courses!$B$9:$B$16,RANDBETWEEN(1,8))</f>
        <v>SQL</v>
      </c>
      <c r="J308" s="5" t="str">
        <f ca="1">VLOOKUP(I308,Courses!$B$9:$C$16,2,0)</f>
        <v>Data Analytics</v>
      </c>
      <c r="K308" s="7">
        <f ca="1">VLOOKUP(I308,Courses!$B$9:$D$16,3,0)</f>
        <v>99</v>
      </c>
      <c r="L308" s="5" t="str">
        <f t="shared" ca="1" si="55"/>
        <v>Paid</v>
      </c>
      <c r="M308" s="8" t="str" cm="1">
        <f t="array" aca="1" ref="M308" ca="1">INDEX('Payment Method'!$A$8:$A$12,RANDBETWEEN(1,5))</f>
        <v>Visa Debit</v>
      </c>
      <c r="N308" s="7">
        <f>IFERROR(SUMIF(Holiday!$A$8:$A$11,B308,Holiday!$C$8:$C$11),0)</f>
        <v>0</v>
      </c>
      <c r="O308" s="7">
        <f t="shared" ca="1" si="56"/>
        <v>99</v>
      </c>
      <c r="P308" s="19">
        <f t="shared" ca="1" si="57"/>
        <v>97.02</v>
      </c>
      <c r="Q308" s="7">
        <f t="shared" ca="1" si="58"/>
        <v>0</v>
      </c>
      <c r="R308" s="8">
        <f ca="1">VLOOKUP(M308,'Payment Method'!$A$8:$B$12,2,0)</f>
        <v>0.02</v>
      </c>
      <c r="S308" s="9">
        <f t="shared" ca="1" si="48"/>
        <v>1.980000000000004</v>
      </c>
      <c r="T308" s="8">
        <v>0.01</v>
      </c>
      <c r="U308" s="9">
        <f t="shared" ca="1" si="49"/>
        <v>0.9702000000000055</v>
      </c>
      <c r="V308" s="7">
        <f t="shared" ca="1" si="50"/>
        <v>0</v>
      </c>
      <c r="W308" s="7">
        <f t="shared" ca="1" si="51"/>
        <v>96.049799999999991</v>
      </c>
      <c r="X308" s="5" t="str">
        <f t="shared" ca="1" si="59"/>
        <v>Tiktok</v>
      </c>
      <c r="Y308" s="78" t="str">
        <f>IF(COUNTIF($C$1:C307,B307)=1,10,"")</f>
        <v/>
      </c>
    </row>
    <row r="309" spans="1:25" x14ac:dyDescent="0.3">
      <c r="A309" s="76">
        <v>308</v>
      </c>
      <c r="B309" s="6">
        <v>46197</v>
      </c>
      <c r="C309" s="6">
        <v>46202</v>
      </c>
      <c r="D309" s="17" t="str">
        <f t="shared" si="52"/>
        <v>June</v>
      </c>
      <c r="E309" s="5" t="str">
        <f t="shared" ca="1" si="53"/>
        <v>STU-526</v>
      </c>
      <c r="F309" s="5" t="str">
        <f ca="1">IF(COUNTIF($E$2:E309,E309)=1,"New Customer","Returning Customer")</f>
        <v>New Customer</v>
      </c>
      <c r="G309" s="5" t="str">
        <f t="shared" ca="1" si="54"/>
        <v>Male</v>
      </c>
      <c r="H309" s="5" t="s">
        <v>137</v>
      </c>
      <c r="I309" s="5" t="str" cm="1">
        <f t="array" aca="1" ref="I309" ca="1">INDEX(Courses!$B$9:$B$16,RANDBETWEEN(1,8))</f>
        <v>Power BI</v>
      </c>
      <c r="J309" s="5" t="str">
        <f ca="1">VLOOKUP(I309,Courses!$B$9:$C$16,2,0)</f>
        <v>Data Analytics</v>
      </c>
      <c r="K309" s="7">
        <f ca="1">VLOOKUP(I309,Courses!$B$9:$D$16,3,0)</f>
        <v>59</v>
      </c>
      <c r="L309" s="5" t="str">
        <f t="shared" ca="1" si="55"/>
        <v>Refunded</v>
      </c>
      <c r="M309" s="8" t="str" cm="1">
        <f t="array" aca="1" ref="M309" ca="1">INDEX('Payment Method'!$A$8:$A$12,RANDBETWEEN(1,5))</f>
        <v>Visa Debit</v>
      </c>
      <c r="N309" s="7">
        <f>IFERROR(SUMIF(Holiday!$A$8:$A$11,B309,Holiday!$C$8:$C$11),0)</f>
        <v>0</v>
      </c>
      <c r="O309" s="7">
        <f t="shared" ca="1" si="56"/>
        <v>59</v>
      </c>
      <c r="P309" s="19">
        <f t="shared" ca="1" si="57"/>
        <v>57.82</v>
      </c>
      <c r="Q309" s="7">
        <f t="shared" ca="1" si="58"/>
        <v>0</v>
      </c>
      <c r="R309" s="8">
        <f ca="1">VLOOKUP(M309,'Payment Method'!$A$8:$B$12,2,0)</f>
        <v>0.02</v>
      </c>
      <c r="S309" s="9">
        <f t="shared" ca="1" si="48"/>
        <v>1.1799999999999997</v>
      </c>
      <c r="T309" s="8">
        <v>0.01</v>
      </c>
      <c r="U309" s="9">
        <f t="shared" ca="1" si="49"/>
        <v>0.57820000000000249</v>
      </c>
      <c r="V309" s="7">
        <f t="shared" ca="1" si="50"/>
        <v>57.241799999999998</v>
      </c>
      <c r="W309" s="7">
        <f t="shared" ca="1" si="51"/>
        <v>0</v>
      </c>
      <c r="X309" s="5" t="str">
        <f t="shared" ca="1" si="59"/>
        <v>Tiktok</v>
      </c>
      <c r="Y309" s="78" t="str">
        <f>IF(COUNTIF($C$1:C308,B308)=1,10,"")</f>
        <v/>
      </c>
    </row>
    <row r="310" spans="1:25" x14ac:dyDescent="0.3">
      <c r="A310" s="75">
        <v>309</v>
      </c>
      <c r="B310" s="6">
        <v>46026</v>
      </c>
      <c r="C310" s="6">
        <v>46027</v>
      </c>
      <c r="D310" s="17" t="str">
        <f t="shared" si="52"/>
        <v>January</v>
      </c>
      <c r="E310" s="5" t="str">
        <f t="shared" ca="1" si="53"/>
        <v>STU-228</v>
      </c>
      <c r="F310" s="5" t="str">
        <f ca="1">IF(COUNTIF($E$2:E310,E310)=1,"New Customer","Returning Customer")</f>
        <v>Returning Customer</v>
      </c>
      <c r="G310" s="5" t="str">
        <f t="shared" ca="1" si="54"/>
        <v>Female</v>
      </c>
      <c r="H310" s="5" t="s">
        <v>138</v>
      </c>
      <c r="I310" s="5" t="str" cm="1">
        <f t="array" aca="1" ref="I310" ca="1">INDEX(Courses!$B$9:$B$16,RANDBETWEEN(1,8))</f>
        <v>Complete Excel Course</v>
      </c>
      <c r="J310" s="5" t="str">
        <f ca="1">VLOOKUP(I310,Courses!$B$9:$C$16,2,0)</f>
        <v>Microsoft Office</v>
      </c>
      <c r="K310" s="7">
        <f ca="1">VLOOKUP(I310,Courses!$B$9:$D$16,3,0)</f>
        <v>59</v>
      </c>
      <c r="L310" s="5" t="str">
        <f t="shared" ca="1" si="55"/>
        <v>Paid</v>
      </c>
      <c r="M310" s="8" t="str" cm="1">
        <f t="array" aca="1" ref="M310" ca="1">INDEX('Payment Method'!$A$8:$A$12,RANDBETWEEN(1,5))</f>
        <v>Visa Credit</v>
      </c>
      <c r="N310" s="7">
        <f>IFERROR(SUMIF(Holiday!$A$8:$A$11,B310,Holiday!$C$8:$C$11),0)</f>
        <v>0</v>
      </c>
      <c r="O310" s="7">
        <f t="shared" ca="1" si="56"/>
        <v>59</v>
      </c>
      <c r="P310" s="19">
        <f t="shared" ca="1" si="57"/>
        <v>56.935000000000002</v>
      </c>
      <c r="Q310" s="7">
        <f t="shared" ca="1" si="58"/>
        <v>0</v>
      </c>
      <c r="R310" s="8">
        <f ca="1">VLOOKUP(M310,'Payment Method'!$A$8:$B$12,2,0)</f>
        <v>3.5000000000000003E-2</v>
      </c>
      <c r="S310" s="9">
        <f t="shared" ca="1" si="48"/>
        <v>2.0649999999999977</v>
      </c>
      <c r="T310" s="8">
        <v>0.01</v>
      </c>
      <c r="U310" s="9">
        <f t="shared" ca="1" si="49"/>
        <v>0.56935000000000002</v>
      </c>
      <c r="V310" s="7">
        <f t="shared" ca="1" si="50"/>
        <v>0</v>
      </c>
      <c r="W310" s="7">
        <f t="shared" ca="1" si="51"/>
        <v>56.365650000000002</v>
      </c>
      <c r="X310" s="5" t="str">
        <f t="shared" ca="1" si="59"/>
        <v>Tiktok</v>
      </c>
      <c r="Y310" s="78" t="str">
        <f>IF(COUNTIF($C$1:C309,B309)=1,10,"")</f>
        <v/>
      </c>
    </row>
    <row r="311" spans="1:25" x14ac:dyDescent="0.3">
      <c r="A311" s="76">
        <v>310</v>
      </c>
      <c r="B311" s="6">
        <v>46145</v>
      </c>
      <c r="C311" s="6">
        <v>46149</v>
      </c>
      <c r="D311" s="17" t="str">
        <f t="shared" si="52"/>
        <v>May</v>
      </c>
      <c r="E311" s="5" t="str">
        <f t="shared" ca="1" si="53"/>
        <v>STU-557</v>
      </c>
      <c r="F311" s="5" t="str">
        <f ca="1">IF(COUNTIF($E$2:E311,E311)=1,"New Customer","Returning Customer")</f>
        <v>Returning Customer</v>
      </c>
      <c r="G311" s="5" t="str">
        <f t="shared" ca="1" si="54"/>
        <v>Female</v>
      </c>
      <c r="H311" s="5" t="s">
        <v>137</v>
      </c>
      <c r="I311" s="5" t="str" cm="1">
        <f t="array" aca="1" ref="I311" ca="1">INDEX(Courses!$B$9:$B$16,RANDBETWEEN(1,8))</f>
        <v>Tax Code</v>
      </c>
      <c r="J311" s="5" t="str">
        <f ca="1">VLOOKUP(I311,Courses!$B$9:$C$16,2,0)</f>
        <v>Finance &amp; Taxation</v>
      </c>
      <c r="K311" s="7">
        <f ca="1">VLOOKUP(I311,Courses!$B$9:$D$16,3,0)</f>
        <v>59</v>
      </c>
      <c r="L311" s="5" t="str">
        <f t="shared" ca="1" si="55"/>
        <v>Paid</v>
      </c>
      <c r="M311" s="8" t="str" cm="1">
        <f t="array" aca="1" ref="M311" ca="1">INDEX('Payment Method'!$A$8:$A$12,RANDBETWEEN(1,5))</f>
        <v>Mastercard Debit</v>
      </c>
      <c r="N311" s="7">
        <f>IFERROR(SUMIF(Holiday!$A$8:$A$11,B311,Holiday!$C$8:$C$11),0)</f>
        <v>0</v>
      </c>
      <c r="O311" s="7">
        <f t="shared" ca="1" si="56"/>
        <v>59</v>
      </c>
      <c r="P311" s="19">
        <f t="shared" ca="1" si="57"/>
        <v>57.82</v>
      </c>
      <c r="Q311" s="7">
        <f t="shared" ca="1" si="58"/>
        <v>0</v>
      </c>
      <c r="R311" s="8">
        <f ca="1">VLOOKUP(M311,'Payment Method'!$A$8:$B$12,2,0)</f>
        <v>0.02</v>
      </c>
      <c r="S311" s="9">
        <f t="shared" ca="1" si="48"/>
        <v>1.1799999999999997</v>
      </c>
      <c r="T311" s="8">
        <v>0.01</v>
      </c>
      <c r="U311" s="9">
        <f t="shared" ca="1" si="49"/>
        <v>0.57820000000000249</v>
      </c>
      <c r="V311" s="7">
        <f t="shared" ca="1" si="50"/>
        <v>0</v>
      </c>
      <c r="W311" s="7">
        <f t="shared" ca="1" si="51"/>
        <v>57.241799999999998</v>
      </c>
      <c r="X311" s="5" t="str">
        <f t="shared" ca="1" si="59"/>
        <v>Tiktok</v>
      </c>
      <c r="Y311" s="78">
        <f>IF(COUNTIF($C$1:C310,B310)=1,10,"")</f>
        <v>10</v>
      </c>
    </row>
    <row r="312" spans="1:25" x14ac:dyDescent="0.3">
      <c r="A312" s="75">
        <v>311</v>
      </c>
      <c r="B312" s="6">
        <v>46114</v>
      </c>
      <c r="C312" s="6">
        <v>46114</v>
      </c>
      <c r="D312" s="17" t="str">
        <f t="shared" si="52"/>
        <v>April</v>
      </c>
      <c r="E312" s="5" t="str">
        <f t="shared" ca="1" si="53"/>
        <v>STU-774</v>
      </c>
      <c r="F312" s="5" t="str">
        <f ca="1">IF(COUNTIF($E$2:E312,E312)=1,"New Customer","Returning Customer")</f>
        <v>New Customer</v>
      </c>
      <c r="G312" s="5" t="str">
        <f t="shared" ca="1" si="54"/>
        <v>Male</v>
      </c>
      <c r="H312" s="5" t="s">
        <v>141</v>
      </c>
      <c r="I312" s="5" t="str" cm="1">
        <f t="array" aca="1" ref="I312" ca="1">INDEX(Courses!$B$9:$B$16,RANDBETWEEN(1,8))</f>
        <v>Microsoft Word</v>
      </c>
      <c r="J312" s="5" t="str">
        <f ca="1">VLOOKUP(I312,Courses!$B$9:$C$16,2,0)</f>
        <v>Microsoft Office</v>
      </c>
      <c r="K312" s="7">
        <f ca="1">VLOOKUP(I312,Courses!$B$9:$D$16,3,0)</f>
        <v>29</v>
      </c>
      <c r="L312" s="5" t="str">
        <f t="shared" ca="1" si="55"/>
        <v>Paid</v>
      </c>
      <c r="M312" s="8" t="str" cm="1">
        <f t="array" aca="1" ref="M312" ca="1">INDEX('Payment Method'!$A$8:$A$12,RANDBETWEEN(1,5))</f>
        <v>Visa Debit</v>
      </c>
      <c r="N312" s="7">
        <f>IFERROR(SUMIF(Holiday!$A$8:$A$11,B312,Holiday!$C$8:$C$11),0)</f>
        <v>0</v>
      </c>
      <c r="O312" s="7">
        <f t="shared" ca="1" si="56"/>
        <v>29</v>
      </c>
      <c r="P312" s="19">
        <f t="shared" ca="1" si="57"/>
        <v>28.42</v>
      </c>
      <c r="Q312" s="7">
        <f t="shared" ca="1" si="58"/>
        <v>0</v>
      </c>
      <c r="R312" s="8">
        <f ca="1">VLOOKUP(M312,'Payment Method'!$A$8:$B$12,2,0)</f>
        <v>0.02</v>
      </c>
      <c r="S312" s="9">
        <f t="shared" ca="1" si="48"/>
        <v>0.57999999999999829</v>
      </c>
      <c r="T312" s="8">
        <v>0.01</v>
      </c>
      <c r="U312" s="9">
        <f t="shared" ca="1" si="49"/>
        <v>0.28419999999999845</v>
      </c>
      <c r="V312" s="7">
        <f t="shared" ca="1" si="50"/>
        <v>0</v>
      </c>
      <c r="W312" s="7">
        <f t="shared" ca="1" si="51"/>
        <v>28.135800000000003</v>
      </c>
      <c r="X312" s="5" t="str">
        <f t="shared" ca="1" si="59"/>
        <v>Tiktok</v>
      </c>
      <c r="Y312" s="78" t="str">
        <f>IF(COUNTIF($C$1:C311,B311)=1,10,"")</f>
        <v/>
      </c>
    </row>
    <row r="313" spans="1:25" x14ac:dyDescent="0.3">
      <c r="A313" s="76">
        <v>312</v>
      </c>
      <c r="B313" s="6">
        <v>46028</v>
      </c>
      <c r="C313" s="6">
        <v>46033</v>
      </c>
      <c r="D313" s="17" t="str">
        <f t="shared" si="52"/>
        <v>January</v>
      </c>
      <c r="E313" s="5" t="str">
        <f t="shared" ca="1" si="53"/>
        <v>STU-793</v>
      </c>
      <c r="F313" s="5" t="str">
        <f ca="1">IF(COUNTIF($E$2:E313,E313)=1,"New Customer","Returning Customer")</f>
        <v>New Customer</v>
      </c>
      <c r="G313" s="5" t="str">
        <f t="shared" ca="1" si="54"/>
        <v>Female</v>
      </c>
      <c r="H313" s="5" t="s">
        <v>135</v>
      </c>
      <c r="I313" s="5" t="str" cm="1">
        <f t="array" aca="1" ref="I313" ca="1">INDEX(Courses!$B$9:$B$16,RANDBETWEEN(1,8))</f>
        <v>Adolescent Psychology</v>
      </c>
      <c r="J313" s="5" t="str">
        <f ca="1">VLOOKUP(I313,Courses!$B$9:$C$16,2,0)</f>
        <v>Psychology</v>
      </c>
      <c r="K313" s="7">
        <f ca="1">VLOOKUP(I313,Courses!$B$9:$D$16,3,0)</f>
        <v>29</v>
      </c>
      <c r="L313" s="5" t="str">
        <f t="shared" ca="1" si="55"/>
        <v>Pending</v>
      </c>
      <c r="M313" s="8" t="str" cm="1">
        <f t="array" aca="1" ref="M313" ca="1">INDEX('Payment Method'!$A$8:$A$12,RANDBETWEEN(1,5))</f>
        <v>Mastercard Debit</v>
      </c>
      <c r="N313" s="7">
        <f>IFERROR(SUMIF(Holiday!$A$8:$A$11,B313,Holiday!$C$8:$C$11),0)</f>
        <v>0</v>
      </c>
      <c r="O313" s="7">
        <f t="shared" ca="1" si="56"/>
        <v>29</v>
      </c>
      <c r="P313" s="19">
        <f t="shared" ca="1" si="57"/>
        <v>28.42</v>
      </c>
      <c r="Q313" s="7">
        <f t="shared" ca="1" si="58"/>
        <v>28.135800000000003</v>
      </c>
      <c r="R313" s="8">
        <f ca="1">VLOOKUP(M313,'Payment Method'!$A$8:$B$12,2,0)</f>
        <v>0.02</v>
      </c>
      <c r="S313" s="9">
        <f t="shared" ca="1" si="48"/>
        <v>0.57999999999999829</v>
      </c>
      <c r="T313" s="8">
        <v>0.01</v>
      </c>
      <c r="U313" s="9">
        <f t="shared" ca="1" si="49"/>
        <v>0.28419999999999845</v>
      </c>
      <c r="V313" s="7">
        <f t="shared" ca="1" si="50"/>
        <v>0</v>
      </c>
      <c r="W313" s="7">
        <f t="shared" ca="1" si="51"/>
        <v>0</v>
      </c>
      <c r="X313" s="5" t="str">
        <f t="shared" ca="1" si="59"/>
        <v>Facebook</v>
      </c>
      <c r="Y313" s="78" t="str">
        <f>IF(COUNTIF($C$1:C312,B312)=1,10,"")</f>
        <v/>
      </c>
    </row>
    <row r="314" spans="1:25" x14ac:dyDescent="0.3">
      <c r="A314" s="75">
        <v>313</v>
      </c>
      <c r="B314" s="6">
        <v>46051</v>
      </c>
      <c r="C314" s="6">
        <v>46056</v>
      </c>
      <c r="D314" s="17" t="str">
        <f t="shared" si="52"/>
        <v>February</v>
      </c>
      <c r="E314" s="5" t="str">
        <f t="shared" ca="1" si="53"/>
        <v>STU-792</v>
      </c>
      <c r="F314" s="5" t="str">
        <f ca="1">IF(COUNTIF($E$2:E314,E314)=1,"New Customer","Returning Customer")</f>
        <v>New Customer</v>
      </c>
      <c r="G314" s="5" t="str">
        <f t="shared" ca="1" si="54"/>
        <v>Male</v>
      </c>
      <c r="H314" s="5" t="s">
        <v>140</v>
      </c>
      <c r="I314" s="5" t="str" cm="1">
        <f t="array" aca="1" ref="I314" ca="1">INDEX(Courses!$B$9:$B$16,RANDBETWEEN(1,8))</f>
        <v>SQL</v>
      </c>
      <c r="J314" s="5" t="str">
        <f ca="1">VLOOKUP(I314,Courses!$B$9:$C$16,2,0)</f>
        <v>Data Analytics</v>
      </c>
      <c r="K314" s="7">
        <f ca="1">VLOOKUP(I314,Courses!$B$9:$D$16,3,0)</f>
        <v>99</v>
      </c>
      <c r="L314" s="5" t="str">
        <f t="shared" ca="1" si="55"/>
        <v>Pending</v>
      </c>
      <c r="M314" s="8" t="str" cm="1">
        <f t="array" aca="1" ref="M314" ca="1">INDEX('Payment Method'!$A$8:$A$12,RANDBETWEEN(1,5))</f>
        <v>Visa Debit</v>
      </c>
      <c r="N314" s="7">
        <f>IFERROR(SUMIF(Holiday!$A$8:$A$11,B314,Holiday!$C$8:$C$11),0)</f>
        <v>0</v>
      </c>
      <c r="O314" s="7">
        <f t="shared" ca="1" si="56"/>
        <v>99</v>
      </c>
      <c r="P314" s="19">
        <f t="shared" ca="1" si="57"/>
        <v>97.02</v>
      </c>
      <c r="Q314" s="7">
        <f t="shared" ca="1" si="58"/>
        <v>96.049799999999991</v>
      </c>
      <c r="R314" s="8">
        <f ca="1">VLOOKUP(M314,'Payment Method'!$A$8:$B$12,2,0)</f>
        <v>0.02</v>
      </c>
      <c r="S314" s="9">
        <f t="shared" ca="1" si="48"/>
        <v>1.980000000000004</v>
      </c>
      <c r="T314" s="8">
        <v>0.01</v>
      </c>
      <c r="U314" s="9">
        <f t="shared" ca="1" si="49"/>
        <v>0.9702000000000055</v>
      </c>
      <c r="V314" s="7">
        <f t="shared" ca="1" si="50"/>
        <v>0</v>
      </c>
      <c r="W314" s="7">
        <f t="shared" ca="1" si="51"/>
        <v>0</v>
      </c>
      <c r="X314" s="5" t="str">
        <f t="shared" ca="1" si="59"/>
        <v>Facebook</v>
      </c>
      <c r="Y314" s="78">
        <f>IF(COUNTIF($C$1:C313,B313)=1,10,"")</f>
        <v>10</v>
      </c>
    </row>
    <row r="315" spans="1:25" x14ac:dyDescent="0.3">
      <c r="A315" s="76">
        <v>314</v>
      </c>
      <c r="B315" s="6">
        <v>46128</v>
      </c>
      <c r="C315" s="6">
        <v>46130</v>
      </c>
      <c r="D315" s="17" t="str">
        <f t="shared" si="52"/>
        <v>April</v>
      </c>
      <c r="E315" s="5" t="str">
        <f t="shared" ca="1" si="53"/>
        <v>STU-851</v>
      </c>
      <c r="F315" s="5" t="str">
        <f ca="1">IF(COUNTIF($E$2:E315,E315)=1,"New Customer","Returning Customer")</f>
        <v>Returning Customer</v>
      </c>
      <c r="G315" s="5" t="str">
        <f t="shared" ca="1" si="54"/>
        <v>Not specified</v>
      </c>
      <c r="H315" s="5" t="s">
        <v>135</v>
      </c>
      <c r="I315" s="5" t="str" cm="1">
        <f t="array" aca="1" ref="I315" ca="1">INDEX(Courses!$B$9:$B$16,RANDBETWEEN(1,8))</f>
        <v>Microsoft Word</v>
      </c>
      <c r="J315" s="5" t="str">
        <f ca="1">VLOOKUP(I315,Courses!$B$9:$C$16,2,0)</f>
        <v>Microsoft Office</v>
      </c>
      <c r="K315" s="7">
        <f ca="1">VLOOKUP(I315,Courses!$B$9:$D$16,3,0)</f>
        <v>29</v>
      </c>
      <c r="L315" s="5" t="str">
        <f t="shared" ca="1" si="55"/>
        <v>Pending</v>
      </c>
      <c r="M315" s="8" t="str" cm="1">
        <f t="array" aca="1" ref="M315" ca="1">INDEX('Payment Method'!$A$8:$A$12,RANDBETWEEN(1,5))</f>
        <v>Visa Credit</v>
      </c>
      <c r="N315" s="7">
        <f>IFERROR(SUMIF(Holiday!$A$8:$A$11,B315,Holiday!$C$8:$C$11),0)</f>
        <v>0</v>
      </c>
      <c r="O315" s="7">
        <f t="shared" ca="1" si="56"/>
        <v>29</v>
      </c>
      <c r="P315" s="19">
        <f t="shared" ca="1" si="57"/>
        <v>27.984999999999999</v>
      </c>
      <c r="Q315" s="7">
        <f t="shared" ca="1" si="58"/>
        <v>27.70515</v>
      </c>
      <c r="R315" s="8">
        <f ca="1">VLOOKUP(M315,'Payment Method'!$A$8:$B$12,2,0)</f>
        <v>3.5000000000000003E-2</v>
      </c>
      <c r="S315" s="9">
        <f t="shared" ca="1" si="48"/>
        <v>1.0150000000000006</v>
      </c>
      <c r="T315" s="8">
        <v>0.01</v>
      </c>
      <c r="U315" s="9">
        <f t="shared" ca="1" si="49"/>
        <v>0.27984999999999971</v>
      </c>
      <c r="V315" s="7">
        <f t="shared" ca="1" si="50"/>
        <v>0</v>
      </c>
      <c r="W315" s="7">
        <f t="shared" ca="1" si="51"/>
        <v>0</v>
      </c>
      <c r="X315" s="5" t="str">
        <f t="shared" ca="1" si="59"/>
        <v>Tiktok</v>
      </c>
      <c r="Y315" s="78" t="str">
        <f>IF(COUNTIF($C$1:C314,B314)=1,10,"")</f>
        <v/>
      </c>
    </row>
    <row r="316" spans="1:25" x14ac:dyDescent="0.3">
      <c r="A316" s="75">
        <v>315</v>
      </c>
      <c r="B316" s="6">
        <v>46101</v>
      </c>
      <c r="C316" s="6">
        <v>46106</v>
      </c>
      <c r="D316" s="17" t="str">
        <f t="shared" si="52"/>
        <v>March</v>
      </c>
      <c r="E316" s="5" t="str">
        <f t="shared" ca="1" si="53"/>
        <v>STU-910</v>
      </c>
      <c r="F316" s="5" t="str">
        <f ca="1">IF(COUNTIF($E$2:E316,E316)=1,"New Customer","Returning Customer")</f>
        <v>New Customer</v>
      </c>
      <c r="G316" s="5" t="str">
        <f t="shared" ca="1" si="54"/>
        <v>Female</v>
      </c>
      <c r="H316" s="5" t="s">
        <v>135</v>
      </c>
      <c r="I316" s="5" t="str" cm="1">
        <f t="array" aca="1" ref="I316" ca="1">INDEX(Courses!$B$9:$B$16,RANDBETWEEN(1,8))</f>
        <v>Adolescent Psychology</v>
      </c>
      <c r="J316" s="5" t="str">
        <f ca="1">VLOOKUP(I316,Courses!$B$9:$C$16,2,0)</f>
        <v>Psychology</v>
      </c>
      <c r="K316" s="7">
        <f ca="1">VLOOKUP(I316,Courses!$B$9:$D$16,3,0)</f>
        <v>29</v>
      </c>
      <c r="L316" s="5" t="str">
        <f t="shared" ca="1" si="55"/>
        <v>Paid</v>
      </c>
      <c r="M316" s="8" t="str" cm="1">
        <f t="array" aca="1" ref="M316" ca="1">INDEX('Payment Method'!$A$8:$A$12,RANDBETWEEN(1,5))</f>
        <v>Visa Debit</v>
      </c>
      <c r="N316" s="7">
        <f>IFERROR(SUMIF(Holiday!$A$8:$A$11,B316,Holiday!$C$8:$C$11),0)</f>
        <v>0</v>
      </c>
      <c r="O316" s="7">
        <f t="shared" ca="1" si="56"/>
        <v>29</v>
      </c>
      <c r="P316" s="19">
        <f t="shared" ca="1" si="57"/>
        <v>28.42</v>
      </c>
      <c r="Q316" s="7">
        <f t="shared" ca="1" si="58"/>
        <v>0</v>
      </c>
      <c r="R316" s="8">
        <f ca="1">VLOOKUP(M316,'Payment Method'!$A$8:$B$12,2,0)</f>
        <v>0.02</v>
      </c>
      <c r="S316" s="9">
        <f t="shared" ca="1" si="48"/>
        <v>0.57999999999999829</v>
      </c>
      <c r="T316" s="8">
        <v>0.01</v>
      </c>
      <c r="U316" s="9">
        <f t="shared" ca="1" si="49"/>
        <v>0.28419999999999845</v>
      </c>
      <c r="V316" s="7">
        <f t="shared" ca="1" si="50"/>
        <v>0</v>
      </c>
      <c r="W316" s="7">
        <f t="shared" ca="1" si="51"/>
        <v>28.135800000000003</v>
      </c>
      <c r="X316" s="5" t="str">
        <f t="shared" ca="1" si="59"/>
        <v>Facebook</v>
      </c>
      <c r="Y316" s="78" t="str">
        <f>IF(COUNTIF($C$1:C315,B315)=1,10,"")</f>
        <v/>
      </c>
    </row>
    <row r="317" spans="1:25" x14ac:dyDescent="0.3">
      <c r="A317" s="76">
        <v>316</v>
      </c>
      <c r="B317" s="6">
        <v>46122</v>
      </c>
      <c r="C317" s="6">
        <v>46122</v>
      </c>
      <c r="D317" s="17" t="str">
        <f t="shared" si="52"/>
        <v>April</v>
      </c>
      <c r="E317" s="5" t="str">
        <f t="shared" ca="1" si="53"/>
        <v>STU-295</v>
      </c>
      <c r="F317" s="5" t="str">
        <f ca="1">IF(COUNTIF($E$2:E317,E317)=1,"New Customer","Returning Customer")</f>
        <v>New Customer</v>
      </c>
      <c r="G317" s="5" t="str">
        <f t="shared" ca="1" si="54"/>
        <v>Male</v>
      </c>
      <c r="H317" s="5" t="s">
        <v>140</v>
      </c>
      <c r="I317" s="5" t="str" cm="1">
        <f t="array" aca="1" ref="I317" ca="1">INDEX(Courses!$B$9:$B$16,RANDBETWEEN(1,8))</f>
        <v>PowerPoint</v>
      </c>
      <c r="J317" s="5" t="str">
        <f ca="1">VLOOKUP(I317,Courses!$B$9:$C$16,2,0)</f>
        <v>Microsoft Office</v>
      </c>
      <c r="K317" s="7">
        <f ca="1">VLOOKUP(I317,Courses!$B$9:$D$16,3,0)</f>
        <v>29</v>
      </c>
      <c r="L317" s="5" t="str">
        <f t="shared" ca="1" si="55"/>
        <v>Paid</v>
      </c>
      <c r="M317" s="8" t="str" cm="1">
        <f t="array" aca="1" ref="M317" ca="1">INDEX('Payment Method'!$A$8:$A$12,RANDBETWEEN(1,5))</f>
        <v>Mastercard Credit</v>
      </c>
      <c r="N317" s="7">
        <f>IFERROR(SUMIF(Holiday!$A$8:$A$11,B317,Holiday!$C$8:$C$11),0)</f>
        <v>0</v>
      </c>
      <c r="O317" s="7">
        <f t="shared" ca="1" si="56"/>
        <v>29</v>
      </c>
      <c r="P317" s="19">
        <f t="shared" ca="1" si="57"/>
        <v>27.984999999999999</v>
      </c>
      <c r="Q317" s="7">
        <f t="shared" ca="1" si="58"/>
        <v>0</v>
      </c>
      <c r="R317" s="8">
        <f ca="1">VLOOKUP(M317,'Payment Method'!$A$8:$B$12,2,0)</f>
        <v>3.5000000000000003E-2</v>
      </c>
      <c r="S317" s="9">
        <f t="shared" ca="1" si="48"/>
        <v>1.0150000000000006</v>
      </c>
      <c r="T317" s="8">
        <v>0.01</v>
      </c>
      <c r="U317" s="9">
        <f t="shared" ca="1" si="49"/>
        <v>0.27984999999999971</v>
      </c>
      <c r="V317" s="7">
        <f t="shared" ca="1" si="50"/>
        <v>0</v>
      </c>
      <c r="W317" s="7">
        <f t="shared" ca="1" si="51"/>
        <v>27.70515</v>
      </c>
      <c r="X317" s="5" t="str">
        <f t="shared" ca="1" si="59"/>
        <v>Instagram</v>
      </c>
      <c r="Y317" s="78">
        <f>IF(COUNTIF($C$1:C316,B316)=1,10,"")</f>
        <v>10</v>
      </c>
    </row>
    <row r="318" spans="1:25" x14ac:dyDescent="0.3">
      <c r="A318" s="75">
        <v>317</v>
      </c>
      <c r="B318" s="6">
        <v>46197</v>
      </c>
      <c r="C318" s="6">
        <v>46201</v>
      </c>
      <c r="D318" s="17" t="str">
        <f t="shared" si="52"/>
        <v>June</v>
      </c>
      <c r="E318" s="5" t="str">
        <f t="shared" ca="1" si="53"/>
        <v>STU-754</v>
      </c>
      <c r="F318" s="5" t="str">
        <f ca="1">IF(COUNTIF($E$2:E318,E318)=1,"New Customer","Returning Customer")</f>
        <v>New Customer</v>
      </c>
      <c r="G318" s="5" t="str">
        <f t="shared" ca="1" si="54"/>
        <v>Not specified</v>
      </c>
      <c r="H318" s="5" t="s">
        <v>141</v>
      </c>
      <c r="I318" s="5" t="str" cm="1">
        <f t="array" aca="1" ref="I318" ca="1">INDEX(Courses!$B$9:$B$16,RANDBETWEEN(1,8))</f>
        <v>Adolescent Psychology</v>
      </c>
      <c r="J318" s="5" t="str">
        <f ca="1">VLOOKUP(I318,Courses!$B$9:$C$16,2,0)</f>
        <v>Psychology</v>
      </c>
      <c r="K318" s="7">
        <f ca="1">VLOOKUP(I318,Courses!$B$9:$D$16,3,0)</f>
        <v>29</v>
      </c>
      <c r="L318" s="5" t="str">
        <f t="shared" ca="1" si="55"/>
        <v>Paid</v>
      </c>
      <c r="M318" s="8" t="str" cm="1">
        <f t="array" aca="1" ref="M318" ca="1">INDEX('Payment Method'!$A$8:$A$12,RANDBETWEEN(1,5))</f>
        <v>Mastercard Debit</v>
      </c>
      <c r="N318" s="7">
        <f>IFERROR(SUMIF(Holiday!$A$8:$A$11,B318,Holiday!$C$8:$C$11),0)</f>
        <v>0</v>
      </c>
      <c r="O318" s="7">
        <f t="shared" ca="1" si="56"/>
        <v>29</v>
      </c>
      <c r="P318" s="19">
        <f t="shared" ca="1" si="57"/>
        <v>28.42</v>
      </c>
      <c r="Q318" s="7">
        <f t="shared" ca="1" si="58"/>
        <v>0</v>
      </c>
      <c r="R318" s="8">
        <f ca="1">VLOOKUP(M318,'Payment Method'!$A$8:$B$12,2,0)</f>
        <v>0.02</v>
      </c>
      <c r="S318" s="9">
        <f t="shared" ca="1" si="48"/>
        <v>0.57999999999999829</v>
      </c>
      <c r="T318" s="8">
        <v>0.01</v>
      </c>
      <c r="U318" s="9">
        <f t="shared" ca="1" si="49"/>
        <v>0.28419999999999845</v>
      </c>
      <c r="V318" s="7">
        <f t="shared" ca="1" si="50"/>
        <v>0</v>
      </c>
      <c r="W318" s="7">
        <f t="shared" ca="1" si="51"/>
        <v>28.135800000000003</v>
      </c>
      <c r="X318" s="5" t="str">
        <f t="shared" ca="1" si="59"/>
        <v>Facebook</v>
      </c>
      <c r="Y318" s="78" t="str">
        <f>IF(COUNTIF($C$1:C317,B317)=1,10,"")</f>
        <v/>
      </c>
    </row>
    <row r="319" spans="1:25" x14ac:dyDescent="0.3">
      <c r="A319" s="76">
        <v>318</v>
      </c>
      <c r="B319" s="6">
        <v>46056</v>
      </c>
      <c r="C319" s="6">
        <v>46058</v>
      </c>
      <c r="D319" s="17" t="str">
        <f t="shared" si="52"/>
        <v>February</v>
      </c>
      <c r="E319" s="5" t="str">
        <f t="shared" ca="1" si="53"/>
        <v>STU-414</v>
      </c>
      <c r="F319" s="5" t="str">
        <f ca="1">IF(COUNTIF($E$2:E319,E319)=1,"New Customer","Returning Customer")</f>
        <v>Returning Customer</v>
      </c>
      <c r="G319" s="5" t="str">
        <f t="shared" ca="1" si="54"/>
        <v>Not specified</v>
      </c>
      <c r="H319" s="5" t="s">
        <v>142</v>
      </c>
      <c r="I319" s="5" t="str" cm="1">
        <f t="array" aca="1" ref="I319" ca="1">INDEX(Courses!$B$9:$B$16,RANDBETWEEN(1,8))</f>
        <v>Excel Basics</v>
      </c>
      <c r="J319" s="5" t="str">
        <f ca="1">VLOOKUP(I319,Courses!$B$9:$C$16,2,0)</f>
        <v>Microsoft Office</v>
      </c>
      <c r="K319" s="7">
        <f ca="1">VLOOKUP(I319,Courses!$B$9:$D$16,3,0)</f>
        <v>29</v>
      </c>
      <c r="L319" s="5" t="str">
        <f t="shared" ca="1" si="55"/>
        <v>Paid</v>
      </c>
      <c r="M319" s="8" t="str" cm="1">
        <f t="array" aca="1" ref="M319" ca="1">INDEX('Payment Method'!$A$8:$A$12,RANDBETWEEN(1,5))</f>
        <v>Visa Debit</v>
      </c>
      <c r="N319" s="7">
        <f>IFERROR(SUMIF(Holiday!$A$8:$A$11,B319,Holiday!$C$8:$C$11),0)</f>
        <v>0</v>
      </c>
      <c r="O319" s="7">
        <f t="shared" ca="1" si="56"/>
        <v>29</v>
      </c>
      <c r="P319" s="19">
        <f t="shared" ca="1" si="57"/>
        <v>28.42</v>
      </c>
      <c r="Q319" s="7">
        <f t="shared" ca="1" si="58"/>
        <v>0</v>
      </c>
      <c r="R319" s="8">
        <f ca="1">VLOOKUP(M319,'Payment Method'!$A$8:$B$12,2,0)</f>
        <v>0.02</v>
      </c>
      <c r="S319" s="9">
        <f t="shared" ca="1" si="48"/>
        <v>0.57999999999999829</v>
      </c>
      <c r="T319" s="8">
        <v>0.01</v>
      </c>
      <c r="U319" s="9">
        <f t="shared" ca="1" si="49"/>
        <v>0.28419999999999845</v>
      </c>
      <c r="V319" s="7">
        <f t="shared" ca="1" si="50"/>
        <v>0</v>
      </c>
      <c r="W319" s="7">
        <f t="shared" ca="1" si="51"/>
        <v>28.135800000000003</v>
      </c>
      <c r="X319" s="5" t="str">
        <f t="shared" ca="1" si="59"/>
        <v>Facebook</v>
      </c>
      <c r="Y319" s="78" t="str">
        <f>IF(COUNTIF($C$1:C318,B318)=1,10,"")</f>
        <v/>
      </c>
    </row>
    <row r="320" spans="1:25" x14ac:dyDescent="0.3">
      <c r="A320" s="75">
        <v>319</v>
      </c>
      <c r="B320" s="6">
        <v>46047</v>
      </c>
      <c r="C320" s="6">
        <v>46050</v>
      </c>
      <c r="D320" s="17" t="str">
        <f t="shared" si="52"/>
        <v>January</v>
      </c>
      <c r="E320" s="5" t="str">
        <f t="shared" ca="1" si="53"/>
        <v>STU-426</v>
      </c>
      <c r="F320" s="5" t="str">
        <f ca="1">IF(COUNTIF($E$2:E320,E320)=1,"New Customer","Returning Customer")</f>
        <v>New Customer</v>
      </c>
      <c r="G320" s="5" t="str">
        <f t="shared" ca="1" si="54"/>
        <v>Female</v>
      </c>
      <c r="H320" s="5" t="s">
        <v>137</v>
      </c>
      <c r="I320" s="5" t="str" cm="1">
        <f t="array" aca="1" ref="I320" ca="1">INDEX(Courses!$B$9:$B$16,RANDBETWEEN(1,8))</f>
        <v>SQL</v>
      </c>
      <c r="J320" s="5" t="str">
        <f ca="1">VLOOKUP(I320,Courses!$B$9:$C$16,2,0)</f>
        <v>Data Analytics</v>
      </c>
      <c r="K320" s="7">
        <f ca="1">VLOOKUP(I320,Courses!$B$9:$D$16,3,0)</f>
        <v>99</v>
      </c>
      <c r="L320" s="5" t="str">
        <f t="shared" ca="1" si="55"/>
        <v>Paid</v>
      </c>
      <c r="M320" s="8" t="str" cm="1">
        <f t="array" aca="1" ref="M320" ca="1">INDEX('Payment Method'!$A$8:$A$12,RANDBETWEEN(1,5))</f>
        <v>Mastercard Credit</v>
      </c>
      <c r="N320" s="7">
        <f>IFERROR(SUMIF(Holiday!$A$8:$A$11,B320,Holiday!$C$8:$C$11),0)</f>
        <v>0</v>
      </c>
      <c r="O320" s="7">
        <f t="shared" ca="1" si="56"/>
        <v>99</v>
      </c>
      <c r="P320" s="19">
        <f t="shared" ca="1" si="57"/>
        <v>95.534999999999997</v>
      </c>
      <c r="Q320" s="7">
        <f t="shared" ca="1" si="58"/>
        <v>0</v>
      </c>
      <c r="R320" s="8">
        <f ca="1">VLOOKUP(M320,'Payment Method'!$A$8:$B$12,2,0)</f>
        <v>3.5000000000000003E-2</v>
      </c>
      <c r="S320" s="9">
        <f t="shared" ca="1" si="48"/>
        <v>3.4650000000000034</v>
      </c>
      <c r="T320" s="8">
        <v>0.01</v>
      </c>
      <c r="U320" s="9">
        <f t="shared" ca="1" si="49"/>
        <v>0.9553499999999957</v>
      </c>
      <c r="V320" s="7">
        <f t="shared" ca="1" si="50"/>
        <v>0</v>
      </c>
      <c r="W320" s="7">
        <f t="shared" ca="1" si="51"/>
        <v>94.579650000000001</v>
      </c>
      <c r="X320" s="5" t="str">
        <f t="shared" ca="1" si="59"/>
        <v>Tiktok</v>
      </c>
      <c r="Y320" s="78" t="str">
        <f>IF(COUNTIF($C$1:C319,B319)=1,10,"")</f>
        <v/>
      </c>
    </row>
    <row r="321" spans="1:25" x14ac:dyDescent="0.3">
      <c r="A321" s="76">
        <v>320</v>
      </c>
      <c r="B321" s="6">
        <v>46051</v>
      </c>
      <c r="C321" s="6">
        <v>46052</v>
      </c>
      <c r="D321" s="17" t="str">
        <f t="shared" si="52"/>
        <v>January</v>
      </c>
      <c r="E321" s="5" t="str">
        <f t="shared" ca="1" si="53"/>
        <v>STU-621</v>
      </c>
      <c r="F321" s="5" t="str">
        <f ca="1">IF(COUNTIF($E$2:E321,E321)=1,"New Customer","Returning Customer")</f>
        <v>New Customer</v>
      </c>
      <c r="G321" s="5" t="str">
        <f t="shared" ca="1" si="54"/>
        <v>Female</v>
      </c>
      <c r="H321" s="5" t="s">
        <v>139</v>
      </c>
      <c r="I321" s="5" t="str" cm="1">
        <f t="array" aca="1" ref="I321" ca="1">INDEX(Courses!$B$9:$B$16,RANDBETWEEN(1,8))</f>
        <v>Microsoft Word</v>
      </c>
      <c r="J321" s="5" t="str">
        <f ca="1">VLOOKUP(I321,Courses!$B$9:$C$16,2,0)</f>
        <v>Microsoft Office</v>
      </c>
      <c r="K321" s="7">
        <f ca="1">VLOOKUP(I321,Courses!$B$9:$D$16,3,0)</f>
        <v>29</v>
      </c>
      <c r="L321" s="5" t="str">
        <f t="shared" ca="1" si="55"/>
        <v>Paid</v>
      </c>
      <c r="M321" s="8" t="str" cm="1">
        <f t="array" aca="1" ref="M321" ca="1">INDEX('Payment Method'!$A$8:$A$12,RANDBETWEEN(1,5))</f>
        <v>Mastercard Credit</v>
      </c>
      <c r="N321" s="7">
        <f>IFERROR(SUMIF(Holiday!$A$8:$A$11,B321,Holiday!$C$8:$C$11),0)</f>
        <v>0</v>
      </c>
      <c r="O321" s="7">
        <f t="shared" ca="1" si="56"/>
        <v>29</v>
      </c>
      <c r="P321" s="19">
        <f t="shared" ca="1" si="57"/>
        <v>27.984999999999999</v>
      </c>
      <c r="Q321" s="7">
        <f t="shared" ca="1" si="58"/>
        <v>0</v>
      </c>
      <c r="R321" s="8">
        <f ca="1">VLOOKUP(M321,'Payment Method'!$A$8:$B$12,2,0)</f>
        <v>3.5000000000000003E-2</v>
      </c>
      <c r="S321" s="9">
        <f t="shared" ca="1" si="48"/>
        <v>1.0150000000000006</v>
      </c>
      <c r="T321" s="8">
        <v>0.01</v>
      </c>
      <c r="U321" s="9">
        <f t="shared" ca="1" si="49"/>
        <v>0.27984999999999971</v>
      </c>
      <c r="V321" s="7">
        <f t="shared" ca="1" si="50"/>
        <v>0</v>
      </c>
      <c r="W321" s="7">
        <f t="shared" ca="1" si="51"/>
        <v>27.70515</v>
      </c>
      <c r="X321" s="5" t="str">
        <f t="shared" ca="1" si="59"/>
        <v>Facebook</v>
      </c>
      <c r="Y321" s="78" t="str">
        <f>IF(COUNTIF($C$1:C320,B320)=1,10,"")</f>
        <v/>
      </c>
    </row>
    <row r="322" spans="1:25" x14ac:dyDescent="0.3">
      <c r="A322" s="75">
        <v>321</v>
      </c>
      <c r="B322" s="6">
        <v>46043</v>
      </c>
      <c r="C322" s="6">
        <v>46043</v>
      </c>
      <c r="D322" s="17" t="str">
        <f t="shared" si="52"/>
        <v>January</v>
      </c>
      <c r="E322" s="5" t="str">
        <f t="shared" ca="1" si="53"/>
        <v>STU-32</v>
      </c>
      <c r="F322" s="5" t="str">
        <f ca="1">IF(COUNTIF($E$2:E322,E322)=1,"New Customer","Returning Customer")</f>
        <v>New Customer</v>
      </c>
      <c r="G322" s="5" t="str">
        <f t="shared" ca="1" si="54"/>
        <v>Male</v>
      </c>
      <c r="H322" s="5" t="s">
        <v>140</v>
      </c>
      <c r="I322" s="5" t="str" cm="1">
        <f t="array" aca="1" ref="I322" ca="1">INDEX(Courses!$B$9:$B$16,RANDBETWEEN(1,8))</f>
        <v>SQL</v>
      </c>
      <c r="J322" s="5" t="str">
        <f ca="1">VLOOKUP(I322,Courses!$B$9:$C$16,2,0)</f>
        <v>Data Analytics</v>
      </c>
      <c r="K322" s="7">
        <f ca="1">VLOOKUP(I322,Courses!$B$9:$D$16,3,0)</f>
        <v>99</v>
      </c>
      <c r="L322" s="5" t="str">
        <f t="shared" ca="1" si="55"/>
        <v>Paid</v>
      </c>
      <c r="M322" s="8" t="str" cm="1">
        <f t="array" aca="1" ref="M322" ca="1">INDEX('Payment Method'!$A$8:$A$12,RANDBETWEEN(1,5))</f>
        <v>Mastercard Credit</v>
      </c>
      <c r="N322" s="7">
        <f>IFERROR(SUMIF(Holiday!$A$8:$A$11,B322,Holiday!$C$8:$C$11),0)</f>
        <v>0</v>
      </c>
      <c r="O322" s="7">
        <f t="shared" ca="1" si="56"/>
        <v>99</v>
      </c>
      <c r="P322" s="19">
        <f t="shared" ca="1" si="57"/>
        <v>95.534999999999997</v>
      </c>
      <c r="Q322" s="7">
        <f t="shared" ca="1" si="58"/>
        <v>0</v>
      </c>
      <c r="R322" s="8">
        <f ca="1">VLOOKUP(M322,'Payment Method'!$A$8:$B$12,2,0)</f>
        <v>3.5000000000000003E-2</v>
      </c>
      <c r="S322" s="9">
        <f t="shared" ref="S322:S385" ca="1" si="60">O322-(O322-O322*R322)</f>
        <v>3.4650000000000034</v>
      </c>
      <c r="T322" s="8">
        <v>0.01</v>
      </c>
      <c r="U322" s="9">
        <f t="shared" ref="U322:U385" ca="1" si="61">O322-S322-((O322-S322)-(O322-S322)*T322)</f>
        <v>0.9553499999999957</v>
      </c>
      <c r="V322" s="7">
        <f t="shared" ref="V322:V385" ca="1" si="62">IF(L322="refunded",(K322-K322*N322)-(K322-K322*N322)*R322-((K322-K322*N322)-(K322-K322*N322)*R322)*T322,0)</f>
        <v>0</v>
      </c>
      <c r="W322" s="7">
        <f t="shared" ref="W322:W385" ca="1" si="63">IF(L322="paid",(K322-K322*N322)-(K322-K322*N322)*R322-((K322-K322*N322)-(K322-K322*N322)*R322)*T322,0)</f>
        <v>94.579650000000001</v>
      </c>
      <c r="X322" s="5" t="str">
        <f t="shared" ca="1" si="59"/>
        <v>Tiktok</v>
      </c>
      <c r="Y322" s="78" t="str">
        <f>IF(COUNTIF($C$1:C321,B321)=1,10,"")</f>
        <v/>
      </c>
    </row>
    <row r="323" spans="1:25" x14ac:dyDescent="0.3">
      <c r="A323" s="76">
        <v>322</v>
      </c>
      <c r="B323" s="6">
        <v>46096</v>
      </c>
      <c r="C323" s="6">
        <v>46098</v>
      </c>
      <c r="D323" s="17" t="str">
        <f t="shared" ref="D323:D386" si="64">TEXT(C323,"mmmm")</f>
        <v>March</v>
      </c>
      <c r="E323" s="5" t="str">
        <f t="shared" ref="E323:E386" ca="1" si="65">"STU-"&amp;RANDBETWEEN(1,1000)</f>
        <v>STU-553</v>
      </c>
      <c r="F323" s="5" t="str">
        <f ca="1">IF(COUNTIF($E$2:E323,E323)=1,"New Customer","Returning Customer")</f>
        <v>New Customer</v>
      </c>
      <c r="G323" s="5" t="str">
        <f t="shared" ref="G323:G386" ca="1" si="66">CHOOSE(RANDBETWEEN(1,3),"Male","Female","Not specified")</f>
        <v>Male</v>
      </c>
      <c r="H323" s="5" t="s">
        <v>140</v>
      </c>
      <c r="I323" s="5" t="str" cm="1">
        <f t="array" aca="1" ref="I323" ca="1">INDEX(Courses!$B$9:$B$16,RANDBETWEEN(1,8))</f>
        <v>Complete Excel Course</v>
      </c>
      <c r="J323" s="5" t="str">
        <f ca="1">VLOOKUP(I323,Courses!$B$9:$C$16,2,0)</f>
        <v>Microsoft Office</v>
      </c>
      <c r="K323" s="7">
        <f ca="1">VLOOKUP(I323,Courses!$B$9:$D$16,3,0)</f>
        <v>59</v>
      </c>
      <c r="L323" s="5" t="str">
        <f t="shared" ref="L323:L386" ca="1" si="67">IF(RAND()&lt;0.6,"Paid",IF(RAND()&lt;0.75,"Pending","Refunded"))</f>
        <v>Paid</v>
      </c>
      <c r="M323" s="8" t="str" cm="1">
        <f t="array" aca="1" ref="M323" ca="1">INDEX('Payment Method'!$A$8:$A$12,RANDBETWEEN(1,5))</f>
        <v>Mastercard Credit</v>
      </c>
      <c r="N323" s="7">
        <f>IFERROR(SUMIF(Holiday!$A$8:$A$11,B323,Holiday!$C$8:$C$11),0)</f>
        <v>0</v>
      </c>
      <c r="O323" s="7">
        <f t="shared" ref="O323:O386" ca="1" si="68">K323-K323*N323</f>
        <v>59</v>
      </c>
      <c r="P323" s="19">
        <f t="shared" ref="P323:P386" ca="1" si="69">O323-S323</f>
        <v>56.935000000000002</v>
      </c>
      <c r="Q323" s="7">
        <f t="shared" ref="Q323:Q386" ca="1" si="70">IF(L323="pending",(K323-K323*N323)-(K323-K323*N323)*R323-((K323-K323*N323)-(K323-K323*N323)*R323)*T323,0)</f>
        <v>0</v>
      </c>
      <c r="R323" s="8">
        <f ca="1">VLOOKUP(M323,'Payment Method'!$A$8:$B$12,2,0)</f>
        <v>3.5000000000000003E-2</v>
      </c>
      <c r="S323" s="9">
        <f t="shared" ca="1" si="60"/>
        <v>2.0649999999999977</v>
      </c>
      <c r="T323" s="8">
        <v>0.01</v>
      </c>
      <c r="U323" s="9">
        <f t="shared" ca="1" si="61"/>
        <v>0.56935000000000002</v>
      </c>
      <c r="V323" s="7">
        <f t="shared" ca="1" si="62"/>
        <v>0</v>
      </c>
      <c r="W323" s="7">
        <f t="shared" ca="1" si="63"/>
        <v>56.365650000000002</v>
      </c>
      <c r="X323" s="5" t="str">
        <f t="shared" ref="X323:X386" ca="1" si="71">CHOOSE(RANDBETWEEN(1,3),"Facebook","Instagram","Tiktok")</f>
        <v>Facebook</v>
      </c>
      <c r="Y323" s="78" t="str">
        <f>IF(COUNTIF($C$1:C322,B322)=1,10,"")</f>
        <v/>
      </c>
    </row>
    <row r="324" spans="1:25" x14ac:dyDescent="0.3">
      <c r="A324" s="75">
        <v>323</v>
      </c>
      <c r="B324" s="6">
        <v>46165</v>
      </c>
      <c r="C324" s="6">
        <v>46170</v>
      </c>
      <c r="D324" s="17" t="str">
        <f t="shared" si="64"/>
        <v>May</v>
      </c>
      <c r="E324" s="5" t="str">
        <f t="shared" ca="1" si="65"/>
        <v>STU-53</v>
      </c>
      <c r="F324" s="5" t="str">
        <f ca="1">IF(COUNTIF($E$2:E324,E324)=1,"New Customer","Returning Customer")</f>
        <v>New Customer</v>
      </c>
      <c r="G324" s="5" t="str">
        <f t="shared" ca="1" si="66"/>
        <v>Not specified</v>
      </c>
      <c r="H324" s="5" t="s">
        <v>141</v>
      </c>
      <c r="I324" s="5" t="str" cm="1">
        <f t="array" aca="1" ref="I324" ca="1">INDEX(Courses!$B$9:$B$16,RANDBETWEEN(1,8))</f>
        <v>PowerPoint</v>
      </c>
      <c r="J324" s="5" t="str">
        <f ca="1">VLOOKUP(I324,Courses!$B$9:$C$16,2,0)</f>
        <v>Microsoft Office</v>
      </c>
      <c r="K324" s="7">
        <f ca="1">VLOOKUP(I324,Courses!$B$9:$D$16,3,0)</f>
        <v>29</v>
      </c>
      <c r="L324" s="5" t="str">
        <f t="shared" ca="1" si="67"/>
        <v>Paid</v>
      </c>
      <c r="M324" s="8" t="str" cm="1">
        <f t="array" aca="1" ref="M324" ca="1">INDEX('Payment Method'!$A$8:$A$12,RANDBETWEEN(1,5))</f>
        <v>Bank Transfer</v>
      </c>
      <c r="N324" s="7">
        <f>IFERROR(SUMIF(Holiday!$A$8:$A$11,B324,Holiday!$C$8:$C$11),0)</f>
        <v>0</v>
      </c>
      <c r="O324" s="7">
        <f t="shared" ca="1" si="68"/>
        <v>29</v>
      </c>
      <c r="P324" s="19">
        <f t="shared" ca="1" si="69"/>
        <v>29</v>
      </c>
      <c r="Q324" s="7">
        <f t="shared" ca="1" si="70"/>
        <v>0</v>
      </c>
      <c r="R324" s="8">
        <f ca="1">VLOOKUP(M324,'Payment Method'!$A$8:$B$12,2,0)</f>
        <v>0</v>
      </c>
      <c r="S324" s="9">
        <f t="shared" ca="1" si="60"/>
        <v>0</v>
      </c>
      <c r="T324" s="8">
        <v>0.01</v>
      </c>
      <c r="U324" s="9">
        <f t="shared" ca="1" si="61"/>
        <v>0.28999999999999915</v>
      </c>
      <c r="V324" s="7">
        <f t="shared" ca="1" si="62"/>
        <v>0</v>
      </c>
      <c r="W324" s="7">
        <f t="shared" ca="1" si="63"/>
        <v>28.71</v>
      </c>
      <c r="X324" s="5" t="str">
        <f t="shared" ca="1" si="71"/>
        <v>Instagram</v>
      </c>
      <c r="Y324" s="78" t="str">
        <f>IF(COUNTIF($C$1:C323,B323)=1,10,"")</f>
        <v/>
      </c>
    </row>
    <row r="325" spans="1:25" x14ac:dyDescent="0.3">
      <c r="A325" s="76">
        <v>324</v>
      </c>
      <c r="B325" s="6">
        <v>46143</v>
      </c>
      <c r="C325" s="6">
        <v>46148</v>
      </c>
      <c r="D325" s="17" t="str">
        <f t="shared" si="64"/>
        <v>May</v>
      </c>
      <c r="E325" s="5" t="str">
        <f t="shared" ca="1" si="65"/>
        <v>STU-51</v>
      </c>
      <c r="F325" s="5" t="str">
        <f ca="1">IF(COUNTIF($E$2:E325,E325)=1,"New Customer","Returning Customer")</f>
        <v>New Customer</v>
      </c>
      <c r="G325" s="5" t="str">
        <f t="shared" ca="1" si="66"/>
        <v>Not specified</v>
      </c>
      <c r="H325" s="5" t="s">
        <v>135</v>
      </c>
      <c r="I325" s="5" t="str" cm="1">
        <f t="array" aca="1" ref="I325" ca="1">INDEX(Courses!$B$9:$B$16,RANDBETWEEN(1,8))</f>
        <v>SQL</v>
      </c>
      <c r="J325" s="5" t="str">
        <f ca="1">VLOOKUP(I325,Courses!$B$9:$C$16,2,0)</f>
        <v>Data Analytics</v>
      </c>
      <c r="K325" s="7">
        <f ca="1">VLOOKUP(I325,Courses!$B$9:$D$16,3,0)</f>
        <v>99</v>
      </c>
      <c r="L325" s="5" t="str">
        <f t="shared" ca="1" si="67"/>
        <v>Paid</v>
      </c>
      <c r="M325" s="8" t="str" cm="1">
        <f t="array" aca="1" ref="M325" ca="1">INDEX('Payment Method'!$A$8:$A$12,RANDBETWEEN(1,5))</f>
        <v>Visa Debit</v>
      </c>
      <c r="N325" s="7">
        <f>IFERROR(SUMIF(Holiday!$A$8:$A$11,B325,Holiday!$C$8:$C$11),0)</f>
        <v>0</v>
      </c>
      <c r="O325" s="7">
        <f t="shared" ca="1" si="68"/>
        <v>99</v>
      </c>
      <c r="P325" s="19">
        <f t="shared" ca="1" si="69"/>
        <v>97.02</v>
      </c>
      <c r="Q325" s="7">
        <f t="shared" ca="1" si="70"/>
        <v>0</v>
      </c>
      <c r="R325" s="8">
        <f ca="1">VLOOKUP(M325,'Payment Method'!$A$8:$B$12,2,0)</f>
        <v>0.02</v>
      </c>
      <c r="S325" s="9">
        <f t="shared" ca="1" si="60"/>
        <v>1.980000000000004</v>
      </c>
      <c r="T325" s="8">
        <v>0.01</v>
      </c>
      <c r="U325" s="9">
        <f t="shared" ca="1" si="61"/>
        <v>0.9702000000000055</v>
      </c>
      <c r="V325" s="7">
        <f t="shared" ca="1" si="62"/>
        <v>0</v>
      </c>
      <c r="W325" s="7">
        <f t="shared" ca="1" si="63"/>
        <v>96.049799999999991</v>
      </c>
      <c r="X325" s="5" t="str">
        <f t="shared" ca="1" si="71"/>
        <v>Tiktok</v>
      </c>
      <c r="Y325" s="78">
        <f>IF(COUNTIF($C$1:C324,B324)=1,10,"")</f>
        <v>10</v>
      </c>
    </row>
    <row r="326" spans="1:25" x14ac:dyDescent="0.3">
      <c r="A326" s="75">
        <v>325</v>
      </c>
      <c r="B326" s="6">
        <v>46140</v>
      </c>
      <c r="C326" s="6">
        <v>46143</v>
      </c>
      <c r="D326" s="17" t="str">
        <f t="shared" si="64"/>
        <v>May</v>
      </c>
      <c r="E326" s="5" t="str">
        <f t="shared" ca="1" si="65"/>
        <v>STU-651</v>
      </c>
      <c r="F326" s="5" t="str">
        <f ca="1">IF(COUNTIF($E$2:E326,E326)=1,"New Customer","Returning Customer")</f>
        <v>New Customer</v>
      </c>
      <c r="G326" s="5" t="str">
        <f t="shared" ca="1" si="66"/>
        <v>Not specified</v>
      </c>
      <c r="H326" s="5" t="s">
        <v>139</v>
      </c>
      <c r="I326" s="5" t="str" cm="1">
        <f t="array" aca="1" ref="I326" ca="1">INDEX(Courses!$B$9:$B$16,RANDBETWEEN(1,8))</f>
        <v>Excel Basics</v>
      </c>
      <c r="J326" s="5" t="str">
        <f ca="1">VLOOKUP(I326,Courses!$B$9:$C$16,2,0)</f>
        <v>Microsoft Office</v>
      </c>
      <c r="K326" s="7">
        <f ca="1">VLOOKUP(I326,Courses!$B$9:$D$16,3,0)</f>
        <v>29</v>
      </c>
      <c r="L326" s="5" t="str">
        <f t="shared" ca="1" si="67"/>
        <v>Paid</v>
      </c>
      <c r="M326" s="8" t="str" cm="1">
        <f t="array" aca="1" ref="M326" ca="1">INDEX('Payment Method'!$A$8:$A$12,RANDBETWEEN(1,5))</f>
        <v>Visa Debit</v>
      </c>
      <c r="N326" s="7">
        <f>IFERROR(SUMIF(Holiday!$A$8:$A$11,B326,Holiday!$C$8:$C$11),0)</f>
        <v>0</v>
      </c>
      <c r="O326" s="7">
        <f t="shared" ca="1" si="68"/>
        <v>29</v>
      </c>
      <c r="P326" s="19">
        <f t="shared" ca="1" si="69"/>
        <v>28.42</v>
      </c>
      <c r="Q326" s="7">
        <f t="shared" ca="1" si="70"/>
        <v>0</v>
      </c>
      <c r="R326" s="8">
        <f ca="1">VLOOKUP(M326,'Payment Method'!$A$8:$B$12,2,0)</f>
        <v>0.02</v>
      </c>
      <c r="S326" s="9">
        <f t="shared" ca="1" si="60"/>
        <v>0.57999999999999829</v>
      </c>
      <c r="T326" s="8">
        <v>0.01</v>
      </c>
      <c r="U326" s="9">
        <f t="shared" ca="1" si="61"/>
        <v>0.28419999999999845</v>
      </c>
      <c r="V326" s="7">
        <f t="shared" ca="1" si="62"/>
        <v>0</v>
      </c>
      <c r="W326" s="7">
        <f t="shared" ca="1" si="63"/>
        <v>28.135800000000003</v>
      </c>
      <c r="X326" s="5" t="str">
        <f t="shared" ca="1" si="71"/>
        <v>Instagram</v>
      </c>
      <c r="Y326" s="78" t="str">
        <f>IF(COUNTIF($C$1:C325,B325)=1,10,"")</f>
        <v/>
      </c>
    </row>
    <row r="327" spans="1:25" x14ac:dyDescent="0.3">
      <c r="A327" s="76">
        <v>326</v>
      </c>
      <c r="B327" s="6">
        <v>46070</v>
      </c>
      <c r="C327" s="6">
        <v>46075</v>
      </c>
      <c r="D327" s="17" t="str">
        <f t="shared" si="64"/>
        <v>February</v>
      </c>
      <c r="E327" s="5" t="str">
        <f t="shared" ca="1" si="65"/>
        <v>STU-25</v>
      </c>
      <c r="F327" s="5" t="str">
        <f ca="1">IF(COUNTIF($E$2:E327,E327)=1,"New Customer","Returning Customer")</f>
        <v>New Customer</v>
      </c>
      <c r="G327" s="5" t="str">
        <f t="shared" ca="1" si="66"/>
        <v>Female</v>
      </c>
      <c r="H327" s="5" t="s">
        <v>136</v>
      </c>
      <c r="I327" s="5" t="str" cm="1">
        <f t="array" aca="1" ref="I327" ca="1">INDEX(Courses!$B$9:$B$16,RANDBETWEEN(1,8))</f>
        <v>Excel Basics</v>
      </c>
      <c r="J327" s="5" t="str">
        <f ca="1">VLOOKUP(I327,Courses!$B$9:$C$16,2,0)</f>
        <v>Microsoft Office</v>
      </c>
      <c r="K327" s="7">
        <f ca="1">VLOOKUP(I327,Courses!$B$9:$D$16,3,0)</f>
        <v>29</v>
      </c>
      <c r="L327" s="5" t="str">
        <f t="shared" ca="1" si="67"/>
        <v>Paid</v>
      </c>
      <c r="M327" s="8" t="str" cm="1">
        <f t="array" aca="1" ref="M327" ca="1">INDEX('Payment Method'!$A$8:$A$12,RANDBETWEEN(1,5))</f>
        <v>Mastercard Credit</v>
      </c>
      <c r="N327" s="7">
        <f>IFERROR(SUMIF(Holiday!$A$8:$A$11,B327,Holiday!$C$8:$C$11),0)</f>
        <v>0</v>
      </c>
      <c r="O327" s="7">
        <f t="shared" ca="1" si="68"/>
        <v>29</v>
      </c>
      <c r="P327" s="19">
        <f t="shared" ca="1" si="69"/>
        <v>27.984999999999999</v>
      </c>
      <c r="Q327" s="7">
        <f t="shared" ca="1" si="70"/>
        <v>0</v>
      </c>
      <c r="R327" s="8">
        <f ca="1">VLOOKUP(M327,'Payment Method'!$A$8:$B$12,2,0)</f>
        <v>3.5000000000000003E-2</v>
      </c>
      <c r="S327" s="9">
        <f t="shared" ca="1" si="60"/>
        <v>1.0150000000000006</v>
      </c>
      <c r="T327" s="8">
        <v>0.01</v>
      </c>
      <c r="U327" s="9">
        <f t="shared" ca="1" si="61"/>
        <v>0.27984999999999971</v>
      </c>
      <c r="V327" s="7">
        <f t="shared" ca="1" si="62"/>
        <v>0</v>
      </c>
      <c r="W327" s="7">
        <f t="shared" ca="1" si="63"/>
        <v>27.70515</v>
      </c>
      <c r="X327" s="5" t="str">
        <f t="shared" ca="1" si="71"/>
        <v>Facebook</v>
      </c>
      <c r="Y327" s="78">
        <f>IF(COUNTIF($C$1:C326,B326)=1,10,"")</f>
        <v>10</v>
      </c>
    </row>
    <row r="328" spans="1:25" x14ac:dyDescent="0.3">
      <c r="A328" s="75">
        <v>327</v>
      </c>
      <c r="B328" s="6">
        <v>46101</v>
      </c>
      <c r="C328" s="6">
        <v>46106</v>
      </c>
      <c r="D328" s="17" t="str">
        <f t="shared" si="64"/>
        <v>March</v>
      </c>
      <c r="E328" s="5" t="str">
        <f t="shared" ca="1" si="65"/>
        <v>STU-629</v>
      </c>
      <c r="F328" s="5" t="str">
        <f ca="1">IF(COUNTIF($E$2:E328,E328)=1,"New Customer","Returning Customer")</f>
        <v>New Customer</v>
      </c>
      <c r="G328" s="5" t="str">
        <f t="shared" ca="1" si="66"/>
        <v>Female</v>
      </c>
      <c r="H328" s="5" t="s">
        <v>142</v>
      </c>
      <c r="I328" s="5" t="str" cm="1">
        <f t="array" aca="1" ref="I328" ca="1">INDEX(Courses!$B$9:$B$16,RANDBETWEEN(1,8))</f>
        <v>Adolescent Psychology</v>
      </c>
      <c r="J328" s="5" t="str">
        <f ca="1">VLOOKUP(I328,Courses!$B$9:$C$16,2,0)</f>
        <v>Psychology</v>
      </c>
      <c r="K328" s="7">
        <f ca="1">VLOOKUP(I328,Courses!$B$9:$D$16,3,0)</f>
        <v>29</v>
      </c>
      <c r="L328" s="5" t="str">
        <f t="shared" ca="1" si="67"/>
        <v>Pending</v>
      </c>
      <c r="M328" s="8" t="str" cm="1">
        <f t="array" aca="1" ref="M328" ca="1">INDEX('Payment Method'!$A$8:$A$12,RANDBETWEEN(1,5))</f>
        <v>Mastercard Credit</v>
      </c>
      <c r="N328" s="7">
        <f>IFERROR(SUMIF(Holiday!$A$8:$A$11,B328,Holiday!$C$8:$C$11),0)</f>
        <v>0</v>
      </c>
      <c r="O328" s="7">
        <f t="shared" ca="1" si="68"/>
        <v>29</v>
      </c>
      <c r="P328" s="19">
        <f t="shared" ca="1" si="69"/>
        <v>27.984999999999999</v>
      </c>
      <c r="Q328" s="7">
        <f t="shared" ca="1" si="70"/>
        <v>27.70515</v>
      </c>
      <c r="R328" s="8">
        <f ca="1">VLOOKUP(M328,'Payment Method'!$A$8:$B$12,2,0)</f>
        <v>3.5000000000000003E-2</v>
      </c>
      <c r="S328" s="9">
        <f t="shared" ca="1" si="60"/>
        <v>1.0150000000000006</v>
      </c>
      <c r="T328" s="8">
        <v>0.01</v>
      </c>
      <c r="U328" s="9">
        <f t="shared" ca="1" si="61"/>
        <v>0.27984999999999971</v>
      </c>
      <c r="V328" s="7">
        <f t="shared" ca="1" si="62"/>
        <v>0</v>
      </c>
      <c r="W328" s="7">
        <f t="shared" ca="1" si="63"/>
        <v>0</v>
      </c>
      <c r="X328" s="5" t="str">
        <f t="shared" ca="1" si="71"/>
        <v>Instagram</v>
      </c>
      <c r="Y328" s="78" t="str">
        <f>IF(COUNTIF($C$1:C327,B327)=1,10,"")</f>
        <v/>
      </c>
    </row>
    <row r="329" spans="1:25" x14ac:dyDescent="0.3">
      <c r="A329" s="76">
        <v>328</v>
      </c>
      <c r="B329" s="6">
        <v>46217</v>
      </c>
      <c r="C329" s="6">
        <v>46221</v>
      </c>
      <c r="D329" s="17" t="str">
        <f t="shared" si="64"/>
        <v>July</v>
      </c>
      <c r="E329" s="5" t="str">
        <f t="shared" ca="1" si="65"/>
        <v>STU-477</v>
      </c>
      <c r="F329" s="5" t="str">
        <f ca="1">IF(COUNTIF($E$2:E329,E329)=1,"New Customer","Returning Customer")</f>
        <v>Returning Customer</v>
      </c>
      <c r="G329" s="5" t="str">
        <f t="shared" ca="1" si="66"/>
        <v>Male</v>
      </c>
      <c r="H329" s="5" t="s">
        <v>142</v>
      </c>
      <c r="I329" s="5" t="str" cm="1">
        <f t="array" aca="1" ref="I329" ca="1">INDEX(Courses!$B$9:$B$16,RANDBETWEEN(1,8))</f>
        <v>PowerPoint</v>
      </c>
      <c r="J329" s="5" t="str">
        <f ca="1">VLOOKUP(I329,Courses!$B$9:$C$16,2,0)</f>
        <v>Microsoft Office</v>
      </c>
      <c r="K329" s="7">
        <f ca="1">VLOOKUP(I329,Courses!$B$9:$D$16,3,0)</f>
        <v>29</v>
      </c>
      <c r="L329" s="5" t="str">
        <f t="shared" ca="1" si="67"/>
        <v>Pending</v>
      </c>
      <c r="M329" s="8" t="str" cm="1">
        <f t="array" aca="1" ref="M329" ca="1">INDEX('Payment Method'!$A$8:$A$12,RANDBETWEEN(1,5))</f>
        <v>Bank Transfer</v>
      </c>
      <c r="N329" s="7">
        <f>IFERROR(SUMIF(Holiday!$A$8:$A$11,B329,Holiday!$C$8:$C$11),0)</f>
        <v>0</v>
      </c>
      <c r="O329" s="7">
        <f t="shared" ca="1" si="68"/>
        <v>29</v>
      </c>
      <c r="P329" s="19">
        <f t="shared" ca="1" si="69"/>
        <v>29</v>
      </c>
      <c r="Q329" s="7">
        <f t="shared" ca="1" si="70"/>
        <v>28.71</v>
      </c>
      <c r="R329" s="8">
        <f ca="1">VLOOKUP(M329,'Payment Method'!$A$8:$B$12,2,0)</f>
        <v>0</v>
      </c>
      <c r="S329" s="9">
        <f t="shared" ca="1" si="60"/>
        <v>0</v>
      </c>
      <c r="T329" s="8">
        <v>0.01</v>
      </c>
      <c r="U329" s="9">
        <f t="shared" ca="1" si="61"/>
        <v>0.28999999999999915</v>
      </c>
      <c r="V329" s="7">
        <f t="shared" ca="1" si="62"/>
        <v>0</v>
      </c>
      <c r="W329" s="7">
        <f t="shared" ca="1" si="63"/>
        <v>0</v>
      </c>
      <c r="X329" s="5" t="str">
        <f t="shared" ca="1" si="71"/>
        <v>Instagram</v>
      </c>
      <c r="Y329" s="78">
        <f>IF(COUNTIF($C$1:C328,B328)=1,10,"")</f>
        <v>10</v>
      </c>
    </row>
    <row r="330" spans="1:25" x14ac:dyDescent="0.3">
      <c r="A330" s="75">
        <v>329</v>
      </c>
      <c r="B330" s="6">
        <v>46132</v>
      </c>
      <c r="C330" s="6">
        <v>46135</v>
      </c>
      <c r="D330" s="17" t="str">
        <f t="shared" si="64"/>
        <v>April</v>
      </c>
      <c r="E330" s="5" t="str">
        <f t="shared" ca="1" si="65"/>
        <v>STU-851</v>
      </c>
      <c r="F330" s="5" t="str">
        <f ca="1">IF(COUNTIF($E$2:E330,E330)=1,"New Customer","Returning Customer")</f>
        <v>Returning Customer</v>
      </c>
      <c r="G330" s="5" t="str">
        <f t="shared" ca="1" si="66"/>
        <v>Not specified</v>
      </c>
      <c r="H330" s="5" t="s">
        <v>135</v>
      </c>
      <c r="I330" s="5" t="str" cm="1">
        <f t="array" aca="1" ref="I330" ca="1">INDEX(Courses!$B$9:$B$16,RANDBETWEEN(1,8))</f>
        <v>Complete Excel Course</v>
      </c>
      <c r="J330" s="5" t="str">
        <f ca="1">VLOOKUP(I330,Courses!$B$9:$C$16,2,0)</f>
        <v>Microsoft Office</v>
      </c>
      <c r="K330" s="7">
        <f ca="1">VLOOKUP(I330,Courses!$B$9:$D$16,3,0)</f>
        <v>59</v>
      </c>
      <c r="L330" s="5" t="str">
        <f t="shared" ca="1" si="67"/>
        <v>Paid</v>
      </c>
      <c r="M330" s="8" t="str" cm="1">
        <f t="array" aca="1" ref="M330" ca="1">INDEX('Payment Method'!$A$8:$A$12,RANDBETWEEN(1,5))</f>
        <v>Mastercard Credit</v>
      </c>
      <c r="N330" s="7">
        <f>IFERROR(SUMIF(Holiday!$A$8:$A$11,B330,Holiday!$C$8:$C$11),0)</f>
        <v>0</v>
      </c>
      <c r="O330" s="7">
        <f t="shared" ca="1" si="68"/>
        <v>59</v>
      </c>
      <c r="P330" s="19">
        <f t="shared" ca="1" si="69"/>
        <v>56.935000000000002</v>
      </c>
      <c r="Q330" s="7">
        <f t="shared" ca="1" si="70"/>
        <v>0</v>
      </c>
      <c r="R330" s="8">
        <f ca="1">VLOOKUP(M330,'Payment Method'!$A$8:$B$12,2,0)</f>
        <v>3.5000000000000003E-2</v>
      </c>
      <c r="S330" s="9">
        <f t="shared" ca="1" si="60"/>
        <v>2.0649999999999977</v>
      </c>
      <c r="T330" s="8">
        <v>0.01</v>
      </c>
      <c r="U330" s="9">
        <f t="shared" ca="1" si="61"/>
        <v>0.56935000000000002</v>
      </c>
      <c r="V330" s="7">
        <f t="shared" ca="1" si="62"/>
        <v>0</v>
      </c>
      <c r="W330" s="7">
        <f t="shared" ca="1" si="63"/>
        <v>56.365650000000002</v>
      </c>
      <c r="X330" s="5" t="str">
        <f t="shared" ca="1" si="71"/>
        <v>Tiktok</v>
      </c>
      <c r="Y330" s="78">
        <f>IF(COUNTIF($C$1:C329,B329)=1,10,"")</f>
        <v>10</v>
      </c>
    </row>
    <row r="331" spans="1:25" x14ac:dyDescent="0.3">
      <c r="A331" s="76">
        <v>330</v>
      </c>
      <c r="B331" s="6">
        <v>46200</v>
      </c>
      <c r="C331" s="6">
        <v>46200</v>
      </c>
      <c r="D331" s="17" t="str">
        <f t="shared" si="64"/>
        <v>June</v>
      </c>
      <c r="E331" s="5" t="str">
        <f t="shared" ca="1" si="65"/>
        <v>STU-423</v>
      </c>
      <c r="F331" s="5" t="str">
        <f ca="1">IF(COUNTIF($E$2:E331,E331)=1,"New Customer","Returning Customer")</f>
        <v>New Customer</v>
      </c>
      <c r="G331" s="5" t="str">
        <f t="shared" ca="1" si="66"/>
        <v>Male</v>
      </c>
      <c r="H331" s="5" t="s">
        <v>139</v>
      </c>
      <c r="I331" s="5" t="str" cm="1">
        <f t="array" aca="1" ref="I331" ca="1">INDEX(Courses!$B$9:$B$16,RANDBETWEEN(1,8))</f>
        <v>Tax Code</v>
      </c>
      <c r="J331" s="5" t="str">
        <f ca="1">VLOOKUP(I331,Courses!$B$9:$C$16,2,0)</f>
        <v>Finance &amp; Taxation</v>
      </c>
      <c r="K331" s="7">
        <f ca="1">VLOOKUP(I331,Courses!$B$9:$D$16,3,0)</f>
        <v>59</v>
      </c>
      <c r="L331" s="5" t="str">
        <f t="shared" ca="1" si="67"/>
        <v>Paid</v>
      </c>
      <c r="M331" s="8" t="str" cm="1">
        <f t="array" aca="1" ref="M331" ca="1">INDEX('Payment Method'!$A$8:$A$12,RANDBETWEEN(1,5))</f>
        <v>Visa Debit</v>
      </c>
      <c r="N331" s="7">
        <f>IFERROR(SUMIF(Holiday!$A$8:$A$11,B331,Holiday!$C$8:$C$11),0)</f>
        <v>0</v>
      </c>
      <c r="O331" s="7">
        <f t="shared" ca="1" si="68"/>
        <v>59</v>
      </c>
      <c r="P331" s="19">
        <f t="shared" ca="1" si="69"/>
        <v>57.82</v>
      </c>
      <c r="Q331" s="7">
        <f t="shared" ca="1" si="70"/>
        <v>0</v>
      </c>
      <c r="R331" s="8">
        <f ca="1">VLOOKUP(M331,'Payment Method'!$A$8:$B$12,2,0)</f>
        <v>0.02</v>
      </c>
      <c r="S331" s="9">
        <f t="shared" ca="1" si="60"/>
        <v>1.1799999999999997</v>
      </c>
      <c r="T331" s="8">
        <v>0.01</v>
      </c>
      <c r="U331" s="9">
        <f t="shared" ca="1" si="61"/>
        <v>0.57820000000000249</v>
      </c>
      <c r="V331" s="7">
        <f t="shared" ca="1" si="62"/>
        <v>0</v>
      </c>
      <c r="W331" s="7">
        <f t="shared" ca="1" si="63"/>
        <v>57.241799999999998</v>
      </c>
      <c r="X331" s="5" t="str">
        <f t="shared" ca="1" si="71"/>
        <v>Facebook</v>
      </c>
      <c r="Y331" s="78">
        <f>IF(COUNTIF($C$1:C330,B330)=1,10,"")</f>
        <v>10</v>
      </c>
    </row>
    <row r="332" spans="1:25" x14ac:dyDescent="0.3">
      <c r="A332" s="75">
        <v>331</v>
      </c>
      <c r="B332" s="6">
        <v>46198</v>
      </c>
      <c r="C332" s="6">
        <v>46202</v>
      </c>
      <c r="D332" s="17" t="str">
        <f t="shared" si="64"/>
        <v>June</v>
      </c>
      <c r="E332" s="5" t="str">
        <f t="shared" ca="1" si="65"/>
        <v>STU-482</v>
      </c>
      <c r="F332" s="5" t="str">
        <f ca="1">IF(COUNTIF($E$2:E332,E332)=1,"New Customer","Returning Customer")</f>
        <v>New Customer</v>
      </c>
      <c r="G332" s="5" t="str">
        <f t="shared" ca="1" si="66"/>
        <v>Not specified</v>
      </c>
      <c r="H332" s="5" t="s">
        <v>142</v>
      </c>
      <c r="I332" s="5" t="str" cm="1">
        <f t="array" aca="1" ref="I332" ca="1">INDEX(Courses!$B$9:$B$16,RANDBETWEEN(1,8))</f>
        <v>Tax Code</v>
      </c>
      <c r="J332" s="5" t="str">
        <f ca="1">VLOOKUP(I332,Courses!$B$9:$C$16,2,0)</f>
        <v>Finance &amp; Taxation</v>
      </c>
      <c r="K332" s="7">
        <f ca="1">VLOOKUP(I332,Courses!$B$9:$D$16,3,0)</f>
        <v>59</v>
      </c>
      <c r="L332" s="5" t="str">
        <f t="shared" ca="1" si="67"/>
        <v>Paid</v>
      </c>
      <c r="M332" s="8" t="str" cm="1">
        <f t="array" aca="1" ref="M332" ca="1">INDEX('Payment Method'!$A$8:$A$12,RANDBETWEEN(1,5))</f>
        <v>Mastercard Credit</v>
      </c>
      <c r="N332" s="7">
        <f>IFERROR(SUMIF(Holiday!$A$8:$A$11,B332,Holiday!$C$8:$C$11),0)</f>
        <v>0</v>
      </c>
      <c r="O332" s="7">
        <f t="shared" ca="1" si="68"/>
        <v>59</v>
      </c>
      <c r="P332" s="19">
        <f t="shared" ca="1" si="69"/>
        <v>56.935000000000002</v>
      </c>
      <c r="Q332" s="7">
        <f t="shared" ca="1" si="70"/>
        <v>0</v>
      </c>
      <c r="R332" s="8">
        <f ca="1">VLOOKUP(M332,'Payment Method'!$A$8:$B$12,2,0)</f>
        <v>3.5000000000000003E-2</v>
      </c>
      <c r="S332" s="9">
        <f t="shared" ca="1" si="60"/>
        <v>2.0649999999999977</v>
      </c>
      <c r="T332" s="8">
        <v>0.01</v>
      </c>
      <c r="U332" s="9">
        <f t="shared" ca="1" si="61"/>
        <v>0.56935000000000002</v>
      </c>
      <c r="V332" s="7">
        <f t="shared" ca="1" si="62"/>
        <v>0</v>
      </c>
      <c r="W332" s="7">
        <f t="shared" ca="1" si="63"/>
        <v>56.365650000000002</v>
      </c>
      <c r="X332" s="5" t="str">
        <f t="shared" ca="1" si="71"/>
        <v>Tiktok</v>
      </c>
      <c r="Y332" s="78" t="str">
        <f>IF(COUNTIF($C$1:C331,B331)=1,10,"")</f>
        <v/>
      </c>
    </row>
    <row r="333" spans="1:25" x14ac:dyDescent="0.3">
      <c r="A333" s="76">
        <v>332</v>
      </c>
      <c r="B333" s="6">
        <v>46113</v>
      </c>
      <c r="C333" s="6">
        <v>46113</v>
      </c>
      <c r="D333" s="17" t="str">
        <f t="shared" si="64"/>
        <v>April</v>
      </c>
      <c r="E333" s="5" t="str">
        <f t="shared" ca="1" si="65"/>
        <v>STU-964</v>
      </c>
      <c r="F333" s="5" t="str">
        <f ca="1">IF(COUNTIF($E$2:E333,E333)=1,"New Customer","Returning Customer")</f>
        <v>New Customer</v>
      </c>
      <c r="G333" s="5" t="str">
        <f t="shared" ca="1" si="66"/>
        <v>Male</v>
      </c>
      <c r="H333" s="5" t="s">
        <v>137</v>
      </c>
      <c r="I333" s="5" t="str" cm="1">
        <f t="array" aca="1" ref="I333" ca="1">INDEX(Courses!$B$9:$B$16,RANDBETWEEN(1,8))</f>
        <v>Tax Code</v>
      </c>
      <c r="J333" s="5" t="str">
        <f ca="1">VLOOKUP(I333,Courses!$B$9:$C$16,2,0)</f>
        <v>Finance &amp; Taxation</v>
      </c>
      <c r="K333" s="7">
        <f ca="1">VLOOKUP(I333,Courses!$B$9:$D$16,3,0)</f>
        <v>59</v>
      </c>
      <c r="L333" s="5" t="str">
        <f t="shared" ca="1" si="67"/>
        <v>Pending</v>
      </c>
      <c r="M333" s="8" t="str" cm="1">
        <f t="array" aca="1" ref="M333" ca="1">INDEX('Payment Method'!$A$8:$A$12,RANDBETWEEN(1,5))</f>
        <v>Visa Debit</v>
      </c>
      <c r="N333" s="7">
        <f>IFERROR(SUMIF(Holiday!$A$8:$A$11,B333,Holiday!$C$8:$C$11),0)</f>
        <v>0</v>
      </c>
      <c r="O333" s="7">
        <f t="shared" ca="1" si="68"/>
        <v>59</v>
      </c>
      <c r="P333" s="19">
        <f t="shared" ca="1" si="69"/>
        <v>57.82</v>
      </c>
      <c r="Q333" s="7">
        <f t="shared" ca="1" si="70"/>
        <v>57.241799999999998</v>
      </c>
      <c r="R333" s="8">
        <f ca="1">VLOOKUP(M333,'Payment Method'!$A$8:$B$12,2,0)</f>
        <v>0.02</v>
      </c>
      <c r="S333" s="9">
        <f t="shared" ca="1" si="60"/>
        <v>1.1799999999999997</v>
      </c>
      <c r="T333" s="8">
        <v>0.01</v>
      </c>
      <c r="U333" s="9">
        <f t="shared" ca="1" si="61"/>
        <v>0.57820000000000249</v>
      </c>
      <c r="V333" s="7">
        <f t="shared" ca="1" si="62"/>
        <v>0</v>
      </c>
      <c r="W333" s="7">
        <f t="shared" ca="1" si="63"/>
        <v>0</v>
      </c>
      <c r="X333" s="5" t="str">
        <f t="shared" ca="1" si="71"/>
        <v>Instagram</v>
      </c>
      <c r="Y333" s="78" t="str">
        <f>IF(COUNTIF($C$1:C332,B332)=1,10,"")</f>
        <v/>
      </c>
    </row>
    <row r="334" spans="1:25" x14ac:dyDescent="0.3">
      <c r="A334" s="75">
        <v>333</v>
      </c>
      <c r="B334" s="6">
        <v>46179</v>
      </c>
      <c r="C334" s="6">
        <v>46183</v>
      </c>
      <c r="D334" s="17" t="str">
        <f t="shared" si="64"/>
        <v>June</v>
      </c>
      <c r="E334" s="5" t="str">
        <f t="shared" ca="1" si="65"/>
        <v>STU-711</v>
      </c>
      <c r="F334" s="5" t="str">
        <f ca="1">IF(COUNTIF($E$2:E334,E334)=1,"New Customer","Returning Customer")</f>
        <v>Returning Customer</v>
      </c>
      <c r="G334" s="5" t="str">
        <f t="shared" ca="1" si="66"/>
        <v>Not specified</v>
      </c>
      <c r="H334" s="5" t="s">
        <v>135</v>
      </c>
      <c r="I334" s="5" t="str" cm="1">
        <f t="array" aca="1" ref="I334" ca="1">INDEX(Courses!$B$9:$B$16,RANDBETWEEN(1,8))</f>
        <v>Tax Code</v>
      </c>
      <c r="J334" s="5" t="str">
        <f ca="1">VLOOKUP(I334,Courses!$B$9:$C$16,2,0)</f>
        <v>Finance &amp; Taxation</v>
      </c>
      <c r="K334" s="7">
        <f ca="1">VLOOKUP(I334,Courses!$B$9:$D$16,3,0)</f>
        <v>59</v>
      </c>
      <c r="L334" s="5" t="str">
        <f t="shared" ca="1" si="67"/>
        <v>Paid</v>
      </c>
      <c r="M334" s="8" t="str" cm="1">
        <f t="array" aca="1" ref="M334" ca="1">INDEX('Payment Method'!$A$8:$A$12,RANDBETWEEN(1,5))</f>
        <v>Mastercard Credit</v>
      </c>
      <c r="N334" s="7">
        <f>IFERROR(SUMIF(Holiday!$A$8:$A$11,B334,Holiday!$C$8:$C$11),0)</f>
        <v>0</v>
      </c>
      <c r="O334" s="7">
        <f t="shared" ca="1" si="68"/>
        <v>59</v>
      </c>
      <c r="P334" s="19">
        <f t="shared" ca="1" si="69"/>
        <v>56.935000000000002</v>
      </c>
      <c r="Q334" s="7">
        <f t="shared" ca="1" si="70"/>
        <v>0</v>
      </c>
      <c r="R334" s="8">
        <f ca="1">VLOOKUP(M334,'Payment Method'!$A$8:$B$12,2,0)</f>
        <v>3.5000000000000003E-2</v>
      </c>
      <c r="S334" s="9">
        <f t="shared" ca="1" si="60"/>
        <v>2.0649999999999977</v>
      </c>
      <c r="T334" s="8">
        <v>0.01</v>
      </c>
      <c r="U334" s="9">
        <f t="shared" ca="1" si="61"/>
        <v>0.56935000000000002</v>
      </c>
      <c r="V334" s="7">
        <f t="shared" ca="1" si="62"/>
        <v>0</v>
      </c>
      <c r="W334" s="7">
        <f t="shared" ca="1" si="63"/>
        <v>56.365650000000002</v>
      </c>
      <c r="X334" s="5" t="str">
        <f t="shared" ca="1" si="71"/>
        <v>Facebook</v>
      </c>
      <c r="Y334" s="78" t="str">
        <f>IF(COUNTIF($C$1:C333,B333)=1,10,"")</f>
        <v/>
      </c>
    </row>
    <row r="335" spans="1:25" x14ac:dyDescent="0.3">
      <c r="A335" s="76">
        <v>334</v>
      </c>
      <c r="B335" s="6">
        <v>46034</v>
      </c>
      <c r="C335" s="6">
        <v>46034</v>
      </c>
      <c r="D335" s="17" t="str">
        <f t="shared" si="64"/>
        <v>January</v>
      </c>
      <c r="E335" s="5" t="str">
        <f t="shared" ca="1" si="65"/>
        <v>STU-671</v>
      </c>
      <c r="F335" s="5" t="str">
        <f ca="1">IF(COUNTIF($E$2:E335,E335)=1,"New Customer","Returning Customer")</f>
        <v>Returning Customer</v>
      </c>
      <c r="G335" s="5" t="str">
        <f t="shared" ca="1" si="66"/>
        <v>Male</v>
      </c>
      <c r="H335" s="5" t="s">
        <v>141</v>
      </c>
      <c r="I335" s="5" t="str" cm="1">
        <f t="array" aca="1" ref="I335" ca="1">INDEX(Courses!$B$9:$B$16,RANDBETWEEN(1,8))</f>
        <v>Microsoft Word</v>
      </c>
      <c r="J335" s="5" t="str">
        <f ca="1">VLOOKUP(I335,Courses!$B$9:$C$16,2,0)</f>
        <v>Microsoft Office</v>
      </c>
      <c r="K335" s="7">
        <f ca="1">VLOOKUP(I335,Courses!$B$9:$D$16,3,0)</f>
        <v>29</v>
      </c>
      <c r="L335" s="5" t="str">
        <f t="shared" ca="1" si="67"/>
        <v>Paid</v>
      </c>
      <c r="M335" s="8" t="str" cm="1">
        <f t="array" aca="1" ref="M335" ca="1">INDEX('Payment Method'!$A$8:$A$12,RANDBETWEEN(1,5))</f>
        <v>Visa Credit</v>
      </c>
      <c r="N335" s="7">
        <f>IFERROR(SUMIF(Holiday!$A$8:$A$11,B335,Holiday!$C$8:$C$11),0)</f>
        <v>0</v>
      </c>
      <c r="O335" s="7">
        <f t="shared" ca="1" si="68"/>
        <v>29</v>
      </c>
      <c r="P335" s="19">
        <f t="shared" ca="1" si="69"/>
        <v>27.984999999999999</v>
      </c>
      <c r="Q335" s="7">
        <f t="shared" ca="1" si="70"/>
        <v>0</v>
      </c>
      <c r="R335" s="8">
        <f ca="1">VLOOKUP(M335,'Payment Method'!$A$8:$B$12,2,0)</f>
        <v>3.5000000000000003E-2</v>
      </c>
      <c r="S335" s="9">
        <f t="shared" ca="1" si="60"/>
        <v>1.0150000000000006</v>
      </c>
      <c r="T335" s="8">
        <v>0.01</v>
      </c>
      <c r="U335" s="9">
        <f t="shared" ca="1" si="61"/>
        <v>0.27984999999999971</v>
      </c>
      <c r="V335" s="7">
        <f t="shared" ca="1" si="62"/>
        <v>0</v>
      </c>
      <c r="W335" s="7">
        <f t="shared" ca="1" si="63"/>
        <v>27.70515</v>
      </c>
      <c r="X335" s="5" t="str">
        <f t="shared" ca="1" si="71"/>
        <v>Facebook</v>
      </c>
      <c r="Y335" s="78" t="str">
        <f>IF(COUNTIF($C$1:C334,B334)=1,10,"")</f>
        <v/>
      </c>
    </row>
    <row r="336" spans="1:25" x14ac:dyDescent="0.3">
      <c r="A336" s="75">
        <v>335</v>
      </c>
      <c r="B336" s="6">
        <v>46084</v>
      </c>
      <c r="C336" s="6">
        <v>46089</v>
      </c>
      <c r="D336" s="17" t="str">
        <f t="shared" si="64"/>
        <v>March</v>
      </c>
      <c r="E336" s="5" t="str">
        <f t="shared" ca="1" si="65"/>
        <v>STU-473</v>
      </c>
      <c r="F336" s="5" t="str">
        <f ca="1">IF(COUNTIF($E$2:E336,E336)=1,"New Customer","Returning Customer")</f>
        <v>Returning Customer</v>
      </c>
      <c r="G336" s="5" t="str">
        <f t="shared" ca="1" si="66"/>
        <v>Not specified</v>
      </c>
      <c r="H336" s="5" t="s">
        <v>135</v>
      </c>
      <c r="I336" s="5" t="str" cm="1">
        <f t="array" aca="1" ref="I336" ca="1">INDEX(Courses!$B$9:$B$16,RANDBETWEEN(1,8))</f>
        <v>Excel Basics</v>
      </c>
      <c r="J336" s="5" t="str">
        <f ca="1">VLOOKUP(I336,Courses!$B$9:$C$16,2,0)</f>
        <v>Microsoft Office</v>
      </c>
      <c r="K336" s="7">
        <f ca="1">VLOOKUP(I336,Courses!$B$9:$D$16,3,0)</f>
        <v>29</v>
      </c>
      <c r="L336" s="5" t="str">
        <f t="shared" ca="1" si="67"/>
        <v>Paid</v>
      </c>
      <c r="M336" s="8" t="str" cm="1">
        <f t="array" aca="1" ref="M336" ca="1">INDEX('Payment Method'!$A$8:$A$12,RANDBETWEEN(1,5))</f>
        <v>Bank Transfer</v>
      </c>
      <c r="N336" s="7">
        <f>IFERROR(SUMIF(Holiday!$A$8:$A$11,B336,Holiday!$C$8:$C$11),0)</f>
        <v>20</v>
      </c>
      <c r="O336" s="7">
        <f t="shared" ca="1" si="68"/>
        <v>-551</v>
      </c>
      <c r="P336" s="19">
        <f t="shared" ca="1" si="69"/>
        <v>-551</v>
      </c>
      <c r="Q336" s="7">
        <f t="shared" ca="1" si="70"/>
        <v>0</v>
      </c>
      <c r="R336" s="8">
        <f ca="1">VLOOKUP(M336,'Payment Method'!$A$8:$B$12,2,0)</f>
        <v>0</v>
      </c>
      <c r="S336" s="9">
        <f t="shared" ca="1" si="60"/>
        <v>0</v>
      </c>
      <c r="T336" s="8">
        <v>0.01</v>
      </c>
      <c r="U336" s="9">
        <f t="shared" ca="1" si="61"/>
        <v>-5.5099999999999909</v>
      </c>
      <c r="V336" s="7">
        <f t="shared" ca="1" si="62"/>
        <v>0</v>
      </c>
      <c r="W336" s="7">
        <f t="shared" ca="1" si="63"/>
        <v>-545.49</v>
      </c>
      <c r="X336" s="5" t="str">
        <f t="shared" ca="1" si="71"/>
        <v>Tiktok</v>
      </c>
      <c r="Y336" s="78" t="str">
        <f>IF(COUNTIF($C$1:C335,B335)=1,10,"")</f>
        <v/>
      </c>
    </row>
    <row r="337" spans="1:25" x14ac:dyDescent="0.3">
      <c r="A337" s="76">
        <v>336</v>
      </c>
      <c r="B337" s="6">
        <v>46057</v>
      </c>
      <c r="C337" s="6">
        <v>46061</v>
      </c>
      <c r="D337" s="17" t="str">
        <f t="shared" si="64"/>
        <v>February</v>
      </c>
      <c r="E337" s="5" t="str">
        <f t="shared" ca="1" si="65"/>
        <v>STU-325</v>
      </c>
      <c r="F337" s="5" t="str">
        <f ca="1">IF(COUNTIF($E$2:E337,E337)=1,"New Customer","Returning Customer")</f>
        <v>Returning Customer</v>
      </c>
      <c r="G337" s="5" t="str">
        <f t="shared" ca="1" si="66"/>
        <v>Male</v>
      </c>
      <c r="H337" s="5" t="s">
        <v>140</v>
      </c>
      <c r="I337" s="5" t="str" cm="1">
        <f t="array" aca="1" ref="I337" ca="1">INDEX(Courses!$B$9:$B$16,RANDBETWEEN(1,8))</f>
        <v>Complete Excel Course</v>
      </c>
      <c r="J337" s="5" t="str">
        <f ca="1">VLOOKUP(I337,Courses!$B$9:$C$16,2,0)</f>
        <v>Microsoft Office</v>
      </c>
      <c r="K337" s="7">
        <f ca="1">VLOOKUP(I337,Courses!$B$9:$D$16,3,0)</f>
        <v>59</v>
      </c>
      <c r="L337" s="5" t="str">
        <f t="shared" ca="1" si="67"/>
        <v>Pending</v>
      </c>
      <c r="M337" s="8" t="str" cm="1">
        <f t="array" aca="1" ref="M337" ca="1">INDEX('Payment Method'!$A$8:$A$12,RANDBETWEEN(1,5))</f>
        <v>Bank Transfer</v>
      </c>
      <c r="N337" s="7">
        <f>IFERROR(SUMIF(Holiday!$A$8:$A$11,B337,Holiday!$C$8:$C$11),0)</f>
        <v>0</v>
      </c>
      <c r="O337" s="7">
        <f t="shared" ca="1" si="68"/>
        <v>59</v>
      </c>
      <c r="P337" s="19">
        <f t="shared" ca="1" si="69"/>
        <v>59</v>
      </c>
      <c r="Q337" s="7">
        <f t="shared" ca="1" si="70"/>
        <v>58.41</v>
      </c>
      <c r="R337" s="8">
        <f ca="1">VLOOKUP(M337,'Payment Method'!$A$8:$B$12,2,0)</f>
        <v>0</v>
      </c>
      <c r="S337" s="9">
        <f t="shared" ca="1" si="60"/>
        <v>0</v>
      </c>
      <c r="T337" s="8">
        <v>0.01</v>
      </c>
      <c r="U337" s="9">
        <f t="shared" ca="1" si="61"/>
        <v>0.59000000000000341</v>
      </c>
      <c r="V337" s="7">
        <f t="shared" ca="1" si="62"/>
        <v>0</v>
      </c>
      <c r="W337" s="7">
        <f t="shared" ca="1" si="63"/>
        <v>0</v>
      </c>
      <c r="X337" s="5" t="str">
        <f t="shared" ca="1" si="71"/>
        <v>Facebook</v>
      </c>
      <c r="Y337" s="78">
        <f>IF(COUNTIF($C$1:C336,B336)=1,10,"")</f>
        <v>10</v>
      </c>
    </row>
    <row r="338" spans="1:25" x14ac:dyDescent="0.3">
      <c r="A338" s="75">
        <v>337</v>
      </c>
      <c r="B338" s="6">
        <v>46200</v>
      </c>
      <c r="C338" s="6">
        <v>46201</v>
      </c>
      <c r="D338" s="17" t="str">
        <f t="shared" si="64"/>
        <v>June</v>
      </c>
      <c r="E338" s="5" t="str">
        <f t="shared" ca="1" si="65"/>
        <v>STU-266</v>
      </c>
      <c r="F338" s="5" t="str">
        <f ca="1">IF(COUNTIF($E$2:E338,E338)=1,"New Customer","Returning Customer")</f>
        <v>New Customer</v>
      </c>
      <c r="G338" s="5" t="str">
        <f t="shared" ca="1" si="66"/>
        <v>Male</v>
      </c>
      <c r="H338" s="5" t="s">
        <v>140</v>
      </c>
      <c r="I338" s="5" t="str" cm="1">
        <f t="array" aca="1" ref="I338" ca="1">INDEX(Courses!$B$9:$B$16,RANDBETWEEN(1,8))</f>
        <v>Power BI</v>
      </c>
      <c r="J338" s="5" t="str">
        <f ca="1">VLOOKUP(I338,Courses!$B$9:$C$16,2,0)</f>
        <v>Data Analytics</v>
      </c>
      <c r="K338" s="7">
        <f ca="1">VLOOKUP(I338,Courses!$B$9:$D$16,3,0)</f>
        <v>59</v>
      </c>
      <c r="L338" s="5" t="str">
        <f t="shared" ca="1" si="67"/>
        <v>Paid</v>
      </c>
      <c r="M338" s="8" t="str" cm="1">
        <f t="array" aca="1" ref="M338" ca="1">INDEX('Payment Method'!$A$8:$A$12,RANDBETWEEN(1,5))</f>
        <v>Mastercard Credit</v>
      </c>
      <c r="N338" s="7">
        <f>IFERROR(SUMIF(Holiday!$A$8:$A$11,B338,Holiday!$C$8:$C$11),0)</f>
        <v>0</v>
      </c>
      <c r="O338" s="7">
        <f t="shared" ca="1" si="68"/>
        <v>59</v>
      </c>
      <c r="P338" s="19">
        <f t="shared" ca="1" si="69"/>
        <v>56.935000000000002</v>
      </c>
      <c r="Q338" s="7">
        <f t="shared" ca="1" si="70"/>
        <v>0</v>
      </c>
      <c r="R338" s="8">
        <f ca="1">VLOOKUP(M338,'Payment Method'!$A$8:$B$12,2,0)</f>
        <v>3.5000000000000003E-2</v>
      </c>
      <c r="S338" s="9">
        <f t="shared" ca="1" si="60"/>
        <v>2.0649999999999977</v>
      </c>
      <c r="T338" s="8">
        <v>0.01</v>
      </c>
      <c r="U338" s="9">
        <f t="shared" ca="1" si="61"/>
        <v>0.56935000000000002</v>
      </c>
      <c r="V338" s="7">
        <f t="shared" ca="1" si="62"/>
        <v>0</v>
      </c>
      <c r="W338" s="7">
        <f t="shared" ca="1" si="63"/>
        <v>56.365650000000002</v>
      </c>
      <c r="X338" s="5" t="str">
        <f t="shared" ca="1" si="71"/>
        <v>Facebook</v>
      </c>
      <c r="Y338" s="78" t="str">
        <f>IF(COUNTIF($C$1:C337,B337)=1,10,"")</f>
        <v/>
      </c>
    </row>
    <row r="339" spans="1:25" x14ac:dyDescent="0.3">
      <c r="A339" s="76">
        <v>338</v>
      </c>
      <c r="B339" s="6">
        <v>46090</v>
      </c>
      <c r="C339" s="6">
        <v>46095</v>
      </c>
      <c r="D339" s="17" t="str">
        <f t="shared" si="64"/>
        <v>March</v>
      </c>
      <c r="E339" s="5" t="str">
        <f t="shared" ca="1" si="65"/>
        <v>STU-301</v>
      </c>
      <c r="F339" s="5" t="str">
        <f ca="1">IF(COUNTIF($E$2:E339,E339)=1,"New Customer","Returning Customer")</f>
        <v>New Customer</v>
      </c>
      <c r="G339" s="5" t="str">
        <f t="shared" ca="1" si="66"/>
        <v>Female</v>
      </c>
      <c r="H339" s="5" t="s">
        <v>142</v>
      </c>
      <c r="I339" s="5" t="str" cm="1">
        <f t="array" aca="1" ref="I339" ca="1">INDEX(Courses!$B$9:$B$16,RANDBETWEEN(1,8))</f>
        <v>Microsoft Word</v>
      </c>
      <c r="J339" s="5" t="str">
        <f ca="1">VLOOKUP(I339,Courses!$B$9:$C$16,2,0)</f>
        <v>Microsoft Office</v>
      </c>
      <c r="K339" s="7">
        <f ca="1">VLOOKUP(I339,Courses!$B$9:$D$16,3,0)</f>
        <v>29</v>
      </c>
      <c r="L339" s="5" t="str">
        <f t="shared" ca="1" si="67"/>
        <v>Paid</v>
      </c>
      <c r="M339" s="8" t="str" cm="1">
        <f t="array" aca="1" ref="M339" ca="1">INDEX('Payment Method'!$A$8:$A$12,RANDBETWEEN(1,5))</f>
        <v>Bank Transfer</v>
      </c>
      <c r="N339" s="7">
        <f>IFERROR(SUMIF(Holiday!$A$8:$A$11,B339,Holiday!$C$8:$C$11),0)</f>
        <v>0</v>
      </c>
      <c r="O339" s="7">
        <f t="shared" ca="1" si="68"/>
        <v>29</v>
      </c>
      <c r="P339" s="19">
        <f t="shared" ca="1" si="69"/>
        <v>29</v>
      </c>
      <c r="Q339" s="7">
        <f t="shared" ca="1" si="70"/>
        <v>0</v>
      </c>
      <c r="R339" s="8">
        <f ca="1">VLOOKUP(M339,'Payment Method'!$A$8:$B$12,2,0)</f>
        <v>0</v>
      </c>
      <c r="S339" s="9">
        <f t="shared" ca="1" si="60"/>
        <v>0</v>
      </c>
      <c r="T339" s="8">
        <v>0.01</v>
      </c>
      <c r="U339" s="9">
        <f t="shared" ca="1" si="61"/>
        <v>0.28999999999999915</v>
      </c>
      <c r="V339" s="7">
        <f t="shared" ca="1" si="62"/>
        <v>0</v>
      </c>
      <c r="W339" s="7">
        <f t="shared" ca="1" si="63"/>
        <v>28.71</v>
      </c>
      <c r="X339" s="5" t="str">
        <f t="shared" ca="1" si="71"/>
        <v>Facebook</v>
      </c>
      <c r="Y339" s="78" t="str">
        <f>IF(COUNTIF($C$1:C338,B338)=1,10,"")</f>
        <v/>
      </c>
    </row>
    <row r="340" spans="1:25" x14ac:dyDescent="0.3">
      <c r="A340" s="75">
        <v>339</v>
      </c>
      <c r="B340" s="6">
        <v>46205</v>
      </c>
      <c r="C340" s="6">
        <v>46207</v>
      </c>
      <c r="D340" s="17" t="str">
        <f t="shared" si="64"/>
        <v>July</v>
      </c>
      <c r="E340" s="5" t="str">
        <f t="shared" ca="1" si="65"/>
        <v>STU-872</v>
      </c>
      <c r="F340" s="5" t="str">
        <f ca="1">IF(COUNTIF($E$2:E340,E340)=1,"New Customer","Returning Customer")</f>
        <v>New Customer</v>
      </c>
      <c r="G340" s="5" t="str">
        <f t="shared" ca="1" si="66"/>
        <v>Not specified</v>
      </c>
      <c r="H340" s="5" t="s">
        <v>140</v>
      </c>
      <c r="I340" s="5" t="str" cm="1">
        <f t="array" aca="1" ref="I340" ca="1">INDEX(Courses!$B$9:$B$16,RANDBETWEEN(1,8))</f>
        <v>SQL</v>
      </c>
      <c r="J340" s="5" t="str">
        <f ca="1">VLOOKUP(I340,Courses!$B$9:$C$16,2,0)</f>
        <v>Data Analytics</v>
      </c>
      <c r="K340" s="7">
        <f ca="1">VLOOKUP(I340,Courses!$B$9:$D$16,3,0)</f>
        <v>99</v>
      </c>
      <c r="L340" s="5" t="str">
        <f t="shared" ca="1" si="67"/>
        <v>Paid</v>
      </c>
      <c r="M340" s="8" t="str" cm="1">
        <f t="array" aca="1" ref="M340" ca="1">INDEX('Payment Method'!$A$8:$A$12,RANDBETWEEN(1,5))</f>
        <v>Bank Transfer</v>
      </c>
      <c r="N340" s="7">
        <f>IFERROR(SUMIF(Holiday!$A$8:$A$11,B340,Holiday!$C$8:$C$11),0)</f>
        <v>0</v>
      </c>
      <c r="O340" s="7">
        <f t="shared" ca="1" si="68"/>
        <v>99</v>
      </c>
      <c r="P340" s="19">
        <f t="shared" ca="1" si="69"/>
        <v>99</v>
      </c>
      <c r="Q340" s="7">
        <f t="shared" ca="1" si="70"/>
        <v>0</v>
      </c>
      <c r="R340" s="8">
        <f ca="1">VLOOKUP(M340,'Payment Method'!$A$8:$B$12,2,0)</f>
        <v>0</v>
      </c>
      <c r="S340" s="9">
        <f t="shared" ca="1" si="60"/>
        <v>0</v>
      </c>
      <c r="T340" s="8">
        <v>0.01</v>
      </c>
      <c r="U340" s="9">
        <f t="shared" ca="1" si="61"/>
        <v>0.98999999999999488</v>
      </c>
      <c r="V340" s="7">
        <f t="shared" ca="1" si="62"/>
        <v>0</v>
      </c>
      <c r="W340" s="7">
        <f t="shared" ca="1" si="63"/>
        <v>98.01</v>
      </c>
      <c r="X340" s="5" t="str">
        <f t="shared" ca="1" si="71"/>
        <v>Facebook</v>
      </c>
      <c r="Y340" s="78" t="str">
        <f>IF(COUNTIF($C$1:C339,B339)=1,10,"")</f>
        <v/>
      </c>
    </row>
    <row r="341" spans="1:25" x14ac:dyDescent="0.3">
      <c r="A341" s="76">
        <v>340</v>
      </c>
      <c r="B341" s="6">
        <v>46191</v>
      </c>
      <c r="C341" s="6">
        <v>46194</v>
      </c>
      <c r="D341" s="17" t="str">
        <f t="shared" si="64"/>
        <v>June</v>
      </c>
      <c r="E341" s="5" t="str">
        <f t="shared" ca="1" si="65"/>
        <v>STU-194</v>
      </c>
      <c r="F341" s="5" t="str">
        <f ca="1">IF(COUNTIF($E$2:E341,E341)=1,"New Customer","Returning Customer")</f>
        <v>Returning Customer</v>
      </c>
      <c r="G341" s="5" t="str">
        <f t="shared" ca="1" si="66"/>
        <v>Not specified</v>
      </c>
      <c r="H341" s="5" t="s">
        <v>141</v>
      </c>
      <c r="I341" s="5" t="str" cm="1">
        <f t="array" aca="1" ref="I341" ca="1">INDEX(Courses!$B$9:$B$16,RANDBETWEEN(1,8))</f>
        <v>Microsoft Word</v>
      </c>
      <c r="J341" s="5" t="str">
        <f ca="1">VLOOKUP(I341,Courses!$B$9:$C$16,2,0)</f>
        <v>Microsoft Office</v>
      </c>
      <c r="K341" s="7">
        <f ca="1">VLOOKUP(I341,Courses!$B$9:$D$16,3,0)</f>
        <v>29</v>
      </c>
      <c r="L341" s="5" t="str">
        <f t="shared" ca="1" si="67"/>
        <v>Pending</v>
      </c>
      <c r="M341" s="8" t="str" cm="1">
        <f t="array" aca="1" ref="M341" ca="1">INDEX('Payment Method'!$A$8:$A$12,RANDBETWEEN(1,5))</f>
        <v>Visa Credit</v>
      </c>
      <c r="N341" s="7">
        <f>IFERROR(SUMIF(Holiday!$A$8:$A$11,B341,Holiday!$C$8:$C$11),0)</f>
        <v>0</v>
      </c>
      <c r="O341" s="7">
        <f t="shared" ca="1" si="68"/>
        <v>29</v>
      </c>
      <c r="P341" s="19">
        <f t="shared" ca="1" si="69"/>
        <v>27.984999999999999</v>
      </c>
      <c r="Q341" s="7">
        <f t="shared" ca="1" si="70"/>
        <v>27.70515</v>
      </c>
      <c r="R341" s="8">
        <f ca="1">VLOOKUP(M341,'Payment Method'!$A$8:$B$12,2,0)</f>
        <v>3.5000000000000003E-2</v>
      </c>
      <c r="S341" s="9">
        <f t="shared" ca="1" si="60"/>
        <v>1.0150000000000006</v>
      </c>
      <c r="T341" s="8">
        <v>0.01</v>
      </c>
      <c r="U341" s="9">
        <f t="shared" ca="1" si="61"/>
        <v>0.27984999999999971</v>
      </c>
      <c r="V341" s="7">
        <f t="shared" ca="1" si="62"/>
        <v>0</v>
      </c>
      <c r="W341" s="7">
        <f t="shared" ca="1" si="63"/>
        <v>0</v>
      </c>
      <c r="X341" s="5" t="str">
        <f t="shared" ca="1" si="71"/>
        <v>Tiktok</v>
      </c>
      <c r="Y341" s="78" t="str">
        <f>IF(COUNTIF($C$1:C340,B340)=1,10,"")</f>
        <v/>
      </c>
    </row>
    <row r="342" spans="1:25" x14ac:dyDescent="0.3">
      <c r="A342" s="75">
        <v>341</v>
      </c>
      <c r="B342" s="6">
        <v>46205</v>
      </c>
      <c r="C342" s="6">
        <v>46210</v>
      </c>
      <c r="D342" s="17" t="str">
        <f t="shared" si="64"/>
        <v>July</v>
      </c>
      <c r="E342" s="5" t="str">
        <f t="shared" ca="1" si="65"/>
        <v>STU-866</v>
      </c>
      <c r="F342" s="5" t="str">
        <f ca="1">IF(COUNTIF($E$2:E342,E342)=1,"New Customer","Returning Customer")</f>
        <v>New Customer</v>
      </c>
      <c r="G342" s="5" t="str">
        <f t="shared" ca="1" si="66"/>
        <v>Female</v>
      </c>
      <c r="H342" s="5" t="s">
        <v>139</v>
      </c>
      <c r="I342" s="5" t="str" cm="1">
        <f t="array" aca="1" ref="I342" ca="1">INDEX(Courses!$B$9:$B$16,RANDBETWEEN(1,8))</f>
        <v>PowerPoint</v>
      </c>
      <c r="J342" s="5" t="str">
        <f ca="1">VLOOKUP(I342,Courses!$B$9:$C$16,2,0)</f>
        <v>Microsoft Office</v>
      </c>
      <c r="K342" s="7">
        <f ca="1">VLOOKUP(I342,Courses!$B$9:$D$16,3,0)</f>
        <v>29</v>
      </c>
      <c r="L342" s="5" t="str">
        <f t="shared" ca="1" si="67"/>
        <v>Paid</v>
      </c>
      <c r="M342" s="8" t="str" cm="1">
        <f t="array" aca="1" ref="M342" ca="1">INDEX('Payment Method'!$A$8:$A$12,RANDBETWEEN(1,5))</f>
        <v>Visa Credit</v>
      </c>
      <c r="N342" s="7">
        <f>IFERROR(SUMIF(Holiday!$A$8:$A$11,B342,Holiday!$C$8:$C$11),0)</f>
        <v>0</v>
      </c>
      <c r="O342" s="7">
        <f t="shared" ca="1" si="68"/>
        <v>29</v>
      </c>
      <c r="P342" s="19">
        <f t="shared" ca="1" si="69"/>
        <v>27.984999999999999</v>
      </c>
      <c r="Q342" s="7">
        <f t="shared" ca="1" si="70"/>
        <v>0</v>
      </c>
      <c r="R342" s="8">
        <f ca="1">VLOOKUP(M342,'Payment Method'!$A$8:$B$12,2,0)</f>
        <v>3.5000000000000003E-2</v>
      </c>
      <c r="S342" s="9">
        <f t="shared" ca="1" si="60"/>
        <v>1.0150000000000006</v>
      </c>
      <c r="T342" s="8">
        <v>0.01</v>
      </c>
      <c r="U342" s="9">
        <f t="shared" ca="1" si="61"/>
        <v>0.27984999999999971</v>
      </c>
      <c r="V342" s="7">
        <f t="shared" ca="1" si="62"/>
        <v>0</v>
      </c>
      <c r="W342" s="7">
        <f t="shared" ca="1" si="63"/>
        <v>27.70515</v>
      </c>
      <c r="X342" s="5" t="str">
        <f t="shared" ca="1" si="71"/>
        <v>Tiktok</v>
      </c>
      <c r="Y342" s="78" t="str">
        <f>IF(COUNTIF($C$1:C341,B341)=1,10,"")</f>
        <v/>
      </c>
    </row>
    <row r="343" spans="1:25" x14ac:dyDescent="0.3">
      <c r="A343" s="76">
        <v>342</v>
      </c>
      <c r="B343" s="6">
        <v>46072</v>
      </c>
      <c r="C343" s="6">
        <v>46075</v>
      </c>
      <c r="D343" s="17" t="str">
        <f t="shared" si="64"/>
        <v>February</v>
      </c>
      <c r="E343" s="5" t="str">
        <f t="shared" ca="1" si="65"/>
        <v>STU-100</v>
      </c>
      <c r="F343" s="5" t="str">
        <f ca="1">IF(COUNTIF($E$2:E343,E343)=1,"New Customer","Returning Customer")</f>
        <v>Returning Customer</v>
      </c>
      <c r="G343" s="5" t="str">
        <f t="shared" ca="1" si="66"/>
        <v>Not specified</v>
      </c>
      <c r="H343" s="5" t="s">
        <v>137</v>
      </c>
      <c r="I343" s="5" t="str" cm="1">
        <f t="array" aca="1" ref="I343" ca="1">INDEX(Courses!$B$9:$B$16,RANDBETWEEN(1,8))</f>
        <v>Power BI</v>
      </c>
      <c r="J343" s="5" t="str">
        <f ca="1">VLOOKUP(I343,Courses!$B$9:$C$16,2,0)</f>
        <v>Data Analytics</v>
      </c>
      <c r="K343" s="7">
        <f ca="1">VLOOKUP(I343,Courses!$B$9:$D$16,3,0)</f>
        <v>59</v>
      </c>
      <c r="L343" s="5" t="str">
        <f t="shared" ca="1" si="67"/>
        <v>Paid</v>
      </c>
      <c r="M343" s="8" t="str" cm="1">
        <f t="array" aca="1" ref="M343" ca="1">INDEX('Payment Method'!$A$8:$A$12,RANDBETWEEN(1,5))</f>
        <v>Bank Transfer</v>
      </c>
      <c r="N343" s="7">
        <f>IFERROR(SUMIF(Holiday!$A$8:$A$11,B343,Holiday!$C$8:$C$11),0)</f>
        <v>0</v>
      </c>
      <c r="O343" s="7">
        <f t="shared" ca="1" si="68"/>
        <v>59</v>
      </c>
      <c r="P343" s="19">
        <f t="shared" ca="1" si="69"/>
        <v>59</v>
      </c>
      <c r="Q343" s="7">
        <f t="shared" ca="1" si="70"/>
        <v>0</v>
      </c>
      <c r="R343" s="8">
        <f ca="1">VLOOKUP(M343,'Payment Method'!$A$8:$B$12,2,0)</f>
        <v>0</v>
      </c>
      <c r="S343" s="9">
        <f t="shared" ca="1" si="60"/>
        <v>0</v>
      </c>
      <c r="T343" s="8">
        <v>0.01</v>
      </c>
      <c r="U343" s="9">
        <f t="shared" ca="1" si="61"/>
        <v>0.59000000000000341</v>
      </c>
      <c r="V343" s="7">
        <f t="shared" ca="1" si="62"/>
        <v>0</v>
      </c>
      <c r="W343" s="7">
        <f t="shared" ca="1" si="63"/>
        <v>58.41</v>
      </c>
      <c r="X343" s="5" t="str">
        <f t="shared" ca="1" si="71"/>
        <v>Instagram</v>
      </c>
      <c r="Y343" s="78" t="str">
        <f>IF(COUNTIF($C$1:C342,B342)=1,10,"")</f>
        <v/>
      </c>
    </row>
    <row r="344" spans="1:25" x14ac:dyDescent="0.3">
      <c r="A344" s="75">
        <v>343</v>
      </c>
      <c r="B344" s="6">
        <v>46106</v>
      </c>
      <c r="C344" s="6">
        <v>46110</v>
      </c>
      <c r="D344" s="17" t="str">
        <f t="shared" si="64"/>
        <v>March</v>
      </c>
      <c r="E344" s="5" t="str">
        <f t="shared" ca="1" si="65"/>
        <v>STU-712</v>
      </c>
      <c r="F344" s="5" t="str">
        <f ca="1">IF(COUNTIF($E$2:E344,E344)=1,"New Customer","Returning Customer")</f>
        <v>Returning Customer</v>
      </c>
      <c r="G344" s="5" t="str">
        <f t="shared" ca="1" si="66"/>
        <v>Female</v>
      </c>
      <c r="H344" s="5" t="s">
        <v>138</v>
      </c>
      <c r="I344" s="5" t="str" cm="1">
        <f t="array" aca="1" ref="I344" ca="1">INDEX(Courses!$B$9:$B$16,RANDBETWEEN(1,8))</f>
        <v>Power BI</v>
      </c>
      <c r="J344" s="5" t="str">
        <f ca="1">VLOOKUP(I344,Courses!$B$9:$C$16,2,0)</f>
        <v>Data Analytics</v>
      </c>
      <c r="K344" s="7">
        <f ca="1">VLOOKUP(I344,Courses!$B$9:$D$16,3,0)</f>
        <v>59</v>
      </c>
      <c r="L344" s="5" t="str">
        <f t="shared" ca="1" si="67"/>
        <v>Paid</v>
      </c>
      <c r="M344" s="8" t="str" cm="1">
        <f t="array" aca="1" ref="M344" ca="1">INDEX('Payment Method'!$A$8:$A$12,RANDBETWEEN(1,5))</f>
        <v>Mastercard Debit</v>
      </c>
      <c r="N344" s="7">
        <f>IFERROR(SUMIF(Holiday!$A$8:$A$11,B344,Holiday!$C$8:$C$11),0)</f>
        <v>0</v>
      </c>
      <c r="O344" s="7">
        <f t="shared" ca="1" si="68"/>
        <v>59</v>
      </c>
      <c r="P344" s="19">
        <f t="shared" ca="1" si="69"/>
        <v>57.82</v>
      </c>
      <c r="Q344" s="7">
        <f t="shared" ca="1" si="70"/>
        <v>0</v>
      </c>
      <c r="R344" s="8">
        <f ca="1">VLOOKUP(M344,'Payment Method'!$A$8:$B$12,2,0)</f>
        <v>0.02</v>
      </c>
      <c r="S344" s="9">
        <f t="shared" ca="1" si="60"/>
        <v>1.1799999999999997</v>
      </c>
      <c r="T344" s="8">
        <v>0.01</v>
      </c>
      <c r="U344" s="9">
        <f t="shared" ca="1" si="61"/>
        <v>0.57820000000000249</v>
      </c>
      <c r="V344" s="7">
        <f t="shared" ca="1" si="62"/>
        <v>0</v>
      </c>
      <c r="W344" s="7">
        <f t="shared" ca="1" si="63"/>
        <v>57.241799999999998</v>
      </c>
      <c r="X344" s="5" t="str">
        <f t="shared" ca="1" si="71"/>
        <v>Tiktok</v>
      </c>
      <c r="Y344" s="78">
        <f>IF(COUNTIF($C$1:C343,B343)=1,10,"")</f>
        <v>10</v>
      </c>
    </row>
    <row r="345" spans="1:25" x14ac:dyDescent="0.3">
      <c r="A345" s="76">
        <v>344</v>
      </c>
      <c r="B345" s="6">
        <v>46179</v>
      </c>
      <c r="C345" s="6">
        <v>46181</v>
      </c>
      <c r="D345" s="17" t="str">
        <f t="shared" si="64"/>
        <v>June</v>
      </c>
      <c r="E345" s="5" t="str">
        <f t="shared" ca="1" si="65"/>
        <v>STU-32</v>
      </c>
      <c r="F345" s="5" t="str">
        <f ca="1">IF(COUNTIF($E$2:E345,E345)=1,"New Customer","Returning Customer")</f>
        <v>Returning Customer</v>
      </c>
      <c r="G345" s="5" t="str">
        <f t="shared" ca="1" si="66"/>
        <v>Female</v>
      </c>
      <c r="H345" s="5" t="s">
        <v>141</v>
      </c>
      <c r="I345" s="5" t="str" cm="1">
        <f t="array" aca="1" ref="I345" ca="1">INDEX(Courses!$B$9:$B$16,RANDBETWEEN(1,8))</f>
        <v>SQL</v>
      </c>
      <c r="J345" s="5" t="str">
        <f ca="1">VLOOKUP(I345,Courses!$B$9:$C$16,2,0)</f>
        <v>Data Analytics</v>
      </c>
      <c r="K345" s="7">
        <f ca="1">VLOOKUP(I345,Courses!$B$9:$D$16,3,0)</f>
        <v>99</v>
      </c>
      <c r="L345" s="5" t="str">
        <f t="shared" ca="1" si="67"/>
        <v>Pending</v>
      </c>
      <c r="M345" s="8" t="str" cm="1">
        <f t="array" aca="1" ref="M345" ca="1">INDEX('Payment Method'!$A$8:$A$12,RANDBETWEEN(1,5))</f>
        <v>Mastercard Credit</v>
      </c>
      <c r="N345" s="7">
        <f>IFERROR(SUMIF(Holiday!$A$8:$A$11,B345,Holiday!$C$8:$C$11),0)</f>
        <v>0</v>
      </c>
      <c r="O345" s="7">
        <f t="shared" ca="1" si="68"/>
        <v>99</v>
      </c>
      <c r="P345" s="19">
        <f t="shared" ca="1" si="69"/>
        <v>95.534999999999997</v>
      </c>
      <c r="Q345" s="7">
        <f t="shared" ca="1" si="70"/>
        <v>94.579650000000001</v>
      </c>
      <c r="R345" s="8">
        <f ca="1">VLOOKUP(M345,'Payment Method'!$A$8:$B$12,2,0)</f>
        <v>3.5000000000000003E-2</v>
      </c>
      <c r="S345" s="9">
        <f t="shared" ca="1" si="60"/>
        <v>3.4650000000000034</v>
      </c>
      <c r="T345" s="8">
        <v>0.01</v>
      </c>
      <c r="U345" s="9">
        <f t="shared" ca="1" si="61"/>
        <v>0.9553499999999957</v>
      </c>
      <c r="V345" s="7">
        <f t="shared" ca="1" si="62"/>
        <v>0</v>
      </c>
      <c r="W345" s="7">
        <f t="shared" ca="1" si="63"/>
        <v>0</v>
      </c>
      <c r="X345" s="5" t="str">
        <f t="shared" ca="1" si="71"/>
        <v>Tiktok</v>
      </c>
      <c r="Y345" s="78" t="str">
        <f>IF(COUNTIF($C$1:C344,B344)=1,10,"")</f>
        <v/>
      </c>
    </row>
    <row r="346" spans="1:25" x14ac:dyDescent="0.3">
      <c r="A346" s="75">
        <v>345</v>
      </c>
      <c r="B346" s="6">
        <v>46040</v>
      </c>
      <c r="C346" s="6">
        <v>46044</v>
      </c>
      <c r="D346" s="17" t="str">
        <f t="shared" si="64"/>
        <v>January</v>
      </c>
      <c r="E346" s="5" t="str">
        <f t="shared" ca="1" si="65"/>
        <v>STU-409</v>
      </c>
      <c r="F346" s="5" t="str">
        <f ca="1">IF(COUNTIF($E$2:E346,E346)=1,"New Customer","Returning Customer")</f>
        <v>Returning Customer</v>
      </c>
      <c r="G346" s="5" t="str">
        <f t="shared" ca="1" si="66"/>
        <v>Not specified</v>
      </c>
      <c r="H346" s="5" t="s">
        <v>140</v>
      </c>
      <c r="I346" s="5" t="str" cm="1">
        <f t="array" aca="1" ref="I346" ca="1">INDEX(Courses!$B$9:$B$16,RANDBETWEEN(1,8))</f>
        <v>Excel Basics</v>
      </c>
      <c r="J346" s="5" t="str">
        <f ca="1">VLOOKUP(I346,Courses!$B$9:$C$16,2,0)</f>
        <v>Microsoft Office</v>
      </c>
      <c r="K346" s="7">
        <f ca="1">VLOOKUP(I346,Courses!$B$9:$D$16,3,0)</f>
        <v>29</v>
      </c>
      <c r="L346" s="5" t="str">
        <f t="shared" ca="1" si="67"/>
        <v>Paid</v>
      </c>
      <c r="M346" s="8" t="str" cm="1">
        <f t="array" aca="1" ref="M346" ca="1">INDEX('Payment Method'!$A$8:$A$12,RANDBETWEEN(1,5))</f>
        <v>Bank Transfer</v>
      </c>
      <c r="N346" s="7">
        <f>IFERROR(SUMIF(Holiday!$A$8:$A$11,B346,Holiday!$C$8:$C$11),0)</f>
        <v>0</v>
      </c>
      <c r="O346" s="7">
        <f t="shared" ca="1" si="68"/>
        <v>29</v>
      </c>
      <c r="P346" s="19">
        <f t="shared" ca="1" si="69"/>
        <v>29</v>
      </c>
      <c r="Q346" s="7">
        <f t="shared" ca="1" si="70"/>
        <v>0</v>
      </c>
      <c r="R346" s="8">
        <f ca="1">VLOOKUP(M346,'Payment Method'!$A$8:$B$12,2,0)</f>
        <v>0</v>
      </c>
      <c r="S346" s="9">
        <f t="shared" ca="1" si="60"/>
        <v>0</v>
      </c>
      <c r="T346" s="8">
        <v>0.01</v>
      </c>
      <c r="U346" s="9">
        <f t="shared" ca="1" si="61"/>
        <v>0.28999999999999915</v>
      </c>
      <c r="V346" s="7">
        <f t="shared" ca="1" si="62"/>
        <v>0</v>
      </c>
      <c r="W346" s="7">
        <f t="shared" ca="1" si="63"/>
        <v>28.71</v>
      </c>
      <c r="X346" s="5" t="str">
        <f t="shared" ca="1" si="71"/>
        <v>Facebook</v>
      </c>
      <c r="Y346" s="78" t="str">
        <f>IF(COUNTIF($C$1:C345,B345)=1,10,"")</f>
        <v/>
      </c>
    </row>
    <row r="347" spans="1:25" x14ac:dyDescent="0.3">
      <c r="A347" s="76">
        <v>346</v>
      </c>
      <c r="B347" s="6">
        <v>46046</v>
      </c>
      <c r="C347" s="6">
        <v>46046</v>
      </c>
      <c r="D347" s="17" t="str">
        <f t="shared" si="64"/>
        <v>January</v>
      </c>
      <c r="E347" s="5" t="str">
        <f t="shared" ca="1" si="65"/>
        <v>STU-577</v>
      </c>
      <c r="F347" s="5" t="str">
        <f ca="1">IF(COUNTIF($E$2:E347,E347)=1,"New Customer","Returning Customer")</f>
        <v>New Customer</v>
      </c>
      <c r="G347" s="5" t="str">
        <f t="shared" ca="1" si="66"/>
        <v>Not specified</v>
      </c>
      <c r="H347" s="5" t="s">
        <v>136</v>
      </c>
      <c r="I347" s="5" t="str" cm="1">
        <f t="array" aca="1" ref="I347" ca="1">INDEX(Courses!$B$9:$B$16,RANDBETWEEN(1,8))</f>
        <v>Adolescent Psychology</v>
      </c>
      <c r="J347" s="5" t="str">
        <f ca="1">VLOOKUP(I347,Courses!$B$9:$C$16,2,0)</f>
        <v>Psychology</v>
      </c>
      <c r="K347" s="7">
        <f ca="1">VLOOKUP(I347,Courses!$B$9:$D$16,3,0)</f>
        <v>29</v>
      </c>
      <c r="L347" s="5" t="str">
        <f t="shared" ca="1" si="67"/>
        <v>Paid</v>
      </c>
      <c r="M347" s="8" t="str" cm="1">
        <f t="array" aca="1" ref="M347" ca="1">INDEX('Payment Method'!$A$8:$A$12,RANDBETWEEN(1,5))</f>
        <v>Mastercard Credit</v>
      </c>
      <c r="N347" s="7">
        <f>IFERROR(SUMIF(Holiday!$A$8:$A$11,B347,Holiday!$C$8:$C$11),0)</f>
        <v>0</v>
      </c>
      <c r="O347" s="7">
        <f t="shared" ca="1" si="68"/>
        <v>29</v>
      </c>
      <c r="P347" s="19">
        <f t="shared" ca="1" si="69"/>
        <v>27.984999999999999</v>
      </c>
      <c r="Q347" s="7">
        <f t="shared" ca="1" si="70"/>
        <v>0</v>
      </c>
      <c r="R347" s="8">
        <f ca="1">VLOOKUP(M347,'Payment Method'!$A$8:$B$12,2,0)</f>
        <v>3.5000000000000003E-2</v>
      </c>
      <c r="S347" s="9">
        <f t="shared" ca="1" si="60"/>
        <v>1.0150000000000006</v>
      </c>
      <c r="T347" s="8">
        <v>0.01</v>
      </c>
      <c r="U347" s="9">
        <f t="shared" ca="1" si="61"/>
        <v>0.27984999999999971</v>
      </c>
      <c r="V347" s="7">
        <f t="shared" ca="1" si="62"/>
        <v>0</v>
      </c>
      <c r="W347" s="7">
        <f t="shared" ca="1" si="63"/>
        <v>27.70515</v>
      </c>
      <c r="X347" s="5" t="str">
        <f t="shared" ca="1" si="71"/>
        <v>Tiktok</v>
      </c>
      <c r="Y347" s="78" t="str">
        <f>IF(COUNTIF($C$1:C346,B346)=1,10,"")</f>
        <v/>
      </c>
    </row>
    <row r="348" spans="1:25" x14ac:dyDescent="0.3">
      <c r="A348" s="75">
        <v>347</v>
      </c>
      <c r="B348" s="6">
        <v>46161</v>
      </c>
      <c r="C348" s="6">
        <v>46161</v>
      </c>
      <c r="D348" s="17" t="str">
        <f t="shared" si="64"/>
        <v>May</v>
      </c>
      <c r="E348" s="5" t="str">
        <f t="shared" ca="1" si="65"/>
        <v>STU-270</v>
      </c>
      <c r="F348" s="5" t="str">
        <f ca="1">IF(COUNTIF($E$2:E348,E348)=1,"New Customer","Returning Customer")</f>
        <v>Returning Customer</v>
      </c>
      <c r="G348" s="5" t="str">
        <f t="shared" ca="1" si="66"/>
        <v>Female</v>
      </c>
      <c r="H348" s="5" t="s">
        <v>135</v>
      </c>
      <c r="I348" s="5" t="str" cm="1">
        <f t="array" aca="1" ref="I348" ca="1">INDEX(Courses!$B$9:$B$16,RANDBETWEEN(1,8))</f>
        <v>Power BI</v>
      </c>
      <c r="J348" s="5" t="str">
        <f ca="1">VLOOKUP(I348,Courses!$B$9:$C$16,2,0)</f>
        <v>Data Analytics</v>
      </c>
      <c r="K348" s="7">
        <f ca="1">VLOOKUP(I348,Courses!$B$9:$D$16,3,0)</f>
        <v>59</v>
      </c>
      <c r="L348" s="5" t="str">
        <f t="shared" ca="1" si="67"/>
        <v>Refunded</v>
      </c>
      <c r="M348" s="8" t="str" cm="1">
        <f t="array" aca="1" ref="M348" ca="1">INDEX('Payment Method'!$A$8:$A$12,RANDBETWEEN(1,5))</f>
        <v>Mastercard Credit</v>
      </c>
      <c r="N348" s="7">
        <f>IFERROR(SUMIF(Holiday!$A$8:$A$11,B348,Holiday!$C$8:$C$11),0)</f>
        <v>0</v>
      </c>
      <c r="O348" s="7">
        <f t="shared" ca="1" si="68"/>
        <v>59</v>
      </c>
      <c r="P348" s="19">
        <f t="shared" ca="1" si="69"/>
        <v>56.935000000000002</v>
      </c>
      <c r="Q348" s="7">
        <f t="shared" ca="1" si="70"/>
        <v>0</v>
      </c>
      <c r="R348" s="8">
        <f ca="1">VLOOKUP(M348,'Payment Method'!$A$8:$B$12,2,0)</f>
        <v>3.5000000000000003E-2</v>
      </c>
      <c r="S348" s="9">
        <f t="shared" ca="1" si="60"/>
        <v>2.0649999999999977</v>
      </c>
      <c r="T348" s="8">
        <v>0.01</v>
      </c>
      <c r="U348" s="9">
        <f t="shared" ca="1" si="61"/>
        <v>0.56935000000000002</v>
      </c>
      <c r="V348" s="7">
        <f t="shared" ca="1" si="62"/>
        <v>56.365650000000002</v>
      </c>
      <c r="W348" s="7">
        <f t="shared" ca="1" si="63"/>
        <v>0</v>
      </c>
      <c r="X348" s="5" t="str">
        <f t="shared" ca="1" si="71"/>
        <v>Facebook</v>
      </c>
      <c r="Y348" s="78" t="str">
        <f>IF(COUNTIF($C$1:C347,B347)=1,10,"")</f>
        <v/>
      </c>
    </row>
    <row r="349" spans="1:25" x14ac:dyDescent="0.3">
      <c r="A349" s="76">
        <v>348</v>
      </c>
      <c r="B349" s="6">
        <v>46162</v>
      </c>
      <c r="C349" s="6">
        <v>46166</v>
      </c>
      <c r="D349" s="17" t="str">
        <f t="shared" si="64"/>
        <v>May</v>
      </c>
      <c r="E349" s="5" t="str">
        <f t="shared" ca="1" si="65"/>
        <v>STU-407</v>
      </c>
      <c r="F349" s="5" t="str">
        <f ca="1">IF(COUNTIF($E$2:E349,E349)=1,"New Customer","Returning Customer")</f>
        <v>Returning Customer</v>
      </c>
      <c r="G349" s="5" t="str">
        <f t="shared" ca="1" si="66"/>
        <v>Not specified</v>
      </c>
      <c r="H349" s="5" t="s">
        <v>142</v>
      </c>
      <c r="I349" s="5" t="str" cm="1">
        <f t="array" aca="1" ref="I349" ca="1">INDEX(Courses!$B$9:$B$16,RANDBETWEEN(1,8))</f>
        <v>Microsoft Word</v>
      </c>
      <c r="J349" s="5" t="str">
        <f ca="1">VLOOKUP(I349,Courses!$B$9:$C$16,2,0)</f>
        <v>Microsoft Office</v>
      </c>
      <c r="K349" s="7">
        <f ca="1">VLOOKUP(I349,Courses!$B$9:$D$16,3,0)</f>
        <v>29</v>
      </c>
      <c r="L349" s="5" t="str">
        <f t="shared" ca="1" si="67"/>
        <v>Paid</v>
      </c>
      <c r="M349" s="8" t="str" cm="1">
        <f t="array" aca="1" ref="M349" ca="1">INDEX('Payment Method'!$A$8:$A$12,RANDBETWEEN(1,5))</f>
        <v>Mastercard Credit</v>
      </c>
      <c r="N349" s="7">
        <f>IFERROR(SUMIF(Holiday!$A$8:$A$11,B349,Holiday!$C$8:$C$11),0)</f>
        <v>0</v>
      </c>
      <c r="O349" s="7">
        <f t="shared" ca="1" si="68"/>
        <v>29</v>
      </c>
      <c r="P349" s="19">
        <f t="shared" ca="1" si="69"/>
        <v>27.984999999999999</v>
      </c>
      <c r="Q349" s="7">
        <f t="shared" ca="1" si="70"/>
        <v>0</v>
      </c>
      <c r="R349" s="8">
        <f ca="1">VLOOKUP(M349,'Payment Method'!$A$8:$B$12,2,0)</f>
        <v>3.5000000000000003E-2</v>
      </c>
      <c r="S349" s="9">
        <f t="shared" ca="1" si="60"/>
        <v>1.0150000000000006</v>
      </c>
      <c r="T349" s="8">
        <v>0.01</v>
      </c>
      <c r="U349" s="9">
        <f t="shared" ca="1" si="61"/>
        <v>0.27984999999999971</v>
      </c>
      <c r="V349" s="7">
        <f t="shared" ca="1" si="62"/>
        <v>0</v>
      </c>
      <c r="W349" s="7">
        <f t="shared" ca="1" si="63"/>
        <v>27.70515</v>
      </c>
      <c r="X349" s="5" t="str">
        <f t="shared" ca="1" si="71"/>
        <v>Facebook</v>
      </c>
      <c r="Y349" s="78" t="str">
        <f>IF(COUNTIF($C$1:C348,B348)=1,10,"")</f>
        <v/>
      </c>
    </row>
    <row r="350" spans="1:25" x14ac:dyDescent="0.3">
      <c r="A350" s="75">
        <v>349</v>
      </c>
      <c r="B350" s="6">
        <v>46052</v>
      </c>
      <c r="C350" s="6">
        <v>46052</v>
      </c>
      <c r="D350" s="17" t="str">
        <f t="shared" si="64"/>
        <v>January</v>
      </c>
      <c r="E350" s="5" t="str">
        <f t="shared" ca="1" si="65"/>
        <v>STU-733</v>
      </c>
      <c r="F350" s="5" t="str">
        <f ca="1">IF(COUNTIF($E$2:E350,E350)=1,"New Customer","Returning Customer")</f>
        <v>New Customer</v>
      </c>
      <c r="G350" s="5" t="str">
        <f t="shared" ca="1" si="66"/>
        <v>Male</v>
      </c>
      <c r="H350" s="5" t="s">
        <v>142</v>
      </c>
      <c r="I350" s="5" t="str" cm="1">
        <f t="array" aca="1" ref="I350" ca="1">INDEX(Courses!$B$9:$B$16,RANDBETWEEN(1,8))</f>
        <v>Microsoft Word</v>
      </c>
      <c r="J350" s="5" t="str">
        <f ca="1">VLOOKUP(I350,Courses!$B$9:$C$16,2,0)</f>
        <v>Microsoft Office</v>
      </c>
      <c r="K350" s="7">
        <f ca="1">VLOOKUP(I350,Courses!$B$9:$D$16,3,0)</f>
        <v>29</v>
      </c>
      <c r="L350" s="5" t="str">
        <f t="shared" ca="1" si="67"/>
        <v>Pending</v>
      </c>
      <c r="M350" s="8" t="str" cm="1">
        <f t="array" aca="1" ref="M350" ca="1">INDEX('Payment Method'!$A$8:$A$12,RANDBETWEEN(1,5))</f>
        <v>Visa Debit</v>
      </c>
      <c r="N350" s="7">
        <f>IFERROR(SUMIF(Holiday!$A$8:$A$11,B350,Holiday!$C$8:$C$11),0)</f>
        <v>0</v>
      </c>
      <c r="O350" s="7">
        <f t="shared" ca="1" si="68"/>
        <v>29</v>
      </c>
      <c r="P350" s="19">
        <f t="shared" ca="1" si="69"/>
        <v>28.42</v>
      </c>
      <c r="Q350" s="7">
        <f t="shared" ca="1" si="70"/>
        <v>28.135800000000003</v>
      </c>
      <c r="R350" s="8">
        <f ca="1">VLOOKUP(M350,'Payment Method'!$A$8:$B$12,2,0)</f>
        <v>0.02</v>
      </c>
      <c r="S350" s="9">
        <f t="shared" ca="1" si="60"/>
        <v>0.57999999999999829</v>
      </c>
      <c r="T350" s="8">
        <v>0.01</v>
      </c>
      <c r="U350" s="9">
        <f t="shared" ca="1" si="61"/>
        <v>0.28419999999999845</v>
      </c>
      <c r="V350" s="7">
        <f t="shared" ca="1" si="62"/>
        <v>0</v>
      </c>
      <c r="W350" s="7">
        <f t="shared" ca="1" si="63"/>
        <v>0</v>
      </c>
      <c r="X350" s="5" t="str">
        <f t="shared" ca="1" si="71"/>
        <v>Tiktok</v>
      </c>
      <c r="Y350" s="78">
        <f>IF(COUNTIF($C$1:C349,B349)=1,10,"")</f>
        <v>10</v>
      </c>
    </row>
    <row r="351" spans="1:25" x14ac:dyDescent="0.3">
      <c r="A351" s="76">
        <v>350</v>
      </c>
      <c r="B351" s="6">
        <v>46151</v>
      </c>
      <c r="C351" s="6">
        <v>46156</v>
      </c>
      <c r="D351" s="17" t="str">
        <f t="shared" si="64"/>
        <v>May</v>
      </c>
      <c r="E351" s="5" t="str">
        <f t="shared" ca="1" si="65"/>
        <v>STU-180</v>
      </c>
      <c r="F351" s="5" t="str">
        <f ca="1">IF(COUNTIF($E$2:E351,E351)=1,"New Customer","Returning Customer")</f>
        <v>Returning Customer</v>
      </c>
      <c r="G351" s="5" t="str">
        <f t="shared" ca="1" si="66"/>
        <v>Not specified</v>
      </c>
      <c r="H351" s="5" t="s">
        <v>142</v>
      </c>
      <c r="I351" s="5" t="str" cm="1">
        <f t="array" aca="1" ref="I351" ca="1">INDEX(Courses!$B$9:$B$16,RANDBETWEEN(1,8))</f>
        <v>Tax Code</v>
      </c>
      <c r="J351" s="5" t="str">
        <f ca="1">VLOOKUP(I351,Courses!$B$9:$C$16,2,0)</f>
        <v>Finance &amp; Taxation</v>
      </c>
      <c r="K351" s="7">
        <f ca="1">VLOOKUP(I351,Courses!$B$9:$D$16,3,0)</f>
        <v>59</v>
      </c>
      <c r="L351" s="5" t="str">
        <f t="shared" ca="1" si="67"/>
        <v>Paid</v>
      </c>
      <c r="M351" s="8" t="str" cm="1">
        <f t="array" aca="1" ref="M351" ca="1">INDEX('Payment Method'!$A$8:$A$12,RANDBETWEEN(1,5))</f>
        <v>Visa Credit</v>
      </c>
      <c r="N351" s="7">
        <f>IFERROR(SUMIF(Holiday!$A$8:$A$11,B351,Holiday!$C$8:$C$11),0)</f>
        <v>0</v>
      </c>
      <c r="O351" s="7">
        <f t="shared" ca="1" si="68"/>
        <v>59</v>
      </c>
      <c r="P351" s="19">
        <f t="shared" ca="1" si="69"/>
        <v>56.935000000000002</v>
      </c>
      <c r="Q351" s="7">
        <f t="shared" ca="1" si="70"/>
        <v>0</v>
      </c>
      <c r="R351" s="8">
        <f ca="1">VLOOKUP(M351,'Payment Method'!$A$8:$B$12,2,0)</f>
        <v>3.5000000000000003E-2</v>
      </c>
      <c r="S351" s="9">
        <f t="shared" ca="1" si="60"/>
        <v>2.0649999999999977</v>
      </c>
      <c r="T351" s="8">
        <v>0.01</v>
      </c>
      <c r="U351" s="9">
        <f t="shared" ca="1" si="61"/>
        <v>0.56935000000000002</v>
      </c>
      <c r="V351" s="7">
        <f t="shared" ca="1" si="62"/>
        <v>0</v>
      </c>
      <c r="W351" s="7">
        <f t="shared" ca="1" si="63"/>
        <v>56.365650000000002</v>
      </c>
      <c r="X351" s="5" t="str">
        <f t="shared" ca="1" si="71"/>
        <v>Facebook</v>
      </c>
      <c r="Y351" s="78" t="str">
        <f>IF(COUNTIF($C$1:C350,B350)=1,10,"")</f>
        <v/>
      </c>
    </row>
    <row r="352" spans="1:25" x14ac:dyDescent="0.3">
      <c r="A352" s="75">
        <v>351</v>
      </c>
      <c r="B352" s="6">
        <v>46175</v>
      </c>
      <c r="C352" s="6">
        <v>46178</v>
      </c>
      <c r="D352" s="17" t="str">
        <f t="shared" si="64"/>
        <v>June</v>
      </c>
      <c r="E352" s="5" t="str">
        <f t="shared" ca="1" si="65"/>
        <v>STU-925</v>
      </c>
      <c r="F352" s="5" t="str">
        <f ca="1">IF(COUNTIF($E$2:E352,E352)=1,"New Customer","Returning Customer")</f>
        <v>Returning Customer</v>
      </c>
      <c r="G352" s="5" t="str">
        <f t="shared" ca="1" si="66"/>
        <v>Male</v>
      </c>
      <c r="H352" s="5" t="s">
        <v>139</v>
      </c>
      <c r="I352" s="5" t="str" cm="1">
        <f t="array" aca="1" ref="I352" ca="1">INDEX(Courses!$B$9:$B$16,RANDBETWEEN(1,8))</f>
        <v>Microsoft Word</v>
      </c>
      <c r="J352" s="5" t="str">
        <f ca="1">VLOOKUP(I352,Courses!$B$9:$C$16,2,0)</f>
        <v>Microsoft Office</v>
      </c>
      <c r="K352" s="7">
        <f ca="1">VLOOKUP(I352,Courses!$B$9:$D$16,3,0)</f>
        <v>29</v>
      </c>
      <c r="L352" s="5" t="str">
        <f t="shared" ca="1" si="67"/>
        <v>Paid</v>
      </c>
      <c r="M352" s="8" t="str" cm="1">
        <f t="array" aca="1" ref="M352" ca="1">INDEX('Payment Method'!$A$8:$A$12,RANDBETWEEN(1,5))</f>
        <v>Mastercard Credit</v>
      </c>
      <c r="N352" s="7">
        <f>IFERROR(SUMIF(Holiday!$A$8:$A$11,B352,Holiday!$C$8:$C$11),0)</f>
        <v>0</v>
      </c>
      <c r="O352" s="7">
        <f t="shared" ca="1" si="68"/>
        <v>29</v>
      </c>
      <c r="P352" s="19">
        <f t="shared" ca="1" si="69"/>
        <v>27.984999999999999</v>
      </c>
      <c r="Q352" s="7">
        <f t="shared" ca="1" si="70"/>
        <v>0</v>
      </c>
      <c r="R352" s="8">
        <f ca="1">VLOOKUP(M352,'Payment Method'!$A$8:$B$12,2,0)</f>
        <v>3.5000000000000003E-2</v>
      </c>
      <c r="S352" s="9">
        <f t="shared" ca="1" si="60"/>
        <v>1.0150000000000006</v>
      </c>
      <c r="T352" s="8">
        <v>0.01</v>
      </c>
      <c r="U352" s="9">
        <f t="shared" ca="1" si="61"/>
        <v>0.27984999999999971</v>
      </c>
      <c r="V352" s="7">
        <f t="shared" ca="1" si="62"/>
        <v>0</v>
      </c>
      <c r="W352" s="7">
        <f t="shared" ca="1" si="63"/>
        <v>27.70515</v>
      </c>
      <c r="X352" s="5" t="str">
        <f t="shared" ca="1" si="71"/>
        <v>Instagram</v>
      </c>
      <c r="Y352" s="78">
        <f>IF(COUNTIF($C$1:C351,B351)=1,10,"")</f>
        <v>10</v>
      </c>
    </row>
    <row r="353" spans="1:25" x14ac:dyDescent="0.3">
      <c r="A353" s="76">
        <v>352</v>
      </c>
      <c r="B353" s="6">
        <v>46207</v>
      </c>
      <c r="C353" s="6">
        <v>46210</v>
      </c>
      <c r="D353" s="17" t="str">
        <f t="shared" si="64"/>
        <v>July</v>
      </c>
      <c r="E353" s="5" t="str">
        <f t="shared" ca="1" si="65"/>
        <v>STU-458</v>
      </c>
      <c r="F353" s="5" t="str">
        <f ca="1">IF(COUNTIF($E$2:E353,E353)=1,"New Customer","Returning Customer")</f>
        <v>New Customer</v>
      </c>
      <c r="G353" s="5" t="str">
        <f t="shared" ca="1" si="66"/>
        <v>Male</v>
      </c>
      <c r="H353" s="5" t="s">
        <v>135</v>
      </c>
      <c r="I353" s="5" t="str" cm="1">
        <f t="array" aca="1" ref="I353" ca="1">INDEX(Courses!$B$9:$B$16,RANDBETWEEN(1,8))</f>
        <v>Adolescent Psychology</v>
      </c>
      <c r="J353" s="5" t="str">
        <f ca="1">VLOOKUP(I353,Courses!$B$9:$C$16,2,0)</f>
        <v>Psychology</v>
      </c>
      <c r="K353" s="7">
        <f ca="1">VLOOKUP(I353,Courses!$B$9:$D$16,3,0)</f>
        <v>29</v>
      </c>
      <c r="L353" s="5" t="str">
        <f t="shared" ca="1" si="67"/>
        <v>Paid</v>
      </c>
      <c r="M353" s="8" t="str" cm="1">
        <f t="array" aca="1" ref="M353" ca="1">INDEX('Payment Method'!$A$8:$A$12,RANDBETWEEN(1,5))</f>
        <v>Mastercard Credit</v>
      </c>
      <c r="N353" s="7">
        <f>IFERROR(SUMIF(Holiday!$A$8:$A$11,B353,Holiday!$C$8:$C$11),0)</f>
        <v>0</v>
      </c>
      <c r="O353" s="7">
        <f t="shared" ca="1" si="68"/>
        <v>29</v>
      </c>
      <c r="P353" s="19">
        <f t="shared" ca="1" si="69"/>
        <v>27.984999999999999</v>
      </c>
      <c r="Q353" s="7">
        <f t="shared" ca="1" si="70"/>
        <v>0</v>
      </c>
      <c r="R353" s="8">
        <f ca="1">VLOOKUP(M353,'Payment Method'!$A$8:$B$12,2,0)</f>
        <v>3.5000000000000003E-2</v>
      </c>
      <c r="S353" s="9">
        <f t="shared" ca="1" si="60"/>
        <v>1.0150000000000006</v>
      </c>
      <c r="T353" s="8">
        <v>0.01</v>
      </c>
      <c r="U353" s="9">
        <f t="shared" ca="1" si="61"/>
        <v>0.27984999999999971</v>
      </c>
      <c r="V353" s="7">
        <f t="shared" ca="1" si="62"/>
        <v>0</v>
      </c>
      <c r="W353" s="7">
        <f t="shared" ca="1" si="63"/>
        <v>27.70515</v>
      </c>
      <c r="X353" s="5" t="str">
        <f t="shared" ca="1" si="71"/>
        <v>Tiktok</v>
      </c>
      <c r="Y353" s="78">
        <f>IF(COUNTIF($C$1:C352,B352)=1,10,"")</f>
        <v>10</v>
      </c>
    </row>
    <row r="354" spans="1:25" x14ac:dyDescent="0.3">
      <c r="A354" s="75">
        <v>353</v>
      </c>
      <c r="B354" s="6">
        <v>46126</v>
      </c>
      <c r="C354" s="6">
        <v>46131</v>
      </c>
      <c r="D354" s="17" t="str">
        <f t="shared" si="64"/>
        <v>April</v>
      </c>
      <c r="E354" s="5" t="str">
        <f t="shared" ca="1" si="65"/>
        <v>STU-831</v>
      </c>
      <c r="F354" s="5" t="str">
        <f ca="1">IF(COUNTIF($E$2:E354,E354)=1,"New Customer","Returning Customer")</f>
        <v>Returning Customer</v>
      </c>
      <c r="G354" s="5" t="str">
        <f t="shared" ca="1" si="66"/>
        <v>Female</v>
      </c>
      <c r="H354" s="5" t="s">
        <v>140</v>
      </c>
      <c r="I354" s="5" t="str" cm="1">
        <f t="array" aca="1" ref="I354" ca="1">INDEX(Courses!$B$9:$B$16,RANDBETWEEN(1,8))</f>
        <v>Excel Basics</v>
      </c>
      <c r="J354" s="5" t="str">
        <f ca="1">VLOOKUP(I354,Courses!$B$9:$C$16,2,0)</f>
        <v>Microsoft Office</v>
      </c>
      <c r="K354" s="7">
        <f ca="1">VLOOKUP(I354,Courses!$B$9:$D$16,3,0)</f>
        <v>29</v>
      </c>
      <c r="L354" s="5" t="str">
        <f t="shared" ca="1" si="67"/>
        <v>Paid</v>
      </c>
      <c r="M354" s="8" t="str" cm="1">
        <f t="array" aca="1" ref="M354" ca="1">INDEX('Payment Method'!$A$8:$A$12,RANDBETWEEN(1,5))</f>
        <v>Mastercard Debit</v>
      </c>
      <c r="N354" s="7">
        <f>IFERROR(SUMIF(Holiday!$A$8:$A$11,B354,Holiday!$C$8:$C$11),0)</f>
        <v>0</v>
      </c>
      <c r="O354" s="7">
        <f t="shared" ca="1" si="68"/>
        <v>29</v>
      </c>
      <c r="P354" s="19">
        <f t="shared" ca="1" si="69"/>
        <v>28.42</v>
      </c>
      <c r="Q354" s="7">
        <f t="shared" ca="1" si="70"/>
        <v>0</v>
      </c>
      <c r="R354" s="8">
        <f ca="1">VLOOKUP(M354,'Payment Method'!$A$8:$B$12,2,0)</f>
        <v>0.02</v>
      </c>
      <c r="S354" s="9">
        <f t="shared" ca="1" si="60"/>
        <v>0.57999999999999829</v>
      </c>
      <c r="T354" s="8">
        <v>0.01</v>
      </c>
      <c r="U354" s="9">
        <f t="shared" ca="1" si="61"/>
        <v>0.28419999999999845</v>
      </c>
      <c r="V354" s="7">
        <f t="shared" ca="1" si="62"/>
        <v>0</v>
      </c>
      <c r="W354" s="7">
        <f t="shared" ca="1" si="63"/>
        <v>28.135800000000003</v>
      </c>
      <c r="X354" s="5" t="str">
        <f t="shared" ca="1" si="71"/>
        <v>Instagram</v>
      </c>
      <c r="Y354" s="78" t="str">
        <f>IF(COUNTIF($C$1:C353,B353)=1,10,"")</f>
        <v/>
      </c>
    </row>
    <row r="355" spans="1:25" x14ac:dyDescent="0.3">
      <c r="A355" s="76">
        <v>354</v>
      </c>
      <c r="B355" s="6">
        <v>46095</v>
      </c>
      <c r="C355" s="6">
        <v>46096</v>
      </c>
      <c r="D355" s="17" t="str">
        <f t="shared" si="64"/>
        <v>March</v>
      </c>
      <c r="E355" s="5" t="str">
        <f t="shared" ca="1" si="65"/>
        <v>STU-383</v>
      </c>
      <c r="F355" s="5" t="str">
        <f ca="1">IF(COUNTIF($E$2:E355,E355)=1,"New Customer","Returning Customer")</f>
        <v>New Customer</v>
      </c>
      <c r="G355" s="5" t="str">
        <f t="shared" ca="1" si="66"/>
        <v>Not specified</v>
      </c>
      <c r="H355" s="5" t="s">
        <v>135</v>
      </c>
      <c r="I355" s="5" t="str" cm="1">
        <f t="array" aca="1" ref="I355" ca="1">INDEX(Courses!$B$9:$B$16,RANDBETWEEN(1,8))</f>
        <v>SQL</v>
      </c>
      <c r="J355" s="5" t="str">
        <f ca="1">VLOOKUP(I355,Courses!$B$9:$C$16,2,0)</f>
        <v>Data Analytics</v>
      </c>
      <c r="K355" s="7">
        <f ca="1">VLOOKUP(I355,Courses!$B$9:$D$16,3,0)</f>
        <v>99</v>
      </c>
      <c r="L355" s="5" t="str">
        <f t="shared" ca="1" si="67"/>
        <v>Pending</v>
      </c>
      <c r="M355" s="8" t="str" cm="1">
        <f t="array" aca="1" ref="M355" ca="1">INDEX('Payment Method'!$A$8:$A$12,RANDBETWEEN(1,5))</f>
        <v>Mastercard Debit</v>
      </c>
      <c r="N355" s="7">
        <f>IFERROR(SUMIF(Holiday!$A$8:$A$11,B355,Holiday!$C$8:$C$11),0)</f>
        <v>0</v>
      </c>
      <c r="O355" s="7">
        <f t="shared" ca="1" si="68"/>
        <v>99</v>
      </c>
      <c r="P355" s="19">
        <f t="shared" ca="1" si="69"/>
        <v>97.02</v>
      </c>
      <c r="Q355" s="7">
        <f t="shared" ca="1" si="70"/>
        <v>96.049799999999991</v>
      </c>
      <c r="R355" s="8">
        <f ca="1">VLOOKUP(M355,'Payment Method'!$A$8:$B$12,2,0)</f>
        <v>0.02</v>
      </c>
      <c r="S355" s="9">
        <f t="shared" ca="1" si="60"/>
        <v>1.980000000000004</v>
      </c>
      <c r="T355" s="8">
        <v>0.01</v>
      </c>
      <c r="U355" s="9">
        <f t="shared" ca="1" si="61"/>
        <v>0.9702000000000055</v>
      </c>
      <c r="V355" s="7">
        <f t="shared" ca="1" si="62"/>
        <v>0</v>
      </c>
      <c r="W355" s="7">
        <f t="shared" ca="1" si="63"/>
        <v>0</v>
      </c>
      <c r="X355" s="5" t="str">
        <f t="shared" ca="1" si="71"/>
        <v>Instagram</v>
      </c>
      <c r="Y355" s="78" t="str">
        <f>IF(COUNTIF($C$1:C354,B354)=1,10,"")</f>
        <v/>
      </c>
    </row>
    <row r="356" spans="1:25" x14ac:dyDescent="0.3">
      <c r="A356" s="75">
        <v>355</v>
      </c>
      <c r="B356" s="6">
        <v>46173</v>
      </c>
      <c r="C356" s="6">
        <v>46177</v>
      </c>
      <c r="D356" s="17" t="str">
        <f t="shared" si="64"/>
        <v>June</v>
      </c>
      <c r="E356" s="5" t="str">
        <f t="shared" ca="1" si="65"/>
        <v>STU-797</v>
      </c>
      <c r="F356" s="5" t="str">
        <f ca="1">IF(COUNTIF($E$2:E356,E356)=1,"New Customer","Returning Customer")</f>
        <v>New Customer</v>
      </c>
      <c r="G356" s="5" t="str">
        <f t="shared" ca="1" si="66"/>
        <v>Male</v>
      </c>
      <c r="H356" s="5" t="s">
        <v>135</v>
      </c>
      <c r="I356" s="5" t="str" cm="1">
        <f t="array" aca="1" ref="I356" ca="1">INDEX(Courses!$B$9:$B$16,RANDBETWEEN(1,8))</f>
        <v>Excel Basics</v>
      </c>
      <c r="J356" s="5" t="str">
        <f ca="1">VLOOKUP(I356,Courses!$B$9:$C$16,2,0)</f>
        <v>Microsoft Office</v>
      </c>
      <c r="K356" s="7">
        <f ca="1">VLOOKUP(I356,Courses!$B$9:$D$16,3,0)</f>
        <v>29</v>
      </c>
      <c r="L356" s="5" t="str">
        <f t="shared" ca="1" si="67"/>
        <v>Paid</v>
      </c>
      <c r="M356" s="8" t="str" cm="1">
        <f t="array" aca="1" ref="M356" ca="1">INDEX('Payment Method'!$A$8:$A$12,RANDBETWEEN(1,5))</f>
        <v>Visa Credit</v>
      </c>
      <c r="N356" s="7">
        <f>IFERROR(SUMIF(Holiday!$A$8:$A$11,B356,Holiday!$C$8:$C$11),0)</f>
        <v>0</v>
      </c>
      <c r="O356" s="7">
        <f t="shared" ca="1" si="68"/>
        <v>29</v>
      </c>
      <c r="P356" s="19">
        <f t="shared" ca="1" si="69"/>
        <v>27.984999999999999</v>
      </c>
      <c r="Q356" s="7">
        <f t="shared" ca="1" si="70"/>
        <v>0</v>
      </c>
      <c r="R356" s="8">
        <f ca="1">VLOOKUP(M356,'Payment Method'!$A$8:$B$12,2,0)</f>
        <v>3.5000000000000003E-2</v>
      </c>
      <c r="S356" s="9">
        <f t="shared" ca="1" si="60"/>
        <v>1.0150000000000006</v>
      </c>
      <c r="T356" s="8">
        <v>0.01</v>
      </c>
      <c r="U356" s="9">
        <f t="shared" ca="1" si="61"/>
        <v>0.27984999999999971</v>
      </c>
      <c r="V356" s="7">
        <f t="shared" ca="1" si="62"/>
        <v>0</v>
      </c>
      <c r="W356" s="7">
        <f t="shared" ca="1" si="63"/>
        <v>27.70515</v>
      </c>
      <c r="X356" s="5" t="str">
        <f t="shared" ca="1" si="71"/>
        <v>Facebook</v>
      </c>
      <c r="Y356" s="78">
        <f>IF(COUNTIF($C$1:C355,B355)=1,10,"")</f>
        <v>10</v>
      </c>
    </row>
    <row r="357" spans="1:25" x14ac:dyDescent="0.3">
      <c r="A357" s="76">
        <v>356</v>
      </c>
      <c r="B357" s="6">
        <v>46133</v>
      </c>
      <c r="C357" s="6">
        <v>46137</v>
      </c>
      <c r="D357" s="17" t="str">
        <f t="shared" si="64"/>
        <v>April</v>
      </c>
      <c r="E357" s="5" t="str">
        <f t="shared" ca="1" si="65"/>
        <v>STU-483</v>
      </c>
      <c r="F357" s="5" t="str">
        <f ca="1">IF(COUNTIF($E$2:E357,E357)=1,"New Customer","Returning Customer")</f>
        <v>New Customer</v>
      </c>
      <c r="G357" s="5" t="str">
        <f t="shared" ca="1" si="66"/>
        <v>Female</v>
      </c>
      <c r="H357" s="5" t="s">
        <v>141</v>
      </c>
      <c r="I357" s="5" t="str" cm="1">
        <f t="array" aca="1" ref="I357" ca="1">INDEX(Courses!$B$9:$B$16,RANDBETWEEN(1,8))</f>
        <v>Power BI</v>
      </c>
      <c r="J357" s="5" t="str">
        <f ca="1">VLOOKUP(I357,Courses!$B$9:$C$16,2,0)</f>
        <v>Data Analytics</v>
      </c>
      <c r="K357" s="7">
        <f ca="1">VLOOKUP(I357,Courses!$B$9:$D$16,3,0)</f>
        <v>59</v>
      </c>
      <c r="L357" s="5" t="str">
        <f t="shared" ca="1" si="67"/>
        <v>Paid</v>
      </c>
      <c r="M357" s="8" t="str" cm="1">
        <f t="array" aca="1" ref="M357" ca="1">INDEX('Payment Method'!$A$8:$A$12,RANDBETWEEN(1,5))</f>
        <v>Visa Credit</v>
      </c>
      <c r="N357" s="7">
        <f>IFERROR(SUMIF(Holiday!$A$8:$A$11,B357,Holiday!$C$8:$C$11),0)</f>
        <v>0</v>
      </c>
      <c r="O357" s="7">
        <f t="shared" ca="1" si="68"/>
        <v>59</v>
      </c>
      <c r="P357" s="19">
        <f t="shared" ca="1" si="69"/>
        <v>56.935000000000002</v>
      </c>
      <c r="Q357" s="7">
        <f t="shared" ca="1" si="70"/>
        <v>0</v>
      </c>
      <c r="R357" s="8">
        <f ca="1">VLOOKUP(M357,'Payment Method'!$A$8:$B$12,2,0)</f>
        <v>3.5000000000000003E-2</v>
      </c>
      <c r="S357" s="9">
        <f t="shared" ca="1" si="60"/>
        <v>2.0649999999999977</v>
      </c>
      <c r="T357" s="8">
        <v>0.01</v>
      </c>
      <c r="U357" s="9">
        <f t="shared" ca="1" si="61"/>
        <v>0.56935000000000002</v>
      </c>
      <c r="V357" s="7">
        <f t="shared" ca="1" si="62"/>
        <v>0</v>
      </c>
      <c r="W357" s="7">
        <f t="shared" ca="1" si="63"/>
        <v>56.365650000000002</v>
      </c>
      <c r="X357" s="5" t="str">
        <f t="shared" ca="1" si="71"/>
        <v>Facebook</v>
      </c>
      <c r="Y357" s="78" t="str">
        <f>IF(COUNTIF($C$1:C356,B356)=1,10,"")</f>
        <v/>
      </c>
    </row>
    <row r="358" spans="1:25" x14ac:dyDescent="0.3">
      <c r="A358" s="75">
        <v>357</v>
      </c>
      <c r="B358" s="6">
        <v>46122</v>
      </c>
      <c r="C358" s="6">
        <v>46122</v>
      </c>
      <c r="D358" s="17" t="str">
        <f t="shared" si="64"/>
        <v>April</v>
      </c>
      <c r="E358" s="5" t="str">
        <f t="shared" ca="1" si="65"/>
        <v>STU-932</v>
      </c>
      <c r="F358" s="5" t="str">
        <f ca="1">IF(COUNTIF($E$2:E358,E358)=1,"New Customer","Returning Customer")</f>
        <v>New Customer</v>
      </c>
      <c r="G358" s="5" t="str">
        <f t="shared" ca="1" si="66"/>
        <v>Female</v>
      </c>
      <c r="H358" s="5" t="s">
        <v>135</v>
      </c>
      <c r="I358" s="5" t="str" cm="1">
        <f t="array" aca="1" ref="I358" ca="1">INDEX(Courses!$B$9:$B$16,RANDBETWEEN(1,8))</f>
        <v>Power BI</v>
      </c>
      <c r="J358" s="5" t="str">
        <f ca="1">VLOOKUP(I358,Courses!$B$9:$C$16,2,0)</f>
        <v>Data Analytics</v>
      </c>
      <c r="K358" s="7">
        <f ca="1">VLOOKUP(I358,Courses!$B$9:$D$16,3,0)</f>
        <v>59</v>
      </c>
      <c r="L358" s="5" t="str">
        <f t="shared" ca="1" si="67"/>
        <v>Refunded</v>
      </c>
      <c r="M358" s="8" t="str" cm="1">
        <f t="array" aca="1" ref="M358" ca="1">INDEX('Payment Method'!$A$8:$A$12,RANDBETWEEN(1,5))</f>
        <v>Mastercard Credit</v>
      </c>
      <c r="N358" s="7">
        <f>IFERROR(SUMIF(Holiday!$A$8:$A$11,B358,Holiday!$C$8:$C$11),0)</f>
        <v>0</v>
      </c>
      <c r="O358" s="7">
        <f t="shared" ca="1" si="68"/>
        <v>59</v>
      </c>
      <c r="P358" s="19">
        <f t="shared" ca="1" si="69"/>
        <v>56.935000000000002</v>
      </c>
      <c r="Q358" s="7">
        <f t="shared" ca="1" si="70"/>
        <v>0</v>
      </c>
      <c r="R358" s="8">
        <f ca="1">VLOOKUP(M358,'Payment Method'!$A$8:$B$12,2,0)</f>
        <v>3.5000000000000003E-2</v>
      </c>
      <c r="S358" s="9">
        <f t="shared" ca="1" si="60"/>
        <v>2.0649999999999977</v>
      </c>
      <c r="T358" s="8">
        <v>0.01</v>
      </c>
      <c r="U358" s="9">
        <f t="shared" ca="1" si="61"/>
        <v>0.56935000000000002</v>
      </c>
      <c r="V358" s="7">
        <f t="shared" ca="1" si="62"/>
        <v>56.365650000000002</v>
      </c>
      <c r="W358" s="7">
        <f t="shared" ca="1" si="63"/>
        <v>0</v>
      </c>
      <c r="X358" s="5" t="str">
        <f t="shared" ca="1" si="71"/>
        <v>Instagram</v>
      </c>
      <c r="Y358" s="78" t="str">
        <f>IF(COUNTIF($C$1:C357,B357)=1,10,"")</f>
        <v/>
      </c>
    </row>
    <row r="359" spans="1:25" x14ac:dyDescent="0.3">
      <c r="A359" s="76">
        <v>358</v>
      </c>
      <c r="B359" s="6">
        <v>46108</v>
      </c>
      <c r="C359" s="6">
        <v>46109</v>
      </c>
      <c r="D359" s="17" t="str">
        <f t="shared" si="64"/>
        <v>March</v>
      </c>
      <c r="E359" s="5" t="str">
        <f t="shared" ca="1" si="65"/>
        <v>STU-179</v>
      </c>
      <c r="F359" s="5" t="str">
        <f ca="1">IF(COUNTIF($E$2:E359,E359)=1,"New Customer","Returning Customer")</f>
        <v>New Customer</v>
      </c>
      <c r="G359" s="5" t="str">
        <f t="shared" ca="1" si="66"/>
        <v>Female</v>
      </c>
      <c r="H359" s="5" t="s">
        <v>142</v>
      </c>
      <c r="I359" s="5" t="str" cm="1">
        <f t="array" aca="1" ref="I359" ca="1">INDEX(Courses!$B$9:$B$16,RANDBETWEEN(1,8))</f>
        <v>Adolescent Psychology</v>
      </c>
      <c r="J359" s="5" t="str">
        <f ca="1">VLOOKUP(I359,Courses!$B$9:$C$16,2,0)</f>
        <v>Psychology</v>
      </c>
      <c r="K359" s="7">
        <f ca="1">VLOOKUP(I359,Courses!$B$9:$D$16,3,0)</f>
        <v>29</v>
      </c>
      <c r="L359" s="5" t="str">
        <f t="shared" ca="1" si="67"/>
        <v>Pending</v>
      </c>
      <c r="M359" s="8" t="str" cm="1">
        <f t="array" aca="1" ref="M359" ca="1">INDEX('Payment Method'!$A$8:$A$12,RANDBETWEEN(1,5))</f>
        <v>Mastercard Credit</v>
      </c>
      <c r="N359" s="7">
        <f>IFERROR(SUMIF(Holiday!$A$8:$A$11,B359,Holiday!$C$8:$C$11),0)</f>
        <v>0</v>
      </c>
      <c r="O359" s="7">
        <f t="shared" ca="1" si="68"/>
        <v>29</v>
      </c>
      <c r="P359" s="19">
        <f t="shared" ca="1" si="69"/>
        <v>27.984999999999999</v>
      </c>
      <c r="Q359" s="7">
        <f t="shared" ca="1" si="70"/>
        <v>27.70515</v>
      </c>
      <c r="R359" s="8">
        <f ca="1">VLOOKUP(M359,'Payment Method'!$A$8:$B$12,2,0)</f>
        <v>3.5000000000000003E-2</v>
      </c>
      <c r="S359" s="9">
        <f t="shared" ca="1" si="60"/>
        <v>1.0150000000000006</v>
      </c>
      <c r="T359" s="8">
        <v>0.01</v>
      </c>
      <c r="U359" s="9">
        <f t="shared" ca="1" si="61"/>
        <v>0.27984999999999971</v>
      </c>
      <c r="V359" s="7">
        <f t="shared" ca="1" si="62"/>
        <v>0</v>
      </c>
      <c r="W359" s="7">
        <f t="shared" ca="1" si="63"/>
        <v>0</v>
      </c>
      <c r="X359" s="5" t="str">
        <f t="shared" ca="1" si="71"/>
        <v>Tiktok</v>
      </c>
      <c r="Y359" s="78" t="str">
        <f>IF(COUNTIF($C$1:C358,B358)=1,10,"")</f>
        <v/>
      </c>
    </row>
    <row r="360" spans="1:25" x14ac:dyDescent="0.3">
      <c r="A360" s="75">
        <v>359</v>
      </c>
      <c r="B360" s="6">
        <v>46094</v>
      </c>
      <c r="C360" s="6">
        <v>46096</v>
      </c>
      <c r="D360" s="17" t="str">
        <f t="shared" si="64"/>
        <v>March</v>
      </c>
      <c r="E360" s="5" t="str">
        <f t="shared" ca="1" si="65"/>
        <v>STU-558</v>
      </c>
      <c r="F360" s="5" t="str">
        <f ca="1">IF(COUNTIF($E$2:E360,E360)=1,"New Customer","Returning Customer")</f>
        <v>New Customer</v>
      </c>
      <c r="G360" s="5" t="str">
        <f t="shared" ca="1" si="66"/>
        <v>Not specified</v>
      </c>
      <c r="H360" s="5" t="s">
        <v>135</v>
      </c>
      <c r="I360" s="5" t="str" cm="1">
        <f t="array" aca="1" ref="I360" ca="1">INDEX(Courses!$B$9:$B$16,RANDBETWEEN(1,8))</f>
        <v>Adolescent Psychology</v>
      </c>
      <c r="J360" s="5" t="str">
        <f ca="1">VLOOKUP(I360,Courses!$B$9:$C$16,2,0)</f>
        <v>Psychology</v>
      </c>
      <c r="K360" s="7">
        <f ca="1">VLOOKUP(I360,Courses!$B$9:$D$16,3,0)</f>
        <v>29</v>
      </c>
      <c r="L360" s="5" t="str">
        <f t="shared" ca="1" si="67"/>
        <v>Refunded</v>
      </c>
      <c r="M360" s="8" t="str" cm="1">
        <f t="array" aca="1" ref="M360" ca="1">INDEX('Payment Method'!$A$8:$A$12,RANDBETWEEN(1,5))</f>
        <v>Mastercard Credit</v>
      </c>
      <c r="N360" s="7">
        <f>IFERROR(SUMIF(Holiday!$A$8:$A$11,B360,Holiday!$C$8:$C$11),0)</f>
        <v>0</v>
      </c>
      <c r="O360" s="7">
        <f t="shared" ca="1" si="68"/>
        <v>29</v>
      </c>
      <c r="P360" s="19">
        <f t="shared" ca="1" si="69"/>
        <v>27.984999999999999</v>
      </c>
      <c r="Q360" s="7">
        <f t="shared" ca="1" si="70"/>
        <v>0</v>
      </c>
      <c r="R360" s="8">
        <f ca="1">VLOOKUP(M360,'Payment Method'!$A$8:$B$12,2,0)</f>
        <v>3.5000000000000003E-2</v>
      </c>
      <c r="S360" s="9">
        <f t="shared" ca="1" si="60"/>
        <v>1.0150000000000006</v>
      </c>
      <c r="T360" s="8">
        <v>0.01</v>
      </c>
      <c r="U360" s="9">
        <f t="shared" ca="1" si="61"/>
        <v>0.27984999999999971</v>
      </c>
      <c r="V360" s="7">
        <f t="shared" ca="1" si="62"/>
        <v>27.70515</v>
      </c>
      <c r="W360" s="7">
        <f t="shared" ca="1" si="63"/>
        <v>0</v>
      </c>
      <c r="X360" s="5" t="str">
        <f t="shared" ca="1" si="71"/>
        <v>Tiktok</v>
      </c>
      <c r="Y360" s="78" t="str">
        <f>IF(COUNTIF($C$1:C359,B359)=1,10,"")</f>
        <v/>
      </c>
    </row>
    <row r="361" spans="1:25" x14ac:dyDescent="0.3">
      <c r="A361" s="76">
        <v>360</v>
      </c>
      <c r="B361" s="6">
        <v>46027</v>
      </c>
      <c r="C361" s="6">
        <v>46030</v>
      </c>
      <c r="D361" s="17" t="str">
        <f t="shared" si="64"/>
        <v>January</v>
      </c>
      <c r="E361" s="5" t="str">
        <f t="shared" ca="1" si="65"/>
        <v>STU-14</v>
      </c>
      <c r="F361" s="5" t="str">
        <f ca="1">IF(COUNTIF($E$2:E361,E361)=1,"New Customer","Returning Customer")</f>
        <v>Returning Customer</v>
      </c>
      <c r="G361" s="5" t="str">
        <f t="shared" ca="1" si="66"/>
        <v>Male</v>
      </c>
      <c r="H361" s="5" t="s">
        <v>138</v>
      </c>
      <c r="I361" s="5" t="str" cm="1">
        <f t="array" aca="1" ref="I361" ca="1">INDEX(Courses!$B$9:$B$16,RANDBETWEEN(1,8))</f>
        <v>Excel Basics</v>
      </c>
      <c r="J361" s="5" t="str">
        <f ca="1">VLOOKUP(I361,Courses!$B$9:$C$16,2,0)</f>
        <v>Microsoft Office</v>
      </c>
      <c r="K361" s="7">
        <f ca="1">VLOOKUP(I361,Courses!$B$9:$D$16,3,0)</f>
        <v>29</v>
      </c>
      <c r="L361" s="5" t="str">
        <f t="shared" ca="1" si="67"/>
        <v>Pending</v>
      </c>
      <c r="M361" s="8" t="str" cm="1">
        <f t="array" aca="1" ref="M361" ca="1">INDEX('Payment Method'!$A$8:$A$12,RANDBETWEEN(1,5))</f>
        <v>Mastercard Debit</v>
      </c>
      <c r="N361" s="7">
        <f>IFERROR(SUMIF(Holiday!$A$8:$A$11,B361,Holiday!$C$8:$C$11),0)</f>
        <v>0</v>
      </c>
      <c r="O361" s="7">
        <f t="shared" ca="1" si="68"/>
        <v>29</v>
      </c>
      <c r="P361" s="19">
        <f t="shared" ca="1" si="69"/>
        <v>28.42</v>
      </c>
      <c r="Q361" s="7">
        <f t="shared" ca="1" si="70"/>
        <v>28.135800000000003</v>
      </c>
      <c r="R361" s="8">
        <f ca="1">VLOOKUP(M361,'Payment Method'!$A$8:$B$12,2,0)</f>
        <v>0.02</v>
      </c>
      <c r="S361" s="9">
        <f t="shared" ca="1" si="60"/>
        <v>0.57999999999999829</v>
      </c>
      <c r="T361" s="8">
        <v>0.01</v>
      </c>
      <c r="U361" s="9">
        <f t="shared" ca="1" si="61"/>
        <v>0.28419999999999845</v>
      </c>
      <c r="V361" s="7">
        <f t="shared" ca="1" si="62"/>
        <v>0</v>
      </c>
      <c r="W361" s="7">
        <f t="shared" ca="1" si="63"/>
        <v>0</v>
      </c>
      <c r="X361" s="5" t="str">
        <f t="shared" ca="1" si="71"/>
        <v>Facebook</v>
      </c>
      <c r="Y361" s="78" t="str">
        <f>IF(COUNTIF($C$1:C360,B360)=1,10,"")</f>
        <v/>
      </c>
    </row>
    <row r="362" spans="1:25" x14ac:dyDescent="0.3">
      <c r="A362" s="75">
        <v>361</v>
      </c>
      <c r="B362" s="6">
        <v>46105</v>
      </c>
      <c r="C362" s="6">
        <v>46109</v>
      </c>
      <c r="D362" s="17" t="str">
        <f t="shared" si="64"/>
        <v>March</v>
      </c>
      <c r="E362" s="5" t="str">
        <f t="shared" ca="1" si="65"/>
        <v>STU-614</v>
      </c>
      <c r="F362" s="5" t="str">
        <f ca="1">IF(COUNTIF($E$2:E362,E362)=1,"New Customer","Returning Customer")</f>
        <v>New Customer</v>
      </c>
      <c r="G362" s="5" t="str">
        <f t="shared" ca="1" si="66"/>
        <v>Female</v>
      </c>
      <c r="H362" s="5" t="s">
        <v>141</v>
      </c>
      <c r="I362" s="5" t="str" cm="1">
        <f t="array" aca="1" ref="I362" ca="1">INDEX(Courses!$B$9:$B$16,RANDBETWEEN(1,8))</f>
        <v>SQL</v>
      </c>
      <c r="J362" s="5" t="str">
        <f ca="1">VLOOKUP(I362,Courses!$B$9:$C$16,2,0)</f>
        <v>Data Analytics</v>
      </c>
      <c r="K362" s="7">
        <f ca="1">VLOOKUP(I362,Courses!$B$9:$D$16,3,0)</f>
        <v>99</v>
      </c>
      <c r="L362" s="5" t="str">
        <f t="shared" ca="1" si="67"/>
        <v>Pending</v>
      </c>
      <c r="M362" s="8" t="str" cm="1">
        <f t="array" aca="1" ref="M362" ca="1">INDEX('Payment Method'!$A$8:$A$12,RANDBETWEEN(1,5))</f>
        <v>Bank Transfer</v>
      </c>
      <c r="N362" s="7">
        <f>IFERROR(SUMIF(Holiday!$A$8:$A$11,B362,Holiday!$C$8:$C$11),0)</f>
        <v>0</v>
      </c>
      <c r="O362" s="7">
        <f t="shared" ca="1" si="68"/>
        <v>99</v>
      </c>
      <c r="P362" s="19">
        <f t="shared" ca="1" si="69"/>
        <v>99</v>
      </c>
      <c r="Q362" s="7">
        <f t="shared" ca="1" si="70"/>
        <v>98.01</v>
      </c>
      <c r="R362" s="8">
        <f ca="1">VLOOKUP(M362,'Payment Method'!$A$8:$B$12,2,0)</f>
        <v>0</v>
      </c>
      <c r="S362" s="9">
        <f t="shared" ca="1" si="60"/>
        <v>0</v>
      </c>
      <c r="T362" s="8">
        <v>0.01</v>
      </c>
      <c r="U362" s="9">
        <f t="shared" ca="1" si="61"/>
        <v>0.98999999999999488</v>
      </c>
      <c r="V362" s="7">
        <f t="shared" ca="1" si="62"/>
        <v>0</v>
      </c>
      <c r="W362" s="7">
        <f t="shared" ca="1" si="63"/>
        <v>0</v>
      </c>
      <c r="X362" s="5" t="str">
        <f t="shared" ca="1" si="71"/>
        <v>Facebook</v>
      </c>
      <c r="Y362" s="78">
        <f>IF(COUNTIF($C$1:C361,B361)=1,10,"")</f>
        <v>10</v>
      </c>
    </row>
    <row r="363" spans="1:25" x14ac:dyDescent="0.3">
      <c r="A363" s="76">
        <v>362</v>
      </c>
      <c r="B363" s="6">
        <v>46095</v>
      </c>
      <c r="C363" s="6">
        <v>46095</v>
      </c>
      <c r="D363" s="17" t="str">
        <f t="shared" si="64"/>
        <v>March</v>
      </c>
      <c r="E363" s="5" t="str">
        <f t="shared" ca="1" si="65"/>
        <v>STU-863</v>
      </c>
      <c r="F363" s="5" t="str">
        <f ca="1">IF(COUNTIF($E$2:E363,E363)=1,"New Customer","Returning Customer")</f>
        <v>New Customer</v>
      </c>
      <c r="G363" s="5" t="str">
        <f t="shared" ca="1" si="66"/>
        <v>Male</v>
      </c>
      <c r="H363" s="5" t="s">
        <v>141</v>
      </c>
      <c r="I363" s="5" t="str" cm="1">
        <f t="array" aca="1" ref="I363" ca="1">INDEX(Courses!$B$9:$B$16,RANDBETWEEN(1,8))</f>
        <v>Excel Basics</v>
      </c>
      <c r="J363" s="5" t="str">
        <f ca="1">VLOOKUP(I363,Courses!$B$9:$C$16,2,0)</f>
        <v>Microsoft Office</v>
      </c>
      <c r="K363" s="7">
        <f ca="1">VLOOKUP(I363,Courses!$B$9:$D$16,3,0)</f>
        <v>29</v>
      </c>
      <c r="L363" s="5" t="str">
        <f t="shared" ca="1" si="67"/>
        <v>Pending</v>
      </c>
      <c r="M363" s="8" t="str" cm="1">
        <f t="array" aca="1" ref="M363" ca="1">INDEX('Payment Method'!$A$8:$A$12,RANDBETWEEN(1,5))</f>
        <v>Mastercard Debit</v>
      </c>
      <c r="N363" s="7">
        <f>IFERROR(SUMIF(Holiday!$A$8:$A$11,B363,Holiday!$C$8:$C$11),0)</f>
        <v>0</v>
      </c>
      <c r="O363" s="7">
        <f t="shared" ca="1" si="68"/>
        <v>29</v>
      </c>
      <c r="P363" s="19">
        <f t="shared" ca="1" si="69"/>
        <v>28.42</v>
      </c>
      <c r="Q363" s="7">
        <f t="shared" ca="1" si="70"/>
        <v>28.135800000000003</v>
      </c>
      <c r="R363" s="8">
        <f ca="1">VLOOKUP(M363,'Payment Method'!$A$8:$B$12,2,0)</f>
        <v>0.02</v>
      </c>
      <c r="S363" s="9">
        <f t="shared" ca="1" si="60"/>
        <v>0.57999999999999829</v>
      </c>
      <c r="T363" s="8">
        <v>0.01</v>
      </c>
      <c r="U363" s="9">
        <f t="shared" ca="1" si="61"/>
        <v>0.28419999999999845</v>
      </c>
      <c r="V363" s="7">
        <f t="shared" ca="1" si="62"/>
        <v>0</v>
      </c>
      <c r="W363" s="7">
        <f t="shared" ca="1" si="63"/>
        <v>0</v>
      </c>
      <c r="X363" s="5" t="str">
        <f t="shared" ca="1" si="71"/>
        <v>Tiktok</v>
      </c>
      <c r="Y363" s="78">
        <f>IF(COUNTIF($C$1:C362,B362)=1,10,"")</f>
        <v>10</v>
      </c>
    </row>
    <row r="364" spans="1:25" x14ac:dyDescent="0.3">
      <c r="A364" s="75">
        <v>363</v>
      </c>
      <c r="B364" s="6">
        <v>46023</v>
      </c>
      <c r="C364" s="6">
        <v>46028</v>
      </c>
      <c r="D364" s="17" t="str">
        <f t="shared" si="64"/>
        <v>January</v>
      </c>
      <c r="E364" s="5" t="str">
        <f t="shared" ca="1" si="65"/>
        <v>STU-798</v>
      </c>
      <c r="F364" s="5" t="str">
        <f ca="1">IF(COUNTIF($E$2:E364,E364)=1,"New Customer","Returning Customer")</f>
        <v>New Customer</v>
      </c>
      <c r="G364" s="5" t="str">
        <f t="shared" ca="1" si="66"/>
        <v>Male</v>
      </c>
      <c r="H364" s="5" t="s">
        <v>137</v>
      </c>
      <c r="I364" s="5" t="str" cm="1">
        <f t="array" aca="1" ref="I364" ca="1">INDEX(Courses!$B$9:$B$16,RANDBETWEEN(1,8))</f>
        <v>Tax Code</v>
      </c>
      <c r="J364" s="5" t="str">
        <f ca="1">VLOOKUP(I364,Courses!$B$9:$C$16,2,0)</f>
        <v>Finance &amp; Taxation</v>
      </c>
      <c r="K364" s="7">
        <f ca="1">VLOOKUP(I364,Courses!$B$9:$D$16,3,0)</f>
        <v>59</v>
      </c>
      <c r="L364" s="5" t="str">
        <f t="shared" ca="1" si="67"/>
        <v>Paid</v>
      </c>
      <c r="M364" s="8" t="str" cm="1">
        <f t="array" aca="1" ref="M364" ca="1">INDEX('Payment Method'!$A$8:$A$12,RANDBETWEEN(1,5))</f>
        <v>Visa Debit</v>
      </c>
      <c r="N364" s="7">
        <f>IFERROR(SUMIF(Holiday!$A$8:$A$11,B364,Holiday!$C$8:$C$11),0)</f>
        <v>20</v>
      </c>
      <c r="O364" s="7">
        <f t="shared" ca="1" si="68"/>
        <v>-1121</v>
      </c>
      <c r="P364" s="19">
        <f t="shared" ca="1" si="69"/>
        <v>-1098.58</v>
      </c>
      <c r="Q364" s="7">
        <f t="shared" ca="1" si="70"/>
        <v>0</v>
      </c>
      <c r="R364" s="8">
        <f ca="1">VLOOKUP(M364,'Payment Method'!$A$8:$B$12,2,0)</f>
        <v>0.02</v>
      </c>
      <c r="S364" s="9">
        <f t="shared" ca="1" si="60"/>
        <v>-22.420000000000073</v>
      </c>
      <c r="T364" s="8">
        <v>0.01</v>
      </c>
      <c r="U364" s="9">
        <f t="shared" ca="1" si="61"/>
        <v>-10.985799999999927</v>
      </c>
      <c r="V364" s="7">
        <f t="shared" ca="1" si="62"/>
        <v>0</v>
      </c>
      <c r="W364" s="7">
        <f t="shared" ca="1" si="63"/>
        <v>-1087.5942</v>
      </c>
      <c r="X364" s="5" t="str">
        <f t="shared" ca="1" si="71"/>
        <v>Facebook</v>
      </c>
      <c r="Y364" s="78" t="str">
        <f>IF(COUNTIF($C$1:C363,B363)=1,10,"")</f>
        <v/>
      </c>
    </row>
    <row r="365" spans="1:25" x14ac:dyDescent="0.3">
      <c r="A365" s="76">
        <v>364</v>
      </c>
      <c r="B365" s="6">
        <v>46185</v>
      </c>
      <c r="C365" s="6">
        <v>46187</v>
      </c>
      <c r="D365" s="17" t="str">
        <f t="shared" si="64"/>
        <v>June</v>
      </c>
      <c r="E365" s="5" t="str">
        <f t="shared" ca="1" si="65"/>
        <v>STU-211</v>
      </c>
      <c r="F365" s="5" t="str">
        <f ca="1">IF(COUNTIF($E$2:E365,E365)=1,"New Customer","Returning Customer")</f>
        <v>New Customer</v>
      </c>
      <c r="G365" s="5" t="str">
        <f t="shared" ca="1" si="66"/>
        <v>Female</v>
      </c>
      <c r="H365" s="5" t="s">
        <v>137</v>
      </c>
      <c r="I365" s="5" t="str" cm="1">
        <f t="array" aca="1" ref="I365" ca="1">INDEX(Courses!$B$9:$B$16,RANDBETWEEN(1,8))</f>
        <v>Microsoft Word</v>
      </c>
      <c r="J365" s="5" t="str">
        <f ca="1">VLOOKUP(I365,Courses!$B$9:$C$16,2,0)</f>
        <v>Microsoft Office</v>
      </c>
      <c r="K365" s="7">
        <f ca="1">VLOOKUP(I365,Courses!$B$9:$D$16,3,0)</f>
        <v>29</v>
      </c>
      <c r="L365" s="5" t="str">
        <f t="shared" ca="1" si="67"/>
        <v>Paid</v>
      </c>
      <c r="M365" s="8" t="str" cm="1">
        <f t="array" aca="1" ref="M365" ca="1">INDEX('Payment Method'!$A$8:$A$12,RANDBETWEEN(1,5))</f>
        <v>Visa Credit</v>
      </c>
      <c r="N365" s="7">
        <f>IFERROR(SUMIF(Holiday!$A$8:$A$11,B365,Holiday!$C$8:$C$11),0)</f>
        <v>0</v>
      </c>
      <c r="O365" s="7">
        <f t="shared" ca="1" si="68"/>
        <v>29</v>
      </c>
      <c r="P365" s="19">
        <f t="shared" ca="1" si="69"/>
        <v>27.984999999999999</v>
      </c>
      <c r="Q365" s="7">
        <f t="shared" ca="1" si="70"/>
        <v>0</v>
      </c>
      <c r="R365" s="8">
        <f ca="1">VLOOKUP(M365,'Payment Method'!$A$8:$B$12,2,0)</f>
        <v>3.5000000000000003E-2</v>
      </c>
      <c r="S365" s="9">
        <f t="shared" ca="1" si="60"/>
        <v>1.0150000000000006</v>
      </c>
      <c r="T365" s="8">
        <v>0.01</v>
      </c>
      <c r="U365" s="9">
        <f t="shared" ca="1" si="61"/>
        <v>0.27984999999999971</v>
      </c>
      <c r="V365" s="7">
        <f t="shared" ca="1" si="62"/>
        <v>0</v>
      </c>
      <c r="W365" s="7">
        <f t="shared" ca="1" si="63"/>
        <v>27.70515</v>
      </c>
      <c r="X365" s="5" t="str">
        <f t="shared" ca="1" si="71"/>
        <v>Instagram</v>
      </c>
      <c r="Y365" s="78" t="str">
        <f>IF(COUNTIF($C$1:C364,B364)=1,10,"")</f>
        <v/>
      </c>
    </row>
    <row r="366" spans="1:25" x14ac:dyDescent="0.3">
      <c r="A366" s="75">
        <v>365</v>
      </c>
      <c r="B366" s="6">
        <v>46049</v>
      </c>
      <c r="C366" s="6">
        <v>46054</v>
      </c>
      <c r="D366" s="17" t="str">
        <f t="shared" si="64"/>
        <v>February</v>
      </c>
      <c r="E366" s="5" t="str">
        <f t="shared" ca="1" si="65"/>
        <v>STU-584</v>
      </c>
      <c r="F366" s="5" t="str">
        <f ca="1">IF(COUNTIF($E$2:E366,E366)=1,"New Customer","Returning Customer")</f>
        <v>New Customer</v>
      </c>
      <c r="G366" s="5" t="str">
        <f t="shared" ca="1" si="66"/>
        <v>Not specified</v>
      </c>
      <c r="H366" s="5" t="s">
        <v>138</v>
      </c>
      <c r="I366" s="5" t="str" cm="1">
        <f t="array" aca="1" ref="I366" ca="1">INDEX(Courses!$B$9:$B$16,RANDBETWEEN(1,8))</f>
        <v>Tax Code</v>
      </c>
      <c r="J366" s="5" t="str">
        <f ca="1">VLOOKUP(I366,Courses!$B$9:$C$16,2,0)</f>
        <v>Finance &amp; Taxation</v>
      </c>
      <c r="K366" s="7">
        <f ca="1">VLOOKUP(I366,Courses!$B$9:$D$16,3,0)</f>
        <v>59</v>
      </c>
      <c r="L366" s="5" t="str">
        <f t="shared" ca="1" si="67"/>
        <v>Paid</v>
      </c>
      <c r="M366" s="8" t="str" cm="1">
        <f t="array" aca="1" ref="M366" ca="1">INDEX('Payment Method'!$A$8:$A$12,RANDBETWEEN(1,5))</f>
        <v>Visa Credit</v>
      </c>
      <c r="N366" s="7">
        <f>IFERROR(SUMIF(Holiday!$A$8:$A$11,B366,Holiday!$C$8:$C$11),0)</f>
        <v>0</v>
      </c>
      <c r="O366" s="7">
        <f t="shared" ca="1" si="68"/>
        <v>59</v>
      </c>
      <c r="P366" s="19">
        <f t="shared" ca="1" si="69"/>
        <v>56.935000000000002</v>
      </c>
      <c r="Q366" s="7">
        <f t="shared" ca="1" si="70"/>
        <v>0</v>
      </c>
      <c r="R366" s="8">
        <f ca="1">VLOOKUP(M366,'Payment Method'!$A$8:$B$12,2,0)</f>
        <v>3.5000000000000003E-2</v>
      </c>
      <c r="S366" s="9">
        <f t="shared" ca="1" si="60"/>
        <v>2.0649999999999977</v>
      </c>
      <c r="T366" s="8">
        <v>0.01</v>
      </c>
      <c r="U366" s="9">
        <f t="shared" ca="1" si="61"/>
        <v>0.56935000000000002</v>
      </c>
      <c r="V366" s="7">
        <f t="shared" ca="1" si="62"/>
        <v>0</v>
      </c>
      <c r="W366" s="7">
        <f t="shared" ca="1" si="63"/>
        <v>56.365650000000002</v>
      </c>
      <c r="X366" s="5" t="str">
        <f t="shared" ca="1" si="71"/>
        <v>Tiktok</v>
      </c>
      <c r="Y366" s="78">
        <f>IF(COUNTIF($C$1:C365,B365)=1,10,"")</f>
        <v>10</v>
      </c>
    </row>
    <row r="367" spans="1:25" x14ac:dyDescent="0.3">
      <c r="A367" s="76">
        <v>366</v>
      </c>
      <c r="B367" s="6">
        <v>46089</v>
      </c>
      <c r="C367" s="6">
        <v>46092</v>
      </c>
      <c r="D367" s="17" t="str">
        <f t="shared" si="64"/>
        <v>March</v>
      </c>
      <c r="E367" s="5" t="str">
        <f t="shared" ca="1" si="65"/>
        <v>STU-891</v>
      </c>
      <c r="F367" s="5" t="str">
        <f ca="1">IF(COUNTIF($E$2:E367,E367)=1,"New Customer","Returning Customer")</f>
        <v>New Customer</v>
      </c>
      <c r="G367" s="5" t="str">
        <f t="shared" ca="1" si="66"/>
        <v>Not specified</v>
      </c>
      <c r="H367" s="5" t="s">
        <v>136</v>
      </c>
      <c r="I367" s="5" t="str" cm="1">
        <f t="array" aca="1" ref="I367" ca="1">INDEX(Courses!$B$9:$B$16,RANDBETWEEN(1,8))</f>
        <v>Complete Excel Course</v>
      </c>
      <c r="J367" s="5" t="str">
        <f ca="1">VLOOKUP(I367,Courses!$B$9:$C$16,2,0)</f>
        <v>Microsoft Office</v>
      </c>
      <c r="K367" s="7">
        <f ca="1">VLOOKUP(I367,Courses!$B$9:$D$16,3,0)</f>
        <v>59</v>
      </c>
      <c r="L367" s="5" t="str">
        <f t="shared" ca="1" si="67"/>
        <v>Paid</v>
      </c>
      <c r="M367" s="8" t="str" cm="1">
        <f t="array" aca="1" ref="M367" ca="1">INDEX('Payment Method'!$A$8:$A$12,RANDBETWEEN(1,5))</f>
        <v>Visa Debit</v>
      </c>
      <c r="N367" s="7">
        <f>IFERROR(SUMIF(Holiday!$A$8:$A$11,B367,Holiday!$C$8:$C$11),0)</f>
        <v>0</v>
      </c>
      <c r="O367" s="7">
        <f t="shared" ca="1" si="68"/>
        <v>59</v>
      </c>
      <c r="P367" s="19">
        <f t="shared" ca="1" si="69"/>
        <v>57.82</v>
      </c>
      <c r="Q367" s="7">
        <f t="shared" ca="1" si="70"/>
        <v>0</v>
      </c>
      <c r="R367" s="8">
        <f ca="1">VLOOKUP(M367,'Payment Method'!$A$8:$B$12,2,0)</f>
        <v>0.02</v>
      </c>
      <c r="S367" s="9">
        <f t="shared" ca="1" si="60"/>
        <v>1.1799999999999997</v>
      </c>
      <c r="T367" s="8">
        <v>0.01</v>
      </c>
      <c r="U367" s="9">
        <f t="shared" ca="1" si="61"/>
        <v>0.57820000000000249</v>
      </c>
      <c r="V367" s="7">
        <f t="shared" ca="1" si="62"/>
        <v>0</v>
      </c>
      <c r="W367" s="7">
        <f t="shared" ca="1" si="63"/>
        <v>57.241799999999998</v>
      </c>
      <c r="X367" s="5" t="str">
        <f t="shared" ca="1" si="71"/>
        <v>Instagram</v>
      </c>
      <c r="Y367" s="78" t="str">
        <f>IF(COUNTIF($C$1:C366,B366)=1,10,"")</f>
        <v/>
      </c>
    </row>
    <row r="368" spans="1:25" x14ac:dyDescent="0.3">
      <c r="A368" s="75">
        <v>367</v>
      </c>
      <c r="B368" s="6">
        <v>46114</v>
      </c>
      <c r="C368" s="6">
        <v>46116</v>
      </c>
      <c r="D368" s="17" t="str">
        <f t="shared" si="64"/>
        <v>April</v>
      </c>
      <c r="E368" s="5" t="str">
        <f t="shared" ca="1" si="65"/>
        <v>STU-729</v>
      </c>
      <c r="F368" s="5" t="str">
        <f ca="1">IF(COUNTIF($E$2:E368,E368)=1,"New Customer","Returning Customer")</f>
        <v>New Customer</v>
      </c>
      <c r="G368" s="5" t="str">
        <f t="shared" ca="1" si="66"/>
        <v>Female</v>
      </c>
      <c r="H368" s="5" t="s">
        <v>142</v>
      </c>
      <c r="I368" s="5" t="str" cm="1">
        <f t="array" aca="1" ref="I368" ca="1">INDEX(Courses!$B$9:$B$16,RANDBETWEEN(1,8))</f>
        <v>Power BI</v>
      </c>
      <c r="J368" s="5" t="str">
        <f ca="1">VLOOKUP(I368,Courses!$B$9:$C$16,2,0)</f>
        <v>Data Analytics</v>
      </c>
      <c r="K368" s="7">
        <f ca="1">VLOOKUP(I368,Courses!$B$9:$D$16,3,0)</f>
        <v>59</v>
      </c>
      <c r="L368" s="5" t="str">
        <f t="shared" ca="1" si="67"/>
        <v>Paid</v>
      </c>
      <c r="M368" s="8" t="str" cm="1">
        <f t="array" aca="1" ref="M368" ca="1">INDEX('Payment Method'!$A$8:$A$12,RANDBETWEEN(1,5))</f>
        <v>Visa Credit</v>
      </c>
      <c r="N368" s="7">
        <f>IFERROR(SUMIF(Holiday!$A$8:$A$11,B368,Holiday!$C$8:$C$11),0)</f>
        <v>0</v>
      </c>
      <c r="O368" s="7">
        <f t="shared" ca="1" si="68"/>
        <v>59</v>
      </c>
      <c r="P368" s="19">
        <f t="shared" ca="1" si="69"/>
        <v>56.935000000000002</v>
      </c>
      <c r="Q368" s="7">
        <f t="shared" ca="1" si="70"/>
        <v>0</v>
      </c>
      <c r="R368" s="8">
        <f ca="1">VLOOKUP(M368,'Payment Method'!$A$8:$B$12,2,0)</f>
        <v>3.5000000000000003E-2</v>
      </c>
      <c r="S368" s="9">
        <f t="shared" ca="1" si="60"/>
        <v>2.0649999999999977</v>
      </c>
      <c r="T368" s="8">
        <v>0.01</v>
      </c>
      <c r="U368" s="9">
        <f t="shared" ca="1" si="61"/>
        <v>0.56935000000000002</v>
      </c>
      <c r="V368" s="7">
        <f t="shared" ca="1" si="62"/>
        <v>0</v>
      </c>
      <c r="W368" s="7">
        <f t="shared" ca="1" si="63"/>
        <v>56.365650000000002</v>
      </c>
      <c r="X368" s="5" t="str">
        <f t="shared" ca="1" si="71"/>
        <v>Facebook</v>
      </c>
      <c r="Y368" s="78" t="str">
        <f>IF(COUNTIF($C$1:C367,B367)=1,10,"")</f>
        <v/>
      </c>
    </row>
    <row r="369" spans="1:25" x14ac:dyDescent="0.3">
      <c r="A369" s="76">
        <v>368</v>
      </c>
      <c r="B369" s="6">
        <v>46145</v>
      </c>
      <c r="C369" s="6">
        <v>46146</v>
      </c>
      <c r="D369" s="17" t="str">
        <f t="shared" si="64"/>
        <v>May</v>
      </c>
      <c r="E369" s="5" t="str">
        <f t="shared" ca="1" si="65"/>
        <v>STU-963</v>
      </c>
      <c r="F369" s="5" t="str">
        <f ca="1">IF(COUNTIF($E$2:E369,E369)=1,"New Customer","Returning Customer")</f>
        <v>Returning Customer</v>
      </c>
      <c r="G369" s="5" t="str">
        <f t="shared" ca="1" si="66"/>
        <v>Male</v>
      </c>
      <c r="H369" s="5" t="s">
        <v>135</v>
      </c>
      <c r="I369" s="5" t="str" cm="1">
        <f t="array" aca="1" ref="I369" ca="1">INDEX(Courses!$B$9:$B$16,RANDBETWEEN(1,8))</f>
        <v>Complete Excel Course</v>
      </c>
      <c r="J369" s="5" t="str">
        <f ca="1">VLOOKUP(I369,Courses!$B$9:$C$16,2,0)</f>
        <v>Microsoft Office</v>
      </c>
      <c r="K369" s="7">
        <f ca="1">VLOOKUP(I369,Courses!$B$9:$D$16,3,0)</f>
        <v>59</v>
      </c>
      <c r="L369" s="5" t="str">
        <f t="shared" ca="1" si="67"/>
        <v>Paid</v>
      </c>
      <c r="M369" s="8" t="str" cm="1">
        <f t="array" aca="1" ref="M369" ca="1">INDEX('Payment Method'!$A$8:$A$12,RANDBETWEEN(1,5))</f>
        <v>Bank Transfer</v>
      </c>
      <c r="N369" s="7">
        <f>IFERROR(SUMIF(Holiday!$A$8:$A$11,B369,Holiday!$C$8:$C$11),0)</f>
        <v>0</v>
      </c>
      <c r="O369" s="7">
        <f t="shared" ca="1" si="68"/>
        <v>59</v>
      </c>
      <c r="P369" s="19">
        <f t="shared" ca="1" si="69"/>
        <v>59</v>
      </c>
      <c r="Q369" s="7">
        <f t="shared" ca="1" si="70"/>
        <v>0</v>
      </c>
      <c r="R369" s="8">
        <f ca="1">VLOOKUP(M369,'Payment Method'!$A$8:$B$12,2,0)</f>
        <v>0</v>
      </c>
      <c r="S369" s="9">
        <f t="shared" ca="1" si="60"/>
        <v>0</v>
      </c>
      <c r="T369" s="8">
        <v>0.01</v>
      </c>
      <c r="U369" s="9">
        <f t="shared" ca="1" si="61"/>
        <v>0.59000000000000341</v>
      </c>
      <c r="V369" s="7">
        <f t="shared" ca="1" si="62"/>
        <v>0</v>
      </c>
      <c r="W369" s="7">
        <f t="shared" ca="1" si="63"/>
        <v>58.41</v>
      </c>
      <c r="X369" s="5" t="str">
        <f t="shared" ca="1" si="71"/>
        <v>Instagram</v>
      </c>
      <c r="Y369" s="78" t="str">
        <f>IF(COUNTIF($C$1:C368,B368)=1,10,"")</f>
        <v/>
      </c>
    </row>
    <row r="370" spans="1:25" x14ac:dyDescent="0.3">
      <c r="A370" s="75">
        <v>369</v>
      </c>
      <c r="B370" s="6">
        <v>46060</v>
      </c>
      <c r="C370" s="6">
        <v>46064</v>
      </c>
      <c r="D370" s="17" t="str">
        <f t="shared" si="64"/>
        <v>February</v>
      </c>
      <c r="E370" s="5" t="str">
        <f t="shared" ca="1" si="65"/>
        <v>STU-847</v>
      </c>
      <c r="F370" s="5" t="str">
        <f ca="1">IF(COUNTIF($E$2:E370,E370)=1,"New Customer","Returning Customer")</f>
        <v>New Customer</v>
      </c>
      <c r="G370" s="5" t="str">
        <f t="shared" ca="1" si="66"/>
        <v>Not specified</v>
      </c>
      <c r="H370" s="5" t="s">
        <v>135</v>
      </c>
      <c r="I370" s="5" t="str" cm="1">
        <f t="array" aca="1" ref="I370" ca="1">INDEX(Courses!$B$9:$B$16,RANDBETWEEN(1,8))</f>
        <v>PowerPoint</v>
      </c>
      <c r="J370" s="5" t="str">
        <f ca="1">VLOOKUP(I370,Courses!$B$9:$C$16,2,0)</f>
        <v>Microsoft Office</v>
      </c>
      <c r="K370" s="7">
        <f ca="1">VLOOKUP(I370,Courses!$B$9:$D$16,3,0)</f>
        <v>29</v>
      </c>
      <c r="L370" s="5" t="str">
        <f t="shared" ca="1" si="67"/>
        <v>Pending</v>
      </c>
      <c r="M370" s="8" t="str" cm="1">
        <f t="array" aca="1" ref="M370" ca="1">INDEX('Payment Method'!$A$8:$A$12,RANDBETWEEN(1,5))</f>
        <v>Visa Debit</v>
      </c>
      <c r="N370" s="7">
        <f>IFERROR(SUMIF(Holiday!$A$8:$A$11,B370,Holiday!$C$8:$C$11),0)</f>
        <v>0</v>
      </c>
      <c r="O370" s="7">
        <f t="shared" ca="1" si="68"/>
        <v>29</v>
      </c>
      <c r="P370" s="19">
        <f t="shared" ca="1" si="69"/>
        <v>28.42</v>
      </c>
      <c r="Q370" s="7">
        <f t="shared" ca="1" si="70"/>
        <v>28.135800000000003</v>
      </c>
      <c r="R370" s="8">
        <f ca="1">VLOOKUP(M370,'Payment Method'!$A$8:$B$12,2,0)</f>
        <v>0.02</v>
      </c>
      <c r="S370" s="9">
        <f t="shared" ca="1" si="60"/>
        <v>0.57999999999999829</v>
      </c>
      <c r="T370" s="8">
        <v>0.01</v>
      </c>
      <c r="U370" s="9">
        <f t="shared" ca="1" si="61"/>
        <v>0.28419999999999845</v>
      </c>
      <c r="V370" s="7">
        <f t="shared" ca="1" si="62"/>
        <v>0</v>
      </c>
      <c r="W370" s="7">
        <f t="shared" ca="1" si="63"/>
        <v>0</v>
      </c>
      <c r="X370" s="5" t="str">
        <f t="shared" ca="1" si="71"/>
        <v>Facebook</v>
      </c>
      <c r="Y370" s="78" t="str">
        <f>IF(COUNTIF($C$1:C369,B369)=1,10,"")</f>
        <v/>
      </c>
    </row>
    <row r="371" spans="1:25" x14ac:dyDescent="0.3">
      <c r="A371" s="76">
        <v>370</v>
      </c>
      <c r="B371" s="6">
        <v>46230</v>
      </c>
      <c r="C371" s="6">
        <v>46233</v>
      </c>
      <c r="D371" s="17" t="str">
        <f t="shared" si="64"/>
        <v>July</v>
      </c>
      <c r="E371" s="5" t="str">
        <f t="shared" ca="1" si="65"/>
        <v>STU-660</v>
      </c>
      <c r="F371" s="5" t="str">
        <f ca="1">IF(COUNTIF($E$2:E371,E371)=1,"New Customer","Returning Customer")</f>
        <v>Returning Customer</v>
      </c>
      <c r="G371" s="5" t="str">
        <f t="shared" ca="1" si="66"/>
        <v>Not specified</v>
      </c>
      <c r="H371" s="5" t="s">
        <v>141</v>
      </c>
      <c r="I371" s="5" t="str" cm="1">
        <f t="array" aca="1" ref="I371" ca="1">INDEX(Courses!$B$9:$B$16,RANDBETWEEN(1,8))</f>
        <v>Complete Excel Course</v>
      </c>
      <c r="J371" s="5" t="str">
        <f ca="1">VLOOKUP(I371,Courses!$B$9:$C$16,2,0)</f>
        <v>Microsoft Office</v>
      </c>
      <c r="K371" s="7">
        <f ca="1">VLOOKUP(I371,Courses!$B$9:$D$16,3,0)</f>
        <v>59</v>
      </c>
      <c r="L371" s="5" t="str">
        <f t="shared" ca="1" si="67"/>
        <v>Pending</v>
      </c>
      <c r="M371" s="8" t="str" cm="1">
        <f t="array" aca="1" ref="M371" ca="1">INDEX('Payment Method'!$A$8:$A$12,RANDBETWEEN(1,5))</f>
        <v>Visa Debit</v>
      </c>
      <c r="N371" s="7">
        <f>IFERROR(SUMIF(Holiday!$A$8:$A$11,B371,Holiday!$C$8:$C$11),0)</f>
        <v>0</v>
      </c>
      <c r="O371" s="7">
        <f t="shared" ca="1" si="68"/>
        <v>59</v>
      </c>
      <c r="P371" s="19">
        <f t="shared" ca="1" si="69"/>
        <v>57.82</v>
      </c>
      <c r="Q371" s="7">
        <f t="shared" ca="1" si="70"/>
        <v>57.241799999999998</v>
      </c>
      <c r="R371" s="8">
        <f ca="1">VLOOKUP(M371,'Payment Method'!$A$8:$B$12,2,0)</f>
        <v>0.02</v>
      </c>
      <c r="S371" s="9">
        <f t="shared" ca="1" si="60"/>
        <v>1.1799999999999997</v>
      </c>
      <c r="T371" s="8">
        <v>0.01</v>
      </c>
      <c r="U371" s="9">
        <f t="shared" ca="1" si="61"/>
        <v>0.57820000000000249</v>
      </c>
      <c r="V371" s="7">
        <f t="shared" ca="1" si="62"/>
        <v>0</v>
      </c>
      <c r="W371" s="7">
        <f t="shared" ca="1" si="63"/>
        <v>0</v>
      </c>
      <c r="X371" s="5" t="str">
        <f t="shared" ca="1" si="71"/>
        <v>Instagram</v>
      </c>
      <c r="Y371" s="78" t="str">
        <f>IF(COUNTIF($C$1:C370,B370)=1,10,"")</f>
        <v/>
      </c>
    </row>
    <row r="372" spans="1:25" x14ac:dyDescent="0.3">
      <c r="A372" s="75">
        <v>371</v>
      </c>
      <c r="B372" s="6">
        <v>46093</v>
      </c>
      <c r="C372" s="6">
        <v>46098</v>
      </c>
      <c r="D372" s="17" t="str">
        <f t="shared" si="64"/>
        <v>March</v>
      </c>
      <c r="E372" s="5" t="str">
        <f t="shared" ca="1" si="65"/>
        <v>STU-88</v>
      </c>
      <c r="F372" s="5" t="str">
        <f ca="1">IF(COUNTIF($E$2:E372,E372)=1,"New Customer","Returning Customer")</f>
        <v>New Customer</v>
      </c>
      <c r="G372" s="5" t="str">
        <f t="shared" ca="1" si="66"/>
        <v>Male</v>
      </c>
      <c r="H372" s="5" t="s">
        <v>136</v>
      </c>
      <c r="I372" s="5" t="str" cm="1">
        <f t="array" aca="1" ref="I372" ca="1">INDEX(Courses!$B$9:$B$16,RANDBETWEEN(1,8))</f>
        <v>Excel Basics</v>
      </c>
      <c r="J372" s="5" t="str">
        <f ca="1">VLOOKUP(I372,Courses!$B$9:$C$16,2,0)</f>
        <v>Microsoft Office</v>
      </c>
      <c r="K372" s="7">
        <f ca="1">VLOOKUP(I372,Courses!$B$9:$D$16,3,0)</f>
        <v>29</v>
      </c>
      <c r="L372" s="5" t="str">
        <f t="shared" ca="1" si="67"/>
        <v>Paid</v>
      </c>
      <c r="M372" s="8" t="str" cm="1">
        <f t="array" aca="1" ref="M372" ca="1">INDEX('Payment Method'!$A$8:$A$12,RANDBETWEEN(1,5))</f>
        <v>Visa Debit</v>
      </c>
      <c r="N372" s="7">
        <f>IFERROR(SUMIF(Holiday!$A$8:$A$11,B372,Holiday!$C$8:$C$11),0)</f>
        <v>0</v>
      </c>
      <c r="O372" s="7">
        <f t="shared" ca="1" si="68"/>
        <v>29</v>
      </c>
      <c r="P372" s="19">
        <f t="shared" ca="1" si="69"/>
        <v>28.42</v>
      </c>
      <c r="Q372" s="7">
        <f t="shared" ca="1" si="70"/>
        <v>0</v>
      </c>
      <c r="R372" s="8">
        <f ca="1">VLOOKUP(M372,'Payment Method'!$A$8:$B$12,2,0)</f>
        <v>0.02</v>
      </c>
      <c r="S372" s="9">
        <f t="shared" ca="1" si="60"/>
        <v>0.57999999999999829</v>
      </c>
      <c r="T372" s="8">
        <v>0.01</v>
      </c>
      <c r="U372" s="9">
        <f t="shared" ca="1" si="61"/>
        <v>0.28419999999999845</v>
      </c>
      <c r="V372" s="7">
        <f t="shared" ca="1" si="62"/>
        <v>0</v>
      </c>
      <c r="W372" s="7">
        <f t="shared" ca="1" si="63"/>
        <v>28.135800000000003</v>
      </c>
      <c r="X372" s="5" t="str">
        <f t="shared" ca="1" si="71"/>
        <v>Instagram</v>
      </c>
      <c r="Y372" s="78" t="str">
        <f>IF(COUNTIF($C$1:C371,B371)=1,10,"")</f>
        <v/>
      </c>
    </row>
    <row r="373" spans="1:25" x14ac:dyDescent="0.3">
      <c r="A373" s="76">
        <v>372</v>
      </c>
      <c r="B373" s="6">
        <v>46209</v>
      </c>
      <c r="C373" s="6">
        <v>46211</v>
      </c>
      <c r="D373" s="17" t="str">
        <f t="shared" si="64"/>
        <v>July</v>
      </c>
      <c r="E373" s="5" t="str">
        <f t="shared" ca="1" si="65"/>
        <v>STU-383</v>
      </c>
      <c r="F373" s="5" t="str">
        <f ca="1">IF(COUNTIF($E$2:E373,E373)=1,"New Customer","Returning Customer")</f>
        <v>Returning Customer</v>
      </c>
      <c r="G373" s="5" t="str">
        <f t="shared" ca="1" si="66"/>
        <v>Not specified</v>
      </c>
      <c r="H373" s="5" t="s">
        <v>136</v>
      </c>
      <c r="I373" s="5" t="str" cm="1">
        <f t="array" aca="1" ref="I373" ca="1">INDEX(Courses!$B$9:$B$16,RANDBETWEEN(1,8))</f>
        <v>PowerPoint</v>
      </c>
      <c r="J373" s="5" t="str">
        <f ca="1">VLOOKUP(I373,Courses!$B$9:$C$16,2,0)</f>
        <v>Microsoft Office</v>
      </c>
      <c r="K373" s="7">
        <f ca="1">VLOOKUP(I373,Courses!$B$9:$D$16,3,0)</f>
        <v>29</v>
      </c>
      <c r="L373" s="5" t="str">
        <f t="shared" ca="1" si="67"/>
        <v>Paid</v>
      </c>
      <c r="M373" s="8" t="str" cm="1">
        <f t="array" aca="1" ref="M373" ca="1">INDEX('Payment Method'!$A$8:$A$12,RANDBETWEEN(1,5))</f>
        <v>Mastercard Credit</v>
      </c>
      <c r="N373" s="7">
        <f>IFERROR(SUMIF(Holiday!$A$8:$A$11,B373,Holiday!$C$8:$C$11),0)</f>
        <v>0</v>
      </c>
      <c r="O373" s="7">
        <f t="shared" ca="1" si="68"/>
        <v>29</v>
      </c>
      <c r="P373" s="19">
        <f t="shared" ca="1" si="69"/>
        <v>27.984999999999999</v>
      </c>
      <c r="Q373" s="7">
        <f t="shared" ca="1" si="70"/>
        <v>0</v>
      </c>
      <c r="R373" s="8">
        <f ca="1">VLOOKUP(M373,'Payment Method'!$A$8:$B$12,2,0)</f>
        <v>3.5000000000000003E-2</v>
      </c>
      <c r="S373" s="9">
        <f t="shared" ca="1" si="60"/>
        <v>1.0150000000000006</v>
      </c>
      <c r="T373" s="8">
        <v>0.01</v>
      </c>
      <c r="U373" s="9">
        <f t="shared" ca="1" si="61"/>
        <v>0.27984999999999971</v>
      </c>
      <c r="V373" s="7">
        <f t="shared" ca="1" si="62"/>
        <v>0</v>
      </c>
      <c r="W373" s="7">
        <f t="shared" ca="1" si="63"/>
        <v>27.70515</v>
      </c>
      <c r="X373" s="5" t="str">
        <f t="shared" ca="1" si="71"/>
        <v>Tiktok</v>
      </c>
      <c r="Y373" s="78" t="str">
        <f>IF(COUNTIF($C$1:C372,B372)=1,10,"")</f>
        <v/>
      </c>
    </row>
    <row r="374" spans="1:25" x14ac:dyDescent="0.3">
      <c r="A374" s="75">
        <v>373</v>
      </c>
      <c r="B374" s="6">
        <v>46225</v>
      </c>
      <c r="C374" s="6">
        <v>46229</v>
      </c>
      <c r="D374" s="17" t="str">
        <f t="shared" si="64"/>
        <v>July</v>
      </c>
      <c r="E374" s="5" t="str">
        <f t="shared" ca="1" si="65"/>
        <v>STU-647</v>
      </c>
      <c r="F374" s="5" t="str">
        <f ca="1">IF(COUNTIF($E$2:E374,E374)=1,"New Customer","Returning Customer")</f>
        <v>New Customer</v>
      </c>
      <c r="G374" s="5" t="str">
        <f t="shared" ca="1" si="66"/>
        <v>Female</v>
      </c>
      <c r="H374" s="5" t="s">
        <v>137</v>
      </c>
      <c r="I374" s="5" t="str" cm="1">
        <f t="array" aca="1" ref="I374" ca="1">INDEX(Courses!$B$9:$B$16,RANDBETWEEN(1,8))</f>
        <v>SQL</v>
      </c>
      <c r="J374" s="5" t="str">
        <f ca="1">VLOOKUP(I374,Courses!$B$9:$C$16,2,0)</f>
        <v>Data Analytics</v>
      </c>
      <c r="K374" s="7">
        <f ca="1">VLOOKUP(I374,Courses!$B$9:$D$16,3,0)</f>
        <v>99</v>
      </c>
      <c r="L374" s="5" t="str">
        <f t="shared" ca="1" si="67"/>
        <v>Paid</v>
      </c>
      <c r="M374" s="8" t="str" cm="1">
        <f t="array" aca="1" ref="M374" ca="1">INDEX('Payment Method'!$A$8:$A$12,RANDBETWEEN(1,5))</f>
        <v>Visa Debit</v>
      </c>
      <c r="N374" s="7">
        <f>IFERROR(SUMIF(Holiday!$A$8:$A$11,B374,Holiday!$C$8:$C$11),0)</f>
        <v>0</v>
      </c>
      <c r="O374" s="7">
        <f t="shared" ca="1" si="68"/>
        <v>99</v>
      </c>
      <c r="P374" s="19">
        <f t="shared" ca="1" si="69"/>
        <v>97.02</v>
      </c>
      <c r="Q374" s="7">
        <f t="shared" ca="1" si="70"/>
        <v>0</v>
      </c>
      <c r="R374" s="8">
        <f ca="1">VLOOKUP(M374,'Payment Method'!$A$8:$B$12,2,0)</f>
        <v>0.02</v>
      </c>
      <c r="S374" s="9">
        <f t="shared" ca="1" si="60"/>
        <v>1.980000000000004</v>
      </c>
      <c r="T374" s="8">
        <v>0.01</v>
      </c>
      <c r="U374" s="9">
        <f t="shared" ca="1" si="61"/>
        <v>0.9702000000000055</v>
      </c>
      <c r="V374" s="7">
        <f t="shared" ca="1" si="62"/>
        <v>0</v>
      </c>
      <c r="W374" s="7">
        <f t="shared" ca="1" si="63"/>
        <v>96.049799999999991</v>
      </c>
      <c r="X374" s="5" t="str">
        <f t="shared" ca="1" si="71"/>
        <v>Instagram</v>
      </c>
      <c r="Y374" s="78">
        <f>IF(COUNTIF($C$1:C373,B373)=1,10,"")</f>
        <v>10</v>
      </c>
    </row>
    <row r="375" spans="1:25" x14ac:dyDescent="0.3">
      <c r="A375" s="76">
        <v>374</v>
      </c>
      <c r="B375" s="6">
        <v>46132</v>
      </c>
      <c r="C375" s="6">
        <v>46135</v>
      </c>
      <c r="D375" s="17" t="str">
        <f t="shared" si="64"/>
        <v>April</v>
      </c>
      <c r="E375" s="5" t="str">
        <f t="shared" ca="1" si="65"/>
        <v>STU-120</v>
      </c>
      <c r="F375" s="5" t="str">
        <f ca="1">IF(COUNTIF($E$2:E375,E375)=1,"New Customer","Returning Customer")</f>
        <v>New Customer</v>
      </c>
      <c r="G375" s="5" t="str">
        <f t="shared" ca="1" si="66"/>
        <v>Male</v>
      </c>
      <c r="H375" s="5" t="s">
        <v>140</v>
      </c>
      <c r="I375" s="5" t="str" cm="1">
        <f t="array" aca="1" ref="I375" ca="1">INDEX(Courses!$B$9:$B$16,RANDBETWEEN(1,8))</f>
        <v>Tax Code</v>
      </c>
      <c r="J375" s="5" t="str">
        <f ca="1">VLOOKUP(I375,Courses!$B$9:$C$16,2,0)</f>
        <v>Finance &amp; Taxation</v>
      </c>
      <c r="K375" s="7">
        <f ca="1">VLOOKUP(I375,Courses!$B$9:$D$16,3,0)</f>
        <v>59</v>
      </c>
      <c r="L375" s="5" t="str">
        <f t="shared" ca="1" si="67"/>
        <v>Pending</v>
      </c>
      <c r="M375" s="8" t="str" cm="1">
        <f t="array" aca="1" ref="M375" ca="1">INDEX('Payment Method'!$A$8:$A$12,RANDBETWEEN(1,5))</f>
        <v>Mastercard Credit</v>
      </c>
      <c r="N375" s="7">
        <f>IFERROR(SUMIF(Holiday!$A$8:$A$11,B375,Holiday!$C$8:$C$11),0)</f>
        <v>0</v>
      </c>
      <c r="O375" s="7">
        <f t="shared" ca="1" si="68"/>
        <v>59</v>
      </c>
      <c r="P375" s="19">
        <f t="shared" ca="1" si="69"/>
        <v>56.935000000000002</v>
      </c>
      <c r="Q375" s="7">
        <f t="shared" ca="1" si="70"/>
        <v>56.365650000000002</v>
      </c>
      <c r="R375" s="8">
        <f ca="1">VLOOKUP(M375,'Payment Method'!$A$8:$B$12,2,0)</f>
        <v>3.5000000000000003E-2</v>
      </c>
      <c r="S375" s="9">
        <f t="shared" ca="1" si="60"/>
        <v>2.0649999999999977</v>
      </c>
      <c r="T375" s="8">
        <v>0.01</v>
      </c>
      <c r="U375" s="9">
        <f t="shared" ca="1" si="61"/>
        <v>0.56935000000000002</v>
      </c>
      <c r="V375" s="7">
        <f t="shared" ca="1" si="62"/>
        <v>0</v>
      </c>
      <c r="W375" s="7">
        <f t="shared" ca="1" si="63"/>
        <v>0</v>
      </c>
      <c r="X375" s="5" t="str">
        <f t="shared" ca="1" si="71"/>
        <v>Tiktok</v>
      </c>
      <c r="Y375" s="78" t="str">
        <f>IF(COUNTIF($C$1:C374,B374)=1,10,"")</f>
        <v/>
      </c>
    </row>
    <row r="376" spans="1:25" x14ac:dyDescent="0.3">
      <c r="A376" s="75">
        <v>375</v>
      </c>
      <c r="B376" s="6">
        <v>46168</v>
      </c>
      <c r="C376" s="6">
        <v>46173</v>
      </c>
      <c r="D376" s="17" t="str">
        <f t="shared" si="64"/>
        <v>May</v>
      </c>
      <c r="E376" s="5" t="str">
        <f t="shared" ca="1" si="65"/>
        <v>STU-498</v>
      </c>
      <c r="F376" s="5" t="str">
        <f ca="1">IF(COUNTIF($E$2:E376,E376)=1,"New Customer","Returning Customer")</f>
        <v>New Customer</v>
      </c>
      <c r="G376" s="5" t="str">
        <f t="shared" ca="1" si="66"/>
        <v>Not specified</v>
      </c>
      <c r="H376" s="5" t="s">
        <v>136</v>
      </c>
      <c r="I376" s="5" t="str" cm="1">
        <f t="array" aca="1" ref="I376" ca="1">INDEX(Courses!$B$9:$B$16,RANDBETWEEN(1,8))</f>
        <v>PowerPoint</v>
      </c>
      <c r="J376" s="5" t="str">
        <f ca="1">VLOOKUP(I376,Courses!$B$9:$C$16,2,0)</f>
        <v>Microsoft Office</v>
      </c>
      <c r="K376" s="7">
        <f ca="1">VLOOKUP(I376,Courses!$B$9:$D$16,3,0)</f>
        <v>29</v>
      </c>
      <c r="L376" s="5" t="str">
        <f t="shared" ca="1" si="67"/>
        <v>Paid</v>
      </c>
      <c r="M376" s="8" t="str" cm="1">
        <f t="array" aca="1" ref="M376" ca="1">INDEX('Payment Method'!$A$8:$A$12,RANDBETWEEN(1,5))</f>
        <v>Mastercard Debit</v>
      </c>
      <c r="N376" s="7">
        <f>IFERROR(SUMIF(Holiday!$A$8:$A$11,B376,Holiday!$C$8:$C$11),0)</f>
        <v>0</v>
      </c>
      <c r="O376" s="7">
        <f t="shared" ca="1" si="68"/>
        <v>29</v>
      </c>
      <c r="P376" s="19">
        <f t="shared" ca="1" si="69"/>
        <v>28.42</v>
      </c>
      <c r="Q376" s="7">
        <f t="shared" ca="1" si="70"/>
        <v>0</v>
      </c>
      <c r="R376" s="8">
        <f ca="1">VLOOKUP(M376,'Payment Method'!$A$8:$B$12,2,0)</f>
        <v>0.02</v>
      </c>
      <c r="S376" s="9">
        <f t="shared" ca="1" si="60"/>
        <v>0.57999999999999829</v>
      </c>
      <c r="T376" s="8">
        <v>0.01</v>
      </c>
      <c r="U376" s="9">
        <f t="shared" ca="1" si="61"/>
        <v>0.28419999999999845</v>
      </c>
      <c r="V376" s="7">
        <f t="shared" ca="1" si="62"/>
        <v>0</v>
      </c>
      <c r="W376" s="7">
        <f t="shared" ca="1" si="63"/>
        <v>28.135800000000003</v>
      </c>
      <c r="X376" s="5" t="str">
        <f t="shared" ca="1" si="71"/>
        <v>Facebook</v>
      </c>
      <c r="Y376" s="78">
        <f>IF(COUNTIF($C$1:C375,B375)=1,10,"")</f>
        <v>10</v>
      </c>
    </row>
    <row r="377" spans="1:25" x14ac:dyDescent="0.3">
      <c r="A377" s="76">
        <v>376</v>
      </c>
      <c r="B377" s="6">
        <v>46156</v>
      </c>
      <c r="C377" s="6">
        <v>46159</v>
      </c>
      <c r="D377" s="17" t="str">
        <f t="shared" si="64"/>
        <v>May</v>
      </c>
      <c r="E377" s="5" t="str">
        <f t="shared" ca="1" si="65"/>
        <v>STU-189</v>
      </c>
      <c r="F377" s="5" t="str">
        <f ca="1">IF(COUNTIF($E$2:E377,E377)=1,"New Customer","Returning Customer")</f>
        <v>New Customer</v>
      </c>
      <c r="G377" s="5" t="str">
        <f t="shared" ca="1" si="66"/>
        <v>Female</v>
      </c>
      <c r="H377" s="5" t="s">
        <v>139</v>
      </c>
      <c r="I377" s="5" t="str" cm="1">
        <f t="array" aca="1" ref="I377" ca="1">INDEX(Courses!$B$9:$B$16,RANDBETWEEN(1,8))</f>
        <v>Excel Basics</v>
      </c>
      <c r="J377" s="5" t="str">
        <f ca="1">VLOOKUP(I377,Courses!$B$9:$C$16,2,0)</f>
        <v>Microsoft Office</v>
      </c>
      <c r="K377" s="7">
        <f ca="1">VLOOKUP(I377,Courses!$B$9:$D$16,3,0)</f>
        <v>29</v>
      </c>
      <c r="L377" s="5" t="str">
        <f t="shared" ca="1" si="67"/>
        <v>Paid</v>
      </c>
      <c r="M377" s="8" t="str" cm="1">
        <f t="array" aca="1" ref="M377" ca="1">INDEX('Payment Method'!$A$8:$A$12,RANDBETWEEN(1,5))</f>
        <v>Mastercard Debit</v>
      </c>
      <c r="N377" s="7">
        <f>IFERROR(SUMIF(Holiday!$A$8:$A$11,B377,Holiday!$C$8:$C$11),0)</f>
        <v>0</v>
      </c>
      <c r="O377" s="7">
        <f t="shared" ca="1" si="68"/>
        <v>29</v>
      </c>
      <c r="P377" s="19">
        <f t="shared" ca="1" si="69"/>
        <v>28.42</v>
      </c>
      <c r="Q377" s="7">
        <f t="shared" ca="1" si="70"/>
        <v>0</v>
      </c>
      <c r="R377" s="8">
        <f ca="1">VLOOKUP(M377,'Payment Method'!$A$8:$B$12,2,0)</f>
        <v>0.02</v>
      </c>
      <c r="S377" s="9">
        <f t="shared" ca="1" si="60"/>
        <v>0.57999999999999829</v>
      </c>
      <c r="T377" s="8">
        <v>0.01</v>
      </c>
      <c r="U377" s="9">
        <f t="shared" ca="1" si="61"/>
        <v>0.28419999999999845</v>
      </c>
      <c r="V377" s="7">
        <f t="shared" ca="1" si="62"/>
        <v>0</v>
      </c>
      <c r="W377" s="7">
        <f t="shared" ca="1" si="63"/>
        <v>28.135800000000003</v>
      </c>
      <c r="X377" s="5" t="str">
        <f t="shared" ca="1" si="71"/>
        <v>Tiktok</v>
      </c>
      <c r="Y377" s="78" t="str">
        <f>IF(COUNTIF($C$1:C376,B376)=1,10,"")</f>
        <v/>
      </c>
    </row>
    <row r="378" spans="1:25" x14ac:dyDescent="0.3">
      <c r="A378" s="75">
        <v>377</v>
      </c>
      <c r="B378" s="6">
        <v>46232</v>
      </c>
      <c r="C378" s="6">
        <v>46233</v>
      </c>
      <c r="D378" s="17" t="str">
        <f t="shared" si="64"/>
        <v>July</v>
      </c>
      <c r="E378" s="5" t="str">
        <f t="shared" ca="1" si="65"/>
        <v>STU-536</v>
      </c>
      <c r="F378" s="5" t="str">
        <f ca="1">IF(COUNTIF($E$2:E378,E378)=1,"New Customer","Returning Customer")</f>
        <v>New Customer</v>
      </c>
      <c r="G378" s="5" t="str">
        <f t="shared" ca="1" si="66"/>
        <v>Male</v>
      </c>
      <c r="H378" s="5" t="s">
        <v>141</v>
      </c>
      <c r="I378" s="5" t="str" cm="1">
        <f t="array" aca="1" ref="I378" ca="1">INDEX(Courses!$B$9:$B$16,RANDBETWEEN(1,8))</f>
        <v>Complete Excel Course</v>
      </c>
      <c r="J378" s="5" t="str">
        <f ca="1">VLOOKUP(I378,Courses!$B$9:$C$16,2,0)</f>
        <v>Microsoft Office</v>
      </c>
      <c r="K378" s="7">
        <f ca="1">VLOOKUP(I378,Courses!$B$9:$D$16,3,0)</f>
        <v>59</v>
      </c>
      <c r="L378" s="5" t="str">
        <f t="shared" ca="1" si="67"/>
        <v>Paid</v>
      </c>
      <c r="M378" s="8" t="str" cm="1">
        <f t="array" aca="1" ref="M378" ca="1">INDEX('Payment Method'!$A$8:$A$12,RANDBETWEEN(1,5))</f>
        <v>Mastercard Credit</v>
      </c>
      <c r="N378" s="7">
        <f>IFERROR(SUMIF(Holiday!$A$8:$A$11,B378,Holiday!$C$8:$C$11),0)</f>
        <v>0</v>
      </c>
      <c r="O378" s="7">
        <f t="shared" ca="1" si="68"/>
        <v>59</v>
      </c>
      <c r="P378" s="19">
        <f t="shared" ca="1" si="69"/>
        <v>56.935000000000002</v>
      </c>
      <c r="Q378" s="7">
        <f t="shared" ca="1" si="70"/>
        <v>0</v>
      </c>
      <c r="R378" s="8">
        <f ca="1">VLOOKUP(M378,'Payment Method'!$A$8:$B$12,2,0)</f>
        <v>3.5000000000000003E-2</v>
      </c>
      <c r="S378" s="9">
        <f t="shared" ca="1" si="60"/>
        <v>2.0649999999999977</v>
      </c>
      <c r="T378" s="8">
        <v>0.01</v>
      </c>
      <c r="U378" s="9">
        <f t="shared" ca="1" si="61"/>
        <v>0.56935000000000002</v>
      </c>
      <c r="V378" s="7">
        <f t="shared" ca="1" si="62"/>
        <v>0</v>
      </c>
      <c r="W378" s="7">
        <f t="shared" ca="1" si="63"/>
        <v>56.365650000000002</v>
      </c>
      <c r="X378" s="5" t="str">
        <f t="shared" ca="1" si="71"/>
        <v>Instagram</v>
      </c>
      <c r="Y378" s="78" t="str">
        <f>IF(COUNTIF($C$1:C377,B377)=1,10,"")</f>
        <v/>
      </c>
    </row>
    <row r="379" spans="1:25" x14ac:dyDescent="0.3">
      <c r="A379" s="76">
        <v>378</v>
      </c>
      <c r="B379" s="6">
        <v>46085</v>
      </c>
      <c r="C379" s="6">
        <v>46090</v>
      </c>
      <c r="D379" s="17" t="str">
        <f t="shared" si="64"/>
        <v>March</v>
      </c>
      <c r="E379" s="5" t="str">
        <f t="shared" ca="1" si="65"/>
        <v>STU-104</v>
      </c>
      <c r="F379" s="5" t="str">
        <f ca="1">IF(COUNTIF($E$2:E379,E379)=1,"New Customer","Returning Customer")</f>
        <v>New Customer</v>
      </c>
      <c r="G379" s="5" t="str">
        <f t="shared" ca="1" si="66"/>
        <v>Male</v>
      </c>
      <c r="H379" s="5" t="s">
        <v>139</v>
      </c>
      <c r="I379" s="5" t="str" cm="1">
        <f t="array" aca="1" ref="I379" ca="1">INDEX(Courses!$B$9:$B$16,RANDBETWEEN(1,8))</f>
        <v>Adolescent Psychology</v>
      </c>
      <c r="J379" s="5" t="str">
        <f ca="1">VLOOKUP(I379,Courses!$B$9:$C$16,2,0)</f>
        <v>Psychology</v>
      </c>
      <c r="K379" s="7">
        <f ca="1">VLOOKUP(I379,Courses!$B$9:$D$16,3,0)</f>
        <v>29</v>
      </c>
      <c r="L379" s="5" t="str">
        <f t="shared" ca="1" si="67"/>
        <v>Paid</v>
      </c>
      <c r="M379" s="8" t="str" cm="1">
        <f t="array" aca="1" ref="M379" ca="1">INDEX('Payment Method'!$A$8:$A$12,RANDBETWEEN(1,5))</f>
        <v>Visa Credit</v>
      </c>
      <c r="N379" s="7">
        <f>IFERROR(SUMIF(Holiday!$A$8:$A$11,B379,Holiday!$C$8:$C$11),0)</f>
        <v>0</v>
      </c>
      <c r="O379" s="7">
        <f t="shared" ca="1" si="68"/>
        <v>29</v>
      </c>
      <c r="P379" s="19">
        <f t="shared" ca="1" si="69"/>
        <v>27.984999999999999</v>
      </c>
      <c r="Q379" s="7">
        <f t="shared" ca="1" si="70"/>
        <v>0</v>
      </c>
      <c r="R379" s="8">
        <f ca="1">VLOOKUP(M379,'Payment Method'!$A$8:$B$12,2,0)</f>
        <v>3.5000000000000003E-2</v>
      </c>
      <c r="S379" s="9">
        <f t="shared" ca="1" si="60"/>
        <v>1.0150000000000006</v>
      </c>
      <c r="T379" s="8">
        <v>0.01</v>
      </c>
      <c r="U379" s="9">
        <f t="shared" ca="1" si="61"/>
        <v>0.27984999999999971</v>
      </c>
      <c r="V379" s="7">
        <f t="shared" ca="1" si="62"/>
        <v>0</v>
      </c>
      <c r="W379" s="7">
        <f t="shared" ca="1" si="63"/>
        <v>27.70515</v>
      </c>
      <c r="X379" s="5" t="str">
        <f t="shared" ca="1" si="71"/>
        <v>Tiktok</v>
      </c>
      <c r="Y379" s="78" t="str">
        <f>IF(COUNTIF($C$1:C378,B378)=1,10,"")</f>
        <v/>
      </c>
    </row>
    <row r="380" spans="1:25" x14ac:dyDescent="0.3">
      <c r="A380" s="75">
        <v>379</v>
      </c>
      <c r="B380" s="6">
        <v>46071</v>
      </c>
      <c r="C380" s="6">
        <v>46075</v>
      </c>
      <c r="D380" s="17" t="str">
        <f t="shared" si="64"/>
        <v>February</v>
      </c>
      <c r="E380" s="5" t="str">
        <f t="shared" ca="1" si="65"/>
        <v>STU-330</v>
      </c>
      <c r="F380" s="5" t="str">
        <f ca="1">IF(COUNTIF($E$2:E380,E380)=1,"New Customer","Returning Customer")</f>
        <v>New Customer</v>
      </c>
      <c r="G380" s="5" t="str">
        <f t="shared" ca="1" si="66"/>
        <v>Not specified</v>
      </c>
      <c r="H380" s="5" t="s">
        <v>140</v>
      </c>
      <c r="I380" s="5" t="str" cm="1">
        <f t="array" aca="1" ref="I380" ca="1">INDEX(Courses!$B$9:$B$16,RANDBETWEEN(1,8))</f>
        <v>Microsoft Word</v>
      </c>
      <c r="J380" s="5" t="str">
        <f ca="1">VLOOKUP(I380,Courses!$B$9:$C$16,2,0)</f>
        <v>Microsoft Office</v>
      </c>
      <c r="K380" s="7">
        <f ca="1">VLOOKUP(I380,Courses!$B$9:$D$16,3,0)</f>
        <v>29</v>
      </c>
      <c r="L380" s="5" t="str">
        <f t="shared" ca="1" si="67"/>
        <v>Paid</v>
      </c>
      <c r="M380" s="8" t="str" cm="1">
        <f t="array" aca="1" ref="M380" ca="1">INDEX('Payment Method'!$A$8:$A$12,RANDBETWEEN(1,5))</f>
        <v>Visa Credit</v>
      </c>
      <c r="N380" s="7">
        <f>IFERROR(SUMIF(Holiday!$A$8:$A$11,B380,Holiday!$C$8:$C$11),0)</f>
        <v>0</v>
      </c>
      <c r="O380" s="7">
        <f t="shared" ca="1" si="68"/>
        <v>29</v>
      </c>
      <c r="P380" s="19">
        <f t="shared" ca="1" si="69"/>
        <v>27.984999999999999</v>
      </c>
      <c r="Q380" s="7">
        <f t="shared" ca="1" si="70"/>
        <v>0</v>
      </c>
      <c r="R380" s="8">
        <f ca="1">VLOOKUP(M380,'Payment Method'!$A$8:$B$12,2,0)</f>
        <v>3.5000000000000003E-2</v>
      </c>
      <c r="S380" s="9">
        <f t="shared" ca="1" si="60"/>
        <v>1.0150000000000006</v>
      </c>
      <c r="T380" s="8">
        <v>0.01</v>
      </c>
      <c r="U380" s="9">
        <f t="shared" ca="1" si="61"/>
        <v>0.27984999999999971</v>
      </c>
      <c r="V380" s="7">
        <f t="shared" ca="1" si="62"/>
        <v>0</v>
      </c>
      <c r="W380" s="7">
        <f t="shared" ca="1" si="63"/>
        <v>27.70515</v>
      </c>
      <c r="X380" s="5" t="str">
        <f t="shared" ca="1" si="71"/>
        <v>Facebook</v>
      </c>
      <c r="Y380" s="78" t="str">
        <f>IF(COUNTIF($C$1:C379,B379)=1,10,"")</f>
        <v/>
      </c>
    </row>
    <row r="381" spans="1:25" x14ac:dyDescent="0.3">
      <c r="A381" s="76">
        <v>380</v>
      </c>
      <c r="B381" s="6">
        <v>46079</v>
      </c>
      <c r="C381" s="6">
        <v>46079</v>
      </c>
      <c r="D381" s="17" t="str">
        <f t="shared" si="64"/>
        <v>February</v>
      </c>
      <c r="E381" s="5" t="str">
        <f t="shared" ca="1" si="65"/>
        <v>STU-171</v>
      </c>
      <c r="F381" s="5" t="str">
        <f ca="1">IF(COUNTIF($E$2:E381,E381)=1,"New Customer","Returning Customer")</f>
        <v>New Customer</v>
      </c>
      <c r="G381" s="5" t="str">
        <f t="shared" ca="1" si="66"/>
        <v>Male</v>
      </c>
      <c r="H381" s="5" t="s">
        <v>136</v>
      </c>
      <c r="I381" s="5" t="str" cm="1">
        <f t="array" aca="1" ref="I381" ca="1">INDEX(Courses!$B$9:$B$16,RANDBETWEEN(1,8))</f>
        <v>Tax Code</v>
      </c>
      <c r="J381" s="5" t="str">
        <f ca="1">VLOOKUP(I381,Courses!$B$9:$C$16,2,0)</f>
        <v>Finance &amp; Taxation</v>
      </c>
      <c r="K381" s="7">
        <f ca="1">VLOOKUP(I381,Courses!$B$9:$D$16,3,0)</f>
        <v>59</v>
      </c>
      <c r="L381" s="5" t="str">
        <f t="shared" ca="1" si="67"/>
        <v>Paid</v>
      </c>
      <c r="M381" s="8" t="str" cm="1">
        <f t="array" aca="1" ref="M381" ca="1">INDEX('Payment Method'!$A$8:$A$12,RANDBETWEEN(1,5))</f>
        <v>Mastercard Credit</v>
      </c>
      <c r="N381" s="7">
        <f>IFERROR(SUMIF(Holiday!$A$8:$A$11,B381,Holiday!$C$8:$C$11),0)</f>
        <v>0</v>
      </c>
      <c r="O381" s="7">
        <f t="shared" ca="1" si="68"/>
        <v>59</v>
      </c>
      <c r="P381" s="19">
        <f t="shared" ca="1" si="69"/>
        <v>56.935000000000002</v>
      </c>
      <c r="Q381" s="7">
        <f t="shared" ca="1" si="70"/>
        <v>0</v>
      </c>
      <c r="R381" s="8">
        <f ca="1">VLOOKUP(M381,'Payment Method'!$A$8:$B$12,2,0)</f>
        <v>3.5000000000000003E-2</v>
      </c>
      <c r="S381" s="9">
        <f t="shared" ca="1" si="60"/>
        <v>2.0649999999999977</v>
      </c>
      <c r="T381" s="8">
        <v>0.01</v>
      </c>
      <c r="U381" s="9">
        <f t="shared" ca="1" si="61"/>
        <v>0.56935000000000002</v>
      </c>
      <c r="V381" s="7">
        <f t="shared" ca="1" si="62"/>
        <v>0</v>
      </c>
      <c r="W381" s="7">
        <f t="shared" ca="1" si="63"/>
        <v>56.365650000000002</v>
      </c>
      <c r="X381" s="5" t="str">
        <f t="shared" ca="1" si="71"/>
        <v>Instagram</v>
      </c>
      <c r="Y381" s="78">
        <f>IF(COUNTIF($C$1:C380,B380)=1,10,"")</f>
        <v>10</v>
      </c>
    </row>
    <row r="382" spans="1:25" x14ac:dyDescent="0.3">
      <c r="A382" s="75">
        <v>381</v>
      </c>
      <c r="B382" s="6">
        <v>46183</v>
      </c>
      <c r="C382" s="6">
        <v>46184</v>
      </c>
      <c r="D382" s="17" t="str">
        <f t="shared" si="64"/>
        <v>June</v>
      </c>
      <c r="E382" s="5" t="str">
        <f t="shared" ca="1" si="65"/>
        <v>STU-27</v>
      </c>
      <c r="F382" s="5" t="str">
        <f ca="1">IF(COUNTIF($E$2:E382,E382)=1,"New Customer","Returning Customer")</f>
        <v>New Customer</v>
      </c>
      <c r="G382" s="5" t="str">
        <f t="shared" ca="1" si="66"/>
        <v>Male</v>
      </c>
      <c r="H382" s="5" t="s">
        <v>137</v>
      </c>
      <c r="I382" s="5" t="str" cm="1">
        <f t="array" aca="1" ref="I382" ca="1">INDEX(Courses!$B$9:$B$16,RANDBETWEEN(1,8))</f>
        <v>Microsoft Word</v>
      </c>
      <c r="J382" s="5" t="str">
        <f ca="1">VLOOKUP(I382,Courses!$B$9:$C$16,2,0)</f>
        <v>Microsoft Office</v>
      </c>
      <c r="K382" s="7">
        <f ca="1">VLOOKUP(I382,Courses!$B$9:$D$16,3,0)</f>
        <v>29</v>
      </c>
      <c r="L382" s="5" t="str">
        <f t="shared" ca="1" si="67"/>
        <v>Pending</v>
      </c>
      <c r="M382" s="8" t="str" cm="1">
        <f t="array" aca="1" ref="M382" ca="1">INDEX('Payment Method'!$A$8:$A$12,RANDBETWEEN(1,5))</f>
        <v>Mastercard Credit</v>
      </c>
      <c r="N382" s="7">
        <f>IFERROR(SUMIF(Holiday!$A$8:$A$11,B382,Holiday!$C$8:$C$11),0)</f>
        <v>0</v>
      </c>
      <c r="O382" s="7">
        <f t="shared" ca="1" si="68"/>
        <v>29</v>
      </c>
      <c r="P382" s="19">
        <f t="shared" ca="1" si="69"/>
        <v>27.984999999999999</v>
      </c>
      <c r="Q382" s="7">
        <f t="shared" ca="1" si="70"/>
        <v>27.70515</v>
      </c>
      <c r="R382" s="8">
        <f ca="1">VLOOKUP(M382,'Payment Method'!$A$8:$B$12,2,0)</f>
        <v>3.5000000000000003E-2</v>
      </c>
      <c r="S382" s="9">
        <f t="shared" ca="1" si="60"/>
        <v>1.0150000000000006</v>
      </c>
      <c r="T382" s="8">
        <v>0.01</v>
      </c>
      <c r="U382" s="9">
        <f t="shared" ca="1" si="61"/>
        <v>0.27984999999999971</v>
      </c>
      <c r="V382" s="7">
        <f t="shared" ca="1" si="62"/>
        <v>0</v>
      </c>
      <c r="W382" s="7">
        <f t="shared" ca="1" si="63"/>
        <v>0</v>
      </c>
      <c r="X382" s="5" t="str">
        <f t="shared" ca="1" si="71"/>
        <v>Facebook</v>
      </c>
      <c r="Y382" s="78" t="str">
        <f>IF(COUNTIF($C$1:C381,B381)=1,10,"")</f>
        <v/>
      </c>
    </row>
    <row r="383" spans="1:25" x14ac:dyDescent="0.3">
      <c r="A383" s="76">
        <v>382</v>
      </c>
      <c r="B383" s="6">
        <v>46158</v>
      </c>
      <c r="C383" s="6">
        <v>46161</v>
      </c>
      <c r="D383" s="17" t="str">
        <f t="shared" si="64"/>
        <v>May</v>
      </c>
      <c r="E383" s="5" t="str">
        <f t="shared" ca="1" si="65"/>
        <v>STU-186</v>
      </c>
      <c r="F383" s="5" t="str">
        <f ca="1">IF(COUNTIF($E$2:E383,E383)=1,"New Customer","Returning Customer")</f>
        <v>New Customer</v>
      </c>
      <c r="G383" s="5" t="str">
        <f t="shared" ca="1" si="66"/>
        <v>Female</v>
      </c>
      <c r="H383" s="5" t="s">
        <v>137</v>
      </c>
      <c r="I383" s="5" t="str" cm="1">
        <f t="array" aca="1" ref="I383" ca="1">INDEX(Courses!$B$9:$B$16,RANDBETWEEN(1,8))</f>
        <v>Complete Excel Course</v>
      </c>
      <c r="J383" s="5" t="str">
        <f ca="1">VLOOKUP(I383,Courses!$B$9:$C$16,2,0)</f>
        <v>Microsoft Office</v>
      </c>
      <c r="K383" s="7">
        <f ca="1">VLOOKUP(I383,Courses!$B$9:$D$16,3,0)</f>
        <v>59</v>
      </c>
      <c r="L383" s="5" t="str">
        <f t="shared" ca="1" si="67"/>
        <v>Paid</v>
      </c>
      <c r="M383" s="8" t="str" cm="1">
        <f t="array" aca="1" ref="M383" ca="1">INDEX('Payment Method'!$A$8:$A$12,RANDBETWEEN(1,5))</f>
        <v>Visa Credit</v>
      </c>
      <c r="N383" s="7">
        <f>IFERROR(SUMIF(Holiday!$A$8:$A$11,B383,Holiday!$C$8:$C$11),0)</f>
        <v>0</v>
      </c>
      <c r="O383" s="7">
        <f t="shared" ca="1" si="68"/>
        <v>59</v>
      </c>
      <c r="P383" s="19">
        <f t="shared" ca="1" si="69"/>
        <v>56.935000000000002</v>
      </c>
      <c r="Q383" s="7">
        <f t="shared" ca="1" si="70"/>
        <v>0</v>
      </c>
      <c r="R383" s="8">
        <f ca="1">VLOOKUP(M383,'Payment Method'!$A$8:$B$12,2,0)</f>
        <v>3.5000000000000003E-2</v>
      </c>
      <c r="S383" s="9">
        <f t="shared" ca="1" si="60"/>
        <v>2.0649999999999977</v>
      </c>
      <c r="T383" s="8">
        <v>0.01</v>
      </c>
      <c r="U383" s="9">
        <f t="shared" ca="1" si="61"/>
        <v>0.56935000000000002</v>
      </c>
      <c r="V383" s="7">
        <f t="shared" ca="1" si="62"/>
        <v>0</v>
      </c>
      <c r="W383" s="7">
        <f t="shared" ca="1" si="63"/>
        <v>56.365650000000002</v>
      </c>
      <c r="X383" s="5" t="str">
        <f t="shared" ca="1" si="71"/>
        <v>Facebook</v>
      </c>
      <c r="Y383" s="78" t="str">
        <f>IF(COUNTIF($C$1:C382,B382)=1,10,"")</f>
        <v/>
      </c>
    </row>
    <row r="384" spans="1:25" x14ac:dyDescent="0.3">
      <c r="A384" s="75">
        <v>383</v>
      </c>
      <c r="B384" s="6">
        <v>46137</v>
      </c>
      <c r="C384" s="6">
        <v>46139</v>
      </c>
      <c r="D384" s="17" t="str">
        <f t="shared" si="64"/>
        <v>April</v>
      </c>
      <c r="E384" s="5" t="str">
        <f t="shared" ca="1" si="65"/>
        <v>STU-568</v>
      </c>
      <c r="F384" s="5" t="str">
        <f ca="1">IF(COUNTIF($E$2:E384,E384)=1,"New Customer","Returning Customer")</f>
        <v>New Customer</v>
      </c>
      <c r="G384" s="5" t="str">
        <f t="shared" ca="1" si="66"/>
        <v>Female</v>
      </c>
      <c r="H384" s="5" t="s">
        <v>139</v>
      </c>
      <c r="I384" s="5" t="str" cm="1">
        <f t="array" aca="1" ref="I384" ca="1">INDEX(Courses!$B$9:$B$16,RANDBETWEEN(1,8))</f>
        <v>Excel Basics</v>
      </c>
      <c r="J384" s="5" t="str">
        <f ca="1">VLOOKUP(I384,Courses!$B$9:$C$16,2,0)</f>
        <v>Microsoft Office</v>
      </c>
      <c r="K384" s="7">
        <f ca="1">VLOOKUP(I384,Courses!$B$9:$D$16,3,0)</f>
        <v>29</v>
      </c>
      <c r="L384" s="5" t="str">
        <f t="shared" ca="1" si="67"/>
        <v>Pending</v>
      </c>
      <c r="M384" s="8" t="str" cm="1">
        <f t="array" aca="1" ref="M384" ca="1">INDEX('Payment Method'!$A$8:$A$12,RANDBETWEEN(1,5))</f>
        <v>Mastercard Debit</v>
      </c>
      <c r="N384" s="7">
        <f>IFERROR(SUMIF(Holiday!$A$8:$A$11,B384,Holiday!$C$8:$C$11),0)</f>
        <v>0</v>
      </c>
      <c r="O384" s="7">
        <f t="shared" ca="1" si="68"/>
        <v>29</v>
      </c>
      <c r="P384" s="19">
        <f t="shared" ca="1" si="69"/>
        <v>28.42</v>
      </c>
      <c r="Q384" s="7">
        <f t="shared" ca="1" si="70"/>
        <v>28.135800000000003</v>
      </c>
      <c r="R384" s="8">
        <f ca="1">VLOOKUP(M384,'Payment Method'!$A$8:$B$12,2,0)</f>
        <v>0.02</v>
      </c>
      <c r="S384" s="9">
        <f t="shared" ca="1" si="60"/>
        <v>0.57999999999999829</v>
      </c>
      <c r="T384" s="8">
        <v>0.01</v>
      </c>
      <c r="U384" s="9">
        <f t="shared" ca="1" si="61"/>
        <v>0.28419999999999845</v>
      </c>
      <c r="V384" s="7">
        <f t="shared" ca="1" si="62"/>
        <v>0</v>
      </c>
      <c r="W384" s="7">
        <f t="shared" ca="1" si="63"/>
        <v>0</v>
      </c>
      <c r="X384" s="5" t="str">
        <f t="shared" ca="1" si="71"/>
        <v>Tiktok</v>
      </c>
      <c r="Y384" s="78" t="str">
        <f>IF(COUNTIF($C$1:C383,B383)=1,10,"")</f>
        <v/>
      </c>
    </row>
    <row r="385" spans="1:25" x14ac:dyDescent="0.3">
      <c r="A385" s="76">
        <v>384</v>
      </c>
      <c r="B385" s="6">
        <v>46145</v>
      </c>
      <c r="C385" s="6">
        <v>46145</v>
      </c>
      <c r="D385" s="17" t="str">
        <f t="shared" si="64"/>
        <v>May</v>
      </c>
      <c r="E385" s="5" t="str">
        <f t="shared" ca="1" si="65"/>
        <v>STU-755</v>
      </c>
      <c r="F385" s="5" t="str">
        <f ca="1">IF(COUNTIF($E$2:E385,E385)=1,"New Customer","Returning Customer")</f>
        <v>Returning Customer</v>
      </c>
      <c r="G385" s="5" t="str">
        <f t="shared" ca="1" si="66"/>
        <v>Female</v>
      </c>
      <c r="H385" s="5" t="s">
        <v>138</v>
      </c>
      <c r="I385" s="5" t="str" cm="1">
        <f t="array" aca="1" ref="I385" ca="1">INDEX(Courses!$B$9:$B$16,RANDBETWEEN(1,8))</f>
        <v>Complete Excel Course</v>
      </c>
      <c r="J385" s="5" t="str">
        <f ca="1">VLOOKUP(I385,Courses!$B$9:$C$16,2,0)</f>
        <v>Microsoft Office</v>
      </c>
      <c r="K385" s="7">
        <f ca="1">VLOOKUP(I385,Courses!$B$9:$D$16,3,0)</f>
        <v>59</v>
      </c>
      <c r="L385" s="5" t="str">
        <f t="shared" ca="1" si="67"/>
        <v>Paid</v>
      </c>
      <c r="M385" s="8" t="str" cm="1">
        <f t="array" aca="1" ref="M385" ca="1">INDEX('Payment Method'!$A$8:$A$12,RANDBETWEEN(1,5))</f>
        <v>Mastercard Credit</v>
      </c>
      <c r="N385" s="7">
        <f>IFERROR(SUMIF(Holiday!$A$8:$A$11,B385,Holiday!$C$8:$C$11),0)</f>
        <v>0</v>
      </c>
      <c r="O385" s="7">
        <f t="shared" ca="1" si="68"/>
        <v>59</v>
      </c>
      <c r="P385" s="19">
        <f t="shared" ca="1" si="69"/>
        <v>56.935000000000002</v>
      </c>
      <c r="Q385" s="7">
        <f t="shared" ca="1" si="70"/>
        <v>0</v>
      </c>
      <c r="R385" s="8">
        <f ca="1">VLOOKUP(M385,'Payment Method'!$A$8:$B$12,2,0)</f>
        <v>3.5000000000000003E-2</v>
      </c>
      <c r="S385" s="9">
        <f t="shared" ca="1" si="60"/>
        <v>2.0649999999999977</v>
      </c>
      <c r="T385" s="8">
        <v>0.01</v>
      </c>
      <c r="U385" s="9">
        <f t="shared" ca="1" si="61"/>
        <v>0.56935000000000002</v>
      </c>
      <c r="V385" s="7">
        <f t="shared" ca="1" si="62"/>
        <v>0</v>
      </c>
      <c r="W385" s="7">
        <f t="shared" ca="1" si="63"/>
        <v>56.365650000000002</v>
      </c>
      <c r="X385" s="5" t="str">
        <f t="shared" ca="1" si="71"/>
        <v>Tiktok</v>
      </c>
      <c r="Y385" s="78">
        <f>IF(COUNTIF($C$1:C384,B384)=1,10,"")</f>
        <v>10</v>
      </c>
    </row>
    <row r="386" spans="1:25" x14ac:dyDescent="0.3">
      <c r="A386" s="75">
        <v>385</v>
      </c>
      <c r="B386" s="6">
        <v>46025</v>
      </c>
      <c r="C386" s="6">
        <v>46027</v>
      </c>
      <c r="D386" s="17" t="str">
        <f t="shared" si="64"/>
        <v>January</v>
      </c>
      <c r="E386" s="5" t="str">
        <f t="shared" ca="1" si="65"/>
        <v>STU-906</v>
      </c>
      <c r="F386" s="5" t="str">
        <f ca="1">IF(COUNTIF($E$2:E386,E386)=1,"New Customer","Returning Customer")</f>
        <v>New Customer</v>
      </c>
      <c r="G386" s="5" t="str">
        <f t="shared" ca="1" si="66"/>
        <v>Female</v>
      </c>
      <c r="H386" s="5" t="s">
        <v>141</v>
      </c>
      <c r="I386" s="5" t="str" cm="1">
        <f t="array" aca="1" ref="I386" ca="1">INDEX(Courses!$B$9:$B$16,RANDBETWEEN(1,8))</f>
        <v>Power BI</v>
      </c>
      <c r="J386" s="5" t="str">
        <f ca="1">VLOOKUP(I386,Courses!$B$9:$C$16,2,0)</f>
        <v>Data Analytics</v>
      </c>
      <c r="K386" s="7">
        <f ca="1">VLOOKUP(I386,Courses!$B$9:$D$16,3,0)</f>
        <v>59</v>
      </c>
      <c r="L386" s="5" t="str">
        <f t="shared" ca="1" si="67"/>
        <v>Paid</v>
      </c>
      <c r="M386" s="8" t="str" cm="1">
        <f t="array" aca="1" ref="M386" ca="1">INDEX('Payment Method'!$A$8:$A$12,RANDBETWEEN(1,5))</f>
        <v>Mastercard Debit</v>
      </c>
      <c r="N386" s="7">
        <f>IFERROR(SUMIF(Holiday!$A$8:$A$11,B386,Holiday!$C$8:$C$11),0)</f>
        <v>0</v>
      </c>
      <c r="O386" s="7">
        <f t="shared" ca="1" si="68"/>
        <v>59</v>
      </c>
      <c r="P386" s="19">
        <f t="shared" ca="1" si="69"/>
        <v>57.82</v>
      </c>
      <c r="Q386" s="7">
        <f t="shared" ca="1" si="70"/>
        <v>0</v>
      </c>
      <c r="R386" s="8">
        <f ca="1">VLOOKUP(M386,'Payment Method'!$A$8:$B$12,2,0)</f>
        <v>0.02</v>
      </c>
      <c r="S386" s="9">
        <f t="shared" ref="S386:S449" ca="1" si="72">O386-(O386-O386*R386)</f>
        <v>1.1799999999999997</v>
      </c>
      <c r="T386" s="8">
        <v>0.01</v>
      </c>
      <c r="U386" s="9">
        <f t="shared" ref="U386:U449" ca="1" si="73">O386-S386-((O386-S386)-(O386-S386)*T386)</f>
        <v>0.57820000000000249</v>
      </c>
      <c r="V386" s="7">
        <f t="shared" ref="V386:V449" ca="1" si="74">IF(L386="refunded",(K386-K386*N386)-(K386-K386*N386)*R386-((K386-K386*N386)-(K386-K386*N386)*R386)*T386,0)</f>
        <v>0</v>
      </c>
      <c r="W386" s="7">
        <f t="shared" ref="W386:W449" ca="1" si="75">IF(L386="paid",(K386-K386*N386)-(K386-K386*N386)*R386-((K386-K386*N386)-(K386-K386*N386)*R386)*T386,0)</f>
        <v>57.241799999999998</v>
      </c>
      <c r="X386" s="5" t="str">
        <f t="shared" ca="1" si="71"/>
        <v>Tiktok</v>
      </c>
      <c r="Y386" s="78" t="str">
        <f>IF(COUNTIF($C$1:C385,B385)=1,10,"")</f>
        <v/>
      </c>
    </row>
    <row r="387" spans="1:25" x14ac:dyDescent="0.3">
      <c r="A387" s="76">
        <v>386</v>
      </c>
      <c r="B387" s="6">
        <v>46092</v>
      </c>
      <c r="C387" s="6">
        <v>46093</v>
      </c>
      <c r="D387" s="17" t="str">
        <f t="shared" ref="D387:D450" si="76">TEXT(C387,"mmmm")</f>
        <v>March</v>
      </c>
      <c r="E387" s="5" t="str">
        <f t="shared" ref="E387:E450" ca="1" si="77">"STU-"&amp;RANDBETWEEN(1,1000)</f>
        <v>STU-305</v>
      </c>
      <c r="F387" s="5" t="str">
        <f ca="1">IF(COUNTIF($E$2:E387,E387)=1,"New Customer","Returning Customer")</f>
        <v>New Customer</v>
      </c>
      <c r="G387" s="5" t="str">
        <f t="shared" ref="G387:G450" ca="1" si="78">CHOOSE(RANDBETWEEN(1,3),"Male","Female","Not specified")</f>
        <v>Female</v>
      </c>
      <c r="H387" s="5" t="s">
        <v>140</v>
      </c>
      <c r="I387" s="5" t="str" cm="1">
        <f t="array" aca="1" ref="I387" ca="1">INDEX(Courses!$B$9:$B$16,RANDBETWEEN(1,8))</f>
        <v>Adolescent Psychology</v>
      </c>
      <c r="J387" s="5" t="str">
        <f ca="1">VLOOKUP(I387,Courses!$B$9:$C$16,2,0)</f>
        <v>Psychology</v>
      </c>
      <c r="K387" s="7">
        <f ca="1">VLOOKUP(I387,Courses!$B$9:$D$16,3,0)</f>
        <v>29</v>
      </c>
      <c r="L387" s="5" t="str">
        <f t="shared" ref="L387:L450" ca="1" si="79">IF(RAND()&lt;0.6,"Paid",IF(RAND()&lt;0.75,"Pending","Refunded"))</f>
        <v>Paid</v>
      </c>
      <c r="M387" s="8" t="str" cm="1">
        <f t="array" aca="1" ref="M387" ca="1">INDEX('Payment Method'!$A$8:$A$12,RANDBETWEEN(1,5))</f>
        <v>Mastercard Credit</v>
      </c>
      <c r="N387" s="7">
        <f>IFERROR(SUMIF(Holiday!$A$8:$A$11,B387,Holiday!$C$8:$C$11),0)</f>
        <v>0</v>
      </c>
      <c r="O387" s="7">
        <f t="shared" ref="O387:O450" ca="1" si="80">K387-K387*N387</f>
        <v>29</v>
      </c>
      <c r="P387" s="19">
        <f t="shared" ref="P387:P450" ca="1" si="81">O387-S387</f>
        <v>27.984999999999999</v>
      </c>
      <c r="Q387" s="7">
        <f t="shared" ref="Q387:Q450" ca="1" si="82">IF(L387="pending",(K387-K387*N387)-(K387-K387*N387)*R387-((K387-K387*N387)-(K387-K387*N387)*R387)*T387,0)</f>
        <v>0</v>
      </c>
      <c r="R387" s="8">
        <f ca="1">VLOOKUP(M387,'Payment Method'!$A$8:$B$12,2,0)</f>
        <v>3.5000000000000003E-2</v>
      </c>
      <c r="S387" s="9">
        <f t="shared" ca="1" si="72"/>
        <v>1.0150000000000006</v>
      </c>
      <c r="T387" s="8">
        <v>0.01</v>
      </c>
      <c r="U387" s="9">
        <f t="shared" ca="1" si="73"/>
        <v>0.27984999999999971</v>
      </c>
      <c r="V387" s="7">
        <f t="shared" ca="1" si="74"/>
        <v>0</v>
      </c>
      <c r="W387" s="7">
        <f t="shared" ca="1" si="75"/>
        <v>27.70515</v>
      </c>
      <c r="X387" s="5" t="str">
        <f t="shared" ref="X387:X450" ca="1" si="83">CHOOSE(RANDBETWEEN(1,3),"Facebook","Instagram","Tiktok")</f>
        <v>Tiktok</v>
      </c>
      <c r="Y387" s="78" t="str">
        <f>IF(COUNTIF($C$1:C386,B386)=1,10,"")</f>
        <v/>
      </c>
    </row>
    <row r="388" spans="1:25" x14ac:dyDescent="0.3">
      <c r="A388" s="75">
        <v>387</v>
      </c>
      <c r="B388" s="6">
        <v>46230</v>
      </c>
      <c r="C388" s="6">
        <v>46231</v>
      </c>
      <c r="D388" s="17" t="str">
        <f t="shared" si="76"/>
        <v>July</v>
      </c>
      <c r="E388" s="5" t="str">
        <f t="shared" ca="1" si="77"/>
        <v>STU-221</v>
      </c>
      <c r="F388" s="5" t="str">
        <f ca="1">IF(COUNTIF($E$2:E388,E388)=1,"New Customer","Returning Customer")</f>
        <v>New Customer</v>
      </c>
      <c r="G388" s="5" t="str">
        <f t="shared" ca="1" si="78"/>
        <v>Not specified</v>
      </c>
      <c r="H388" s="5" t="s">
        <v>141</v>
      </c>
      <c r="I388" s="5" t="str" cm="1">
        <f t="array" aca="1" ref="I388" ca="1">INDEX(Courses!$B$9:$B$16,RANDBETWEEN(1,8))</f>
        <v>Power BI</v>
      </c>
      <c r="J388" s="5" t="str">
        <f ca="1">VLOOKUP(I388,Courses!$B$9:$C$16,2,0)</f>
        <v>Data Analytics</v>
      </c>
      <c r="K388" s="7">
        <f ca="1">VLOOKUP(I388,Courses!$B$9:$D$16,3,0)</f>
        <v>59</v>
      </c>
      <c r="L388" s="5" t="str">
        <f t="shared" ca="1" si="79"/>
        <v>Refunded</v>
      </c>
      <c r="M388" s="8" t="str" cm="1">
        <f t="array" aca="1" ref="M388" ca="1">INDEX('Payment Method'!$A$8:$A$12,RANDBETWEEN(1,5))</f>
        <v>Bank Transfer</v>
      </c>
      <c r="N388" s="7">
        <f>IFERROR(SUMIF(Holiday!$A$8:$A$11,B388,Holiday!$C$8:$C$11),0)</f>
        <v>0</v>
      </c>
      <c r="O388" s="7">
        <f t="shared" ca="1" si="80"/>
        <v>59</v>
      </c>
      <c r="P388" s="19">
        <f t="shared" ca="1" si="81"/>
        <v>59</v>
      </c>
      <c r="Q388" s="7">
        <f t="shared" ca="1" si="82"/>
        <v>0</v>
      </c>
      <c r="R388" s="8">
        <f ca="1">VLOOKUP(M388,'Payment Method'!$A$8:$B$12,2,0)</f>
        <v>0</v>
      </c>
      <c r="S388" s="9">
        <f t="shared" ca="1" si="72"/>
        <v>0</v>
      </c>
      <c r="T388" s="8">
        <v>0.01</v>
      </c>
      <c r="U388" s="9">
        <f t="shared" ca="1" si="73"/>
        <v>0.59000000000000341</v>
      </c>
      <c r="V388" s="7">
        <f t="shared" ca="1" si="74"/>
        <v>58.41</v>
      </c>
      <c r="W388" s="7">
        <f t="shared" ca="1" si="75"/>
        <v>0</v>
      </c>
      <c r="X388" s="5" t="str">
        <f t="shared" ca="1" si="83"/>
        <v>Tiktok</v>
      </c>
      <c r="Y388" s="78" t="str">
        <f>IF(COUNTIF($C$1:C387,B387)=1,10,"")</f>
        <v/>
      </c>
    </row>
    <row r="389" spans="1:25" x14ac:dyDescent="0.3">
      <c r="A389" s="76">
        <v>388</v>
      </c>
      <c r="B389" s="6">
        <v>46049</v>
      </c>
      <c r="C389" s="6">
        <v>46054</v>
      </c>
      <c r="D389" s="17" t="str">
        <f t="shared" si="76"/>
        <v>February</v>
      </c>
      <c r="E389" s="5" t="str">
        <f t="shared" ca="1" si="77"/>
        <v>STU-908</v>
      </c>
      <c r="F389" s="5" t="str">
        <f ca="1">IF(COUNTIF($E$2:E389,E389)=1,"New Customer","Returning Customer")</f>
        <v>New Customer</v>
      </c>
      <c r="G389" s="5" t="str">
        <f t="shared" ca="1" si="78"/>
        <v>Female</v>
      </c>
      <c r="H389" s="5" t="s">
        <v>142</v>
      </c>
      <c r="I389" s="5" t="str" cm="1">
        <f t="array" aca="1" ref="I389" ca="1">INDEX(Courses!$B$9:$B$16,RANDBETWEEN(1,8))</f>
        <v>PowerPoint</v>
      </c>
      <c r="J389" s="5" t="str">
        <f ca="1">VLOOKUP(I389,Courses!$B$9:$C$16,2,0)</f>
        <v>Microsoft Office</v>
      </c>
      <c r="K389" s="7">
        <f ca="1">VLOOKUP(I389,Courses!$B$9:$D$16,3,0)</f>
        <v>29</v>
      </c>
      <c r="L389" s="5" t="str">
        <f t="shared" ca="1" si="79"/>
        <v>Paid</v>
      </c>
      <c r="M389" s="8" t="str" cm="1">
        <f t="array" aca="1" ref="M389" ca="1">INDEX('Payment Method'!$A$8:$A$12,RANDBETWEEN(1,5))</f>
        <v>Visa Credit</v>
      </c>
      <c r="N389" s="7">
        <f>IFERROR(SUMIF(Holiday!$A$8:$A$11,B389,Holiday!$C$8:$C$11),0)</f>
        <v>0</v>
      </c>
      <c r="O389" s="7">
        <f t="shared" ca="1" si="80"/>
        <v>29</v>
      </c>
      <c r="P389" s="19">
        <f t="shared" ca="1" si="81"/>
        <v>27.984999999999999</v>
      </c>
      <c r="Q389" s="7">
        <f t="shared" ca="1" si="82"/>
        <v>0</v>
      </c>
      <c r="R389" s="8">
        <f ca="1">VLOOKUP(M389,'Payment Method'!$A$8:$B$12,2,0)</f>
        <v>3.5000000000000003E-2</v>
      </c>
      <c r="S389" s="9">
        <f t="shared" ca="1" si="72"/>
        <v>1.0150000000000006</v>
      </c>
      <c r="T389" s="8">
        <v>0.01</v>
      </c>
      <c r="U389" s="9">
        <f t="shared" ca="1" si="73"/>
        <v>0.27984999999999971</v>
      </c>
      <c r="V389" s="7">
        <f t="shared" ca="1" si="74"/>
        <v>0</v>
      </c>
      <c r="W389" s="7">
        <f t="shared" ca="1" si="75"/>
        <v>27.70515</v>
      </c>
      <c r="X389" s="5" t="str">
        <f t="shared" ca="1" si="83"/>
        <v>Facebook</v>
      </c>
      <c r="Y389" s="78" t="str">
        <f>IF(COUNTIF($C$1:C388,B388)=1,10,"")</f>
        <v/>
      </c>
    </row>
    <row r="390" spans="1:25" x14ac:dyDescent="0.3">
      <c r="A390" s="75">
        <v>389</v>
      </c>
      <c r="B390" s="6">
        <v>46148</v>
      </c>
      <c r="C390" s="6">
        <v>46151</v>
      </c>
      <c r="D390" s="17" t="str">
        <f t="shared" si="76"/>
        <v>May</v>
      </c>
      <c r="E390" s="5" t="str">
        <f t="shared" ca="1" si="77"/>
        <v>STU-150</v>
      </c>
      <c r="F390" s="5" t="str">
        <f ca="1">IF(COUNTIF($E$2:E390,E390)=1,"New Customer","Returning Customer")</f>
        <v>Returning Customer</v>
      </c>
      <c r="G390" s="5" t="str">
        <f t="shared" ca="1" si="78"/>
        <v>Female</v>
      </c>
      <c r="H390" s="5" t="s">
        <v>140</v>
      </c>
      <c r="I390" s="5" t="str" cm="1">
        <f t="array" aca="1" ref="I390" ca="1">INDEX(Courses!$B$9:$B$16,RANDBETWEEN(1,8))</f>
        <v>Adolescent Psychology</v>
      </c>
      <c r="J390" s="5" t="str">
        <f ca="1">VLOOKUP(I390,Courses!$B$9:$C$16,2,0)</f>
        <v>Psychology</v>
      </c>
      <c r="K390" s="7">
        <f ca="1">VLOOKUP(I390,Courses!$B$9:$D$16,3,0)</f>
        <v>29</v>
      </c>
      <c r="L390" s="5" t="str">
        <f t="shared" ca="1" si="79"/>
        <v>Paid</v>
      </c>
      <c r="M390" s="8" t="str" cm="1">
        <f t="array" aca="1" ref="M390" ca="1">INDEX('Payment Method'!$A$8:$A$12,RANDBETWEEN(1,5))</f>
        <v>Mastercard Debit</v>
      </c>
      <c r="N390" s="7">
        <f>IFERROR(SUMIF(Holiday!$A$8:$A$11,B390,Holiday!$C$8:$C$11),0)</f>
        <v>0</v>
      </c>
      <c r="O390" s="7">
        <f t="shared" ca="1" si="80"/>
        <v>29</v>
      </c>
      <c r="P390" s="19">
        <f t="shared" ca="1" si="81"/>
        <v>28.42</v>
      </c>
      <c r="Q390" s="7">
        <f t="shared" ca="1" si="82"/>
        <v>0</v>
      </c>
      <c r="R390" s="8">
        <f ca="1">VLOOKUP(M390,'Payment Method'!$A$8:$B$12,2,0)</f>
        <v>0.02</v>
      </c>
      <c r="S390" s="9">
        <f t="shared" ca="1" si="72"/>
        <v>0.57999999999999829</v>
      </c>
      <c r="T390" s="8">
        <v>0.01</v>
      </c>
      <c r="U390" s="9">
        <f t="shared" ca="1" si="73"/>
        <v>0.28419999999999845</v>
      </c>
      <c r="V390" s="7">
        <f t="shared" ca="1" si="74"/>
        <v>0</v>
      </c>
      <c r="W390" s="7">
        <f t="shared" ca="1" si="75"/>
        <v>28.135800000000003</v>
      </c>
      <c r="X390" s="5" t="str">
        <f t="shared" ca="1" si="83"/>
        <v>Tiktok</v>
      </c>
      <c r="Y390" s="78" t="str">
        <f>IF(COUNTIF($C$1:C389,B389)=1,10,"")</f>
        <v/>
      </c>
    </row>
    <row r="391" spans="1:25" x14ac:dyDescent="0.3">
      <c r="A391" s="76">
        <v>390</v>
      </c>
      <c r="B391" s="6">
        <v>46141</v>
      </c>
      <c r="C391" s="6">
        <v>46141</v>
      </c>
      <c r="D391" s="17" t="str">
        <f t="shared" si="76"/>
        <v>April</v>
      </c>
      <c r="E391" s="5" t="str">
        <f t="shared" ca="1" si="77"/>
        <v>STU-386</v>
      </c>
      <c r="F391" s="5" t="str">
        <f ca="1">IF(COUNTIF($E$2:E391,E391)=1,"New Customer","Returning Customer")</f>
        <v>New Customer</v>
      </c>
      <c r="G391" s="5" t="str">
        <f t="shared" ca="1" si="78"/>
        <v>Male</v>
      </c>
      <c r="H391" s="5" t="s">
        <v>136</v>
      </c>
      <c r="I391" s="5" t="str" cm="1">
        <f t="array" aca="1" ref="I391" ca="1">INDEX(Courses!$B$9:$B$16,RANDBETWEEN(1,8))</f>
        <v>Complete Excel Course</v>
      </c>
      <c r="J391" s="5" t="str">
        <f ca="1">VLOOKUP(I391,Courses!$B$9:$C$16,2,0)</f>
        <v>Microsoft Office</v>
      </c>
      <c r="K391" s="7">
        <f ca="1">VLOOKUP(I391,Courses!$B$9:$D$16,3,0)</f>
        <v>59</v>
      </c>
      <c r="L391" s="5" t="str">
        <f t="shared" ca="1" si="79"/>
        <v>Paid</v>
      </c>
      <c r="M391" s="8" t="str" cm="1">
        <f t="array" aca="1" ref="M391" ca="1">INDEX('Payment Method'!$A$8:$A$12,RANDBETWEEN(1,5))</f>
        <v>Visa Debit</v>
      </c>
      <c r="N391" s="7">
        <f>IFERROR(SUMIF(Holiday!$A$8:$A$11,B391,Holiday!$C$8:$C$11),0)</f>
        <v>0</v>
      </c>
      <c r="O391" s="7">
        <f t="shared" ca="1" si="80"/>
        <v>59</v>
      </c>
      <c r="P391" s="19">
        <f t="shared" ca="1" si="81"/>
        <v>57.82</v>
      </c>
      <c r="Q391" s="7">
        <f t="shared" ca="1" si="82"/>
        <v>0</v>
      </c>
      <c r="R391" s="8">
        <f ca="1">VLOOKUP(M391,'Payment Method'!$A$8:$B$12,2,0)</f>
        <v>0.02</v>
      </c>
      <c r="S391" s="9">
        <f t="shared" ca="1" si="72"/>
        <v>1.1799999999999997</v>
      </c>
      <c r="T391" s="8">
        <v>0.01</v>
      </c>
      <c r="U391" s="9">
        <f t="shared" ca="1" si="73"/>
        <v>0.57820000000000249</v>
      </c>
      <c r="V391" s="7">
        <f t="shared" ca="1" si="74"/>
        <v>0</v>
      </c>
      <c r="W391" s="7">
        <f t="shared" ca="1" si="75"/>
        <v>57.241799999999998</v>
      </c>
      <c r="X391" s="5" t="str">
        <f t="shared" ca="1" si="83"/>
        <v>Facebook</v>
      </c>
      <c r="Y391" s="78" t="str">
        <f>IF(COUNTIF($C$1:C390,B390)=1,10,"")</f>
        <v/>
      </c>
    </row>
    <row r="392" spans="1:25" x14ac:dyDescent="0.3">
      <c r="A392" s="75">
        <v>391</v>
      </c>
      <c r="B392" s="6">
        <v>46102</v>
      </c>
      <c r="C392" s="6">
        <v>46106</v>
      </c>
      <c r="D392" s="17" t="str">
        <f t="shared" si="76"/>
        <v>March</v>
      </c>
      <c r="E392" s="5" t="str">
        <f t="shared" ca="1" si="77"/>
        <v>STU-490</v>
      </c>
      <c r="F392" s="5" t="str">
        <f ca="1">IF(COUNTIF($E$2:E392,E392)=1,"New Customer","Returning Customer")</f>
        <v>New Customer</v>
      </c>
      <c r="G392" s="5" t="str">
        <f t="shared" ca="1" si="78"/>
        <v>Male</v>
      </c>
      <c r="H392" s="5" t="s">
        <v>136</v>
      </c>
      <c r="I392" s="5" t="str" cm="1">
        <f t="array" aca="1" ref="I392" ca="1">INDEX(Courses!$B$9:$B$16,RANDBETWEEN(1,8))</f>
        <v>Tax Code</v>
      </c>
      <c r="J392" s="5" t="str">
        <f ca="1">VLOOKUP(I392,Courses!$B$9:$C$16,2,0)</f>
        <v>Finance &amp; Taxation</v>
      </c>
      <c r="K392" s="7">
        <f ca="1">VLOOKUP(I392,Courses!$B$9:$D$16,3,0)</f>
        <v>59</v>
      </c>
      <c r="L392" s="5" t="str">
        <f t="shared" ca="1" si="79"/>
        <v>Paid</v>
      </c>
      <c r="M392" s="8" t="str" cm="1">
        <f t="array" aca="1" ref="M392" ca="1">INDEX('Payment Method'!$A$8:$A$12,RANDBETWEEN(1,5))</f>
        <v>Visa Credit</v>
      </c>
      <c r="N392" s="7">
        <f>IFERROR(SUMIF(Holiday!$A$8:$A$11,B392,Holiday!$C$8:$C$11),0)</f>
        <v>0</v>
      </c>
      <c r="O392" s="7">
        <f t="shared" ca="1" si="80"/>
        <v>59</v>
      </c>
      <c r="P392" s="19">
        <f t="shared" ca="1" si="81"/>
        <v>56.935000000000002</v>
      </c>
      <c r="Q392" s="7">
        <f t="shared" ca="1" si="82"/>
        <v>0</v>
      </c>
      <c r="R392" s="8">
        <f ca="1">VLOOKUP(M392,'Payment Method'!$A$8:$B$12,2,0)</f>
        <v>3.5000000000000003E-2</v>
      </c>
      <c r="S392" s="9">
        <f t="shared" ca="1" si="72"/>
        <v>2.0649999999999977</v>
      </c>
      <c r="T392" s="8">
        <v>0.01</v>
      </c>
      <c r="U392" s="9">
        <f t="shared" ca="1" si="73"/>
        <v>0.56935000000000002</v>
      </c>
      <c r="V392" s="7">
        <f t="shared" ca="1" si="74"/>
        <v>0</v>
      </c>
      <c r="W392" s="7">
        <f t="shared" ca="1" si="75"/>
        <v>56.365650000000002</v>
      </c>
      <c r="X392" s="5" t="str">
        <f t="shared" ca="1" si="83"/>
        <v>Tiktok</v>
      </c>
      <c r="Y392" s="78" t="str">
        <f>IF(COUNTIF($C$1:C391,B391)=1,10,"")</f>
        <v/>
      </c>
    </row>
    <row r="393" spans="1:25" x14ac:dyDescent="0.3">
      <c r="A393" s="76">
        <v>392</v>
      </c>
      <c r="B393" s="6">
        <v>46162</v>
      </c>
      <c r="C393" s="6">
        <v>46167</v>
      </c>
      <c r="D393" s="17" t="str">
        <f t="shared" si="76"/>
        <v>May</v>
      </c>
      <c r="E393" s="5" t="str">
        <f t="shared" ca="1" si="77"/>
        <v>STU-380</v>
      </c>
      <c r="F393" s="5" t="str">
        <f ca="1">IF(COUNTIF($E$2:E393,E393)=1,"New Customer","Returning Customer")</f>
        <v>Returning Customer</v>
      </c>
      <c r="G393" s="5" t="str">
        <f t="shared" ca="1" si="78"/>
        <v>Male</v>
      </c>
      <c r="H393" s="5" t="s">
        <v>141</v>
      </c>
      <c r="I393" s="5" t="str" cm="1">
        <f t="array" aca="1" ref="I393" ca="1">INDEX(Courses!$B$9:$B$16,RANDBETWEEN(1,8))</f>
        <v>SQL</v>
      </c>
      <c r="J393" s="5" t="str">
        <f ca="1">VLOOKUP(I393,Courses!$B$9:$C$16,2,0)</f>
        <v>Data Analytics</v>
      </c>
      <c r="K393" s="7">
        <f ca="1">VLOOKUP(I393,Courses!$B$9:$D$16,3,0)</f>
        <v>99</v>
      </c>
      <c r="L393" s="5" t="str">
        <f t="shared" ca="1" si="79"/>
        <v>Pending</v>
      </c>
      <c r="M393" s="8" t="str" cm="1">
        <f t="array" aca="1" ref="M393" ca="1">INDEX('Payment Method'!$A$8:$A$12,RANDBETWEEN(1,5))</f>
        <v>Visa Credit</v>
      </c>
      <c r="N393" s="7">
        <f>IFERROR(SUMIF(Holiday!$A$8:$A$11,B393,Holiday!$C$8:$C$11),0)</f>
        <v>0</v>
      </c>
      <c r="O393" s="7">
        <f t="shared" ca="1" si="80"/>
        <v>99</v>
      </c>
      <c r="P393" s="19">
        <f t="shared" ca="1" si="81"/>
        <v>95.534999999999997</v>
      </c>
      <c r="Q393" s="7">
        <f t="shared" ca="1" si="82"/>
        <v>94.579650000000001</v>
      </c>
      <c r="R393" s="8">
        <f ca="1">VLOOKUP(M393,'Payment Method'!$A$8:$B$12,2,0)</f>
        <v>3.5000000000000003E-2</v>
      </c>
      <c r="S393" s="9">
        <f t="shared" ca="1" si="72"/>
        <v>3.4650000000000034</v>
      </c>
      <c r="T393" s="8">
        <v>0.01</v>
      </c>
      <c r="U393" s="9">
        <f t="shared" ca="1" si="73"/>
        <v>0.9553499999999957</v>
      </c>
      <c r="V393" s="7">
        <f t="shared" ca="1" si="74"/>
        <v>0</v>
      </c>
      <c r="W393" s="7">
        <f t="shared" ca="1" si="75"/>
        <v>0</v>
      </c>
      <c r="X393" s="5" t="str">
        <f t="shared" ca="1" si="83"/>
        <v>Facebook</v>
      </c>
      <c r="Y393" s="78">
        <f>IF(COUNTIF($C$1:C392,B392)=1,10,"")</f>
        <v>10</v>
      </c>
    </row>
    <row r="394" spans="1:25" x14ac:dyDescent="0.3">
      <c r="A394" s="75">
        <v>393</v>
      </c>
      <c r="B394" s="6">
        <v>46026</v>
      </c>
      <c r="C394" s="6">
        <v>46027</v>
      </c>
      <c r="D394" s="17" t="str">
        <f t="shared" si="76"/>
        <v>January</v>
      </c>
      <c r="E394" s="5" t="str">
        <f t="shared" ca="1" si="77"/>
        <v>STU-387</v>
      </c>
      <c r="F394" s="5" t="str">
        <f ca="1">IF(COUNTIF($E$2:E394,E394)=1,"New Customer","Returning Customer")</f>
        <v>New Customer</v>
      </c>
      <c r="G394" s="5" t="str">
        <f t="shared" ca="1" si="78"/>
        <v>Female</v>
      </c>
      <c r="H394" s="5" t="s">
        <v>138</v>
      </c>
      <c r="I394" s="5" t="str" cm="1">
        <f t="array" aca="1" ref="I394" ca="1">INDEX(Courses!$B$9:$B$16,RANDBETWEEN(1,8))</f>
        <v>Power BI</v>
      </c>
      <c r="J394" s="5" t="str">
        <f ca="1">VLOOKUP(I394,Courses!$B$9:$C$16,2,0)</f>
        <v>Data Analytics</v>
      </c>
      <c r="K394" s="7">
        <f ca="1">VLOOKUP(I394,Courses!$B$9:$D$16,3,0)</f>
        <v>59</v>
      </c>
      <c r="L394" s="5" t="str">
        <f t="shared" ca="1" si="79"/>
        <v>Paid</v>
      </c>
      <c r="M394" s="8" t="str" cm="1">
        <f t="array" aca="1" ref="M394" ca="1">INDEX('Payment Method'!$A$8:$A$12,RANDBETWEEN(1,5))</f>
        <v>Mastercard Debit</v>
      </c>
      <c r="N394" s="7">
        <f>IFERROR(SUMIF(Holiday!$A$8:$A$11,B394,Holiday!$C$8:$C$11),0)</f>
        <v>0</v>
      </c>
      <c r="O394" s="7">
        <f t="shared" ca="1" si="80"/>
        <v>59</v>
      </c>
      <c r="P394" s="19">
        <f t="shared" ca="1" si="81"/>
        <v>57.82</v>
      </c>
      <c r="Q394" s="7">
        <f t="shared" ca="1" si="82"/>
        <v>0</v>
      </c>
      <c r="R394" s="8">
        <f ca="1">VLOOKUP(M394,'Payment Method'!$A$8:$B$12,2,0)</f>
        <v>0.02</v>
      </c>
      <c r="S394" s="9">
        <f t="shared" ca="1" si="72"/>
        <v>1.1799999999999997</v>
      </c>
      <c r="T394" s="8">
        <v>0.01</v>
      </c>
      <c r="U394" s="9">
        <f t="shared" ca="1" si="73"/>
        <v>0.57820000000000249</v>
      </c>
      <c r="V394" s="7">
        <f t="shared" ca="1" si="74"/>
        <v>0</v>
      </c>
      <c r="W394" s="7">
        <f t="shared" ca="1" si="75"/>
        <v>57.241799999999998</v>
      </c>
      <c r="X394" s="5" t="str">
        <f t="shared" ca="1" si="83"/>
        <v>Instagram</v>
      </c>
      <c r="Y394" s="78">
        <f>IF(COUNTIF($C$1:C393,B393)=1,10,"")</f>
        <v>10</v>
      </c>
    </row>
    <row r="395" spans="1:25" x14ac:dyDescent="0.3">
      <c r="A395" s="76">
        <v>394</v>
      </c>
      <c r="B395" s="6">
        <v>46055</v>
      </c>
      <c r="C395" s="6">
        <v>46055</v>
      </c>
      <c r="D395" s="17" t="str">
        <f t="shared" si="76"/>
        <v>February</v>
      </c>
      <c r="E395" s="5" t="str">
        <f t="shared" ca="1" si="77"/>
        <v>STU-149</v>
      </c>
      <c r="F395" s="5" t="str">
        <f ca="1">IF(COUNTIF($E$2:E395,E395)=1,"New Customer","Returning Customer")</f>
        <v>New Customer</v>
      </c>
      <c r="G395" s="5" t="str">
        <f t="shared" ca="1" si="78"/>
        <v>Female</v>
      </c>
      <c r="H395" s="5" t="s">
        <v>142</v>
      </c>
      <c r="I395" s="5" t="str" cm="1">
        <f t="array" aca="1" ref="I395" ca="1">INDEX(Courses!$B$9:$B$16,RANDBETWEEN(1,8))</f>
        <v>Excel Basics</v>
      </c>
      <c r="J395" s="5" t="str">
        <f ca="1">VLOOKUP(I395,Courses!$B$9:$C$16,2,0)</f>
        <v>Microsoft Office</v>
      </c>
      <c r="K395" s="7">
        <f ca="1">VLOOKUP(I395,Courses!$B$9:$D$16,3,0)</f>
        <v>29</v>
      </c>
      <c r="L395" s="5" t="str">
        <f t="shared" ca="1" si="79"/>
        <v>Paid</v>
      </c>
      <c r="M395" s="8" t="str" cm="1">
        <f t="array" aca="1" ref="M395" ca="1">INDEX('Payment Method'!$A$8:$A$12,RANDBETWEEN(1,5))</f>
        <v>Mastercard Credit</v>
      </c>
      <c r="N395" s="7">
        <f>IFERROR(SUMIF(Holiday!$A$8:$A$11,B395,Holiday!$C$8:$C$11),0)</f>
        <v>0</v>
      </c>
      <c r="O395" s="7">
        <f t="shared" ca="1" si="80"/>
        <v>29</v>
      </c>
      <c r="P395" s="19">
        <f t="shared" ca="1" si="81"/>
        <v>27.984999999999999</v>
      </c>
      <c r="Q395" s="7">
        <f t="shared" ca="1" si="82"/>
        <v>0</v>
      </c>
      <c r="R395" s="8">
        <f ca="1">VLOOKUP(M395,'Payment Method'!$A$8:$B$12,2,0)</f>
        <v>3.5000000000000003E-2</v>
      </c>
      <c r="S395" s="9">
        <f t="shared" ca="1" si="72"/>
        <v>1.0150000000000006</v>
      </c>
      <c r="T395" s="8">
        <v>0.01</v>
      </c>
      <c r="U395" s="9">
        <f t="shared" ca="1" si="73"/>
        <v>0.27984999999999971</v>
      </c>
      <c r="V395" s="7">
        <f t="shared" ca="1" si="74"/>
        <v>0</v>
      </c>
      <c r="W395" s="7">
        <f t="shared" ca="1" si="75"/>
        <v>27.70515</v>
      </c>
      <c r="X395" s="5" t="str">
        <f t="shared" ca="1" si="83"/>
        <v>Tiktok</v>
      </c>
      <c r="Y395" s="78">
        <f>IF(COUNTIF($C$1:C394,B394)=1,10,"")</f>
        <v>10</v>
      </c>
    </row>
    <row r="396" spans="1:25" x14ac:dyDescent="0.3">
      <c r="A396" s="75">
        <v>395</v>
      </c>
      <c r="B396" s="6">
        <v>46035</v>
      </c>
      <c r="C396" s="6">
        <v>46039</v>
      </c>
      <c r="D396" s="17" t="str">
        <f t="shared" si="76"/>
        <v>January</v>
      </c>
      <c r="E396" s="5" t="str">
        <f t="shared" ca="1" si="77"/>
        <v>STU-894</v>
      </c>
      <c r="F396" s="5" t="str">
        <f ca="1">IF(COUNTIF($E$2:E396,E396)=1,"New Customer","Returning Customer")</f>
        <v>New Customer</v>
      </c>
      <c r="G396" s="5" t="str">
        <f t="shared" ca="1" si="78"/>
        <v>Male</v>
      </c>
      <c r="H396" s="5" t="s">
        <v>135</v>
      </c>
      <c r="I396" s="5" t="str" cm="1">
        <f t="array" aca="1" ref="I396" ca="1">INDEX(Courses!$B$9:$B$16,RANDBETWEEN(1,8))</f>
        <v>Microsoft Word</v>
      </c>
      <c r="J396" s="5" t="str">
        <f ca="1">VLOOKUP(I396,Courses!$B$9:$C$16,2,0)</f>
        <v>Microsoft Office</v>
      </c>
      <c r="K396" s="7">
        <f ca="1">VLOOKUP(I396,Courses!$B$9:$D$16,3,0)</f>
        <v>29</v>
      </c>
      <c r="L396" s="5" t="str">
        <f t="shared" ca="1" si="79"/>
        <v>Pending</v>
      </c>
      <c r="M396" s="8" t="str" cm="1">
        <f t="array" aca="1" ref="M396" ca="1">INDEX('Payment Method'!$A$8:$A$12,RANDBETWEEN(1,5))</f>
        <v>Mastercard Debit</v>
      </c>
      <c r="N396" s="7">
        <f>IFERROR(SUMIF(Holiday!$A$8:$A$11,B396,Holiday!$C$8:$C$11),0)</f>
        <v>0</v>
      </c>
      <c r="O396" s="7">
        <f t="shared" ca="1" si="80"/>
        <v>29</v>
      </c>
      <c r="P396" s="19">
        <f t="shared" ca="1" si="81"/>
        <v>28.42</v>
      </c>
      <c r="Q396" s="7">
        <f t="shared" ca="1" si="82"/>
        <v>28.135800000000003</v>
      </c>
      <c r="R396" s="8">
        <f ca="1">VLOOKUP(M396,'Payment Method'!$A$8:$B$12,2,0)</f>
        <v>0.02</v>
      </c>
      <c r="S396" s="9">
        <f t="shared" ca="1" si="72"/>
        <v>0.57999999999999829</v>
      </c>
      <c r="T396" s="8">
        <v>0.01</v>
      </c>
      <c r="U396" s="9">
        <f t="shared" ca="1" si="73"/>
        <v>0.28419999999999845</v>
      </c>
      <c r="V396" s="7">
        <f t="shared" ca="1" si="74"/>
        <v>0</v>
      </c>
      <c r="W396" s="7">
        <f t="shared" ca="1" si="75"/>
        <v>0</v>
      </c>
      <c r="X396" s="5" t="str">
        <f t="shared" ca="1" si="83"/>
        <v>Facebook</v>
      </c>
      <c r="Y396" s="78">
        <f>IF(COUNTIF($C$1:C395,B395)=1,10,"")</f>
        <v>10</v>
      </c>
    </row>
    <row r="397" spans="1:25" x14ac:dyDescent="0.3">
      <c r="A397" s="76">
        <v>396</v>
      </c>
      <c r="B397" s="6">
        <v>46078</v>
      </c>
      <c r="C397" s="6">
        <v>46082</v>
      </c>
      <c r="D397" s="17" t="str">
        <f t="shared" si="76"/>
        <v>March</v>
      </c>
      <c r="E397" s="5" t="str">
        <f t="shared" ca="1" si="77"/>
        <v>STU-458</v>
      </c>
      <c r="F397" s="5" t="str">
        <f ca="1">IF(COUNTIF($E$2:E397,E397)=1,"New Customer","Returning Customer")</f>
        <v>Returning Customer</v>
      </c>
      <c r="G397" s="5" t="str">
        <f t="shared" ca="1" si="78"/>
        <v>Female</v>
      </c>
      <c r="H397" s="5" t="s">
        <v>136</v>
      </c>
      <c r="I397" s="5" t="str" cm="1">
        <f t="array" aca="1" ref="I397" ca="1">INDEX(Courses!$B$9:$B$16,RANDBETWEEN(1,8))</f>
        <v>Microsoft Word</v>
      </c>
      <c r="J397" s="5" t="str">
        <f ca="1">VLOOKUP(I397,Courses!$B$9:$C$16,2,0)</f>
        <v>Microsoft Office</v>
      </c>
      <c r="K397" s="7">
        <f ca="1">VLOOKUP(I397,Courses!$B$9:$D$16,3,0)</f>
        <v>29</v>
      </c>
      <c r="L397" s="5" t="str">
        <f t="shared" ca="1" si="79"/>
        <v>Paid</v>
      </c>
      <c r="M397" s="8" t="str" cm="1">
        <f t="array" aca="1" ref="M397" ca="1">INDEX('Payment Method'!$A$8:$A$12,RANDBETWEEN(1,5))</f>
        <v>Mastercard Credit</v>
      </c>
      <c r="N397" s="7">
        <f>IFERROR(SUMIF(Holiday!$A$8:$A$11,B397,Holiday!$C$8:$C$11),0)</f>
        <v>0</v>
      </c>
      <c r="O397" s="7">
        <f t="shared" ca="1" si="80"/>
        <v>29</v>
      </c>
      <c r="P397" s="19">
        <f t="shared" ca="1" si="81"/>
        <v>27.984999999999999</v>
      </c>
      <c r="Q397" s="7">
        <f t="shared" ca="1" si="82"/>
        <v>0</v>
      </c>
      <c r="R397" s="8">
        <f ca="1">VLOOKUP(M397,'Payment Method'!$A$8:$B$12,2,0)</f>
        <v>3.5000000000000003E-2</v>
      </c>
      <c r="S397" s="9">
        <f t="shared" ca="1" si="72"/>
        <v>1.0150000000000006</v>
      </c>
      <c r="T397" s="8">
        <v>0.01</v>
      </c>
      <c r="U397" s="9">
        <f t="shared" ca="1" si="73"/>
        <v>0.27984999999999971</v>
      </c>
      <c r="V397" s="7">
        <f t="shared" ca="1" si="74"/>
        <v>0</v>
      </c>
      <c r="W397" s="7">
        <f t="shared" ca="1" si="75"/>
        <v>27.70515</v>
      </c>
      <c r="X397" s="5" t="str">
        <f t="shared" ca="1" si="83"/>
        <v>Facebook</v>
      </c>
      <c r="Y397" s="78" t="str">
        <f>IF(COUNTIF($C$1:C396,B396)=1,10,"")</f>
        <v/>
      </c>
    </row>
    <row r="398" spans="1:25" x14ac:dyDescent="0.3">
      <c r="A398" s="75">
        <v>397</v>
      </c>
      <c r="B398" s="6">
        <v>46090</v>
      </c>
      <c r="C398" s="6">
        <v>46092</v>
      </c>
      <c r="D398" s="17" t="str">
        <f t="shared" si="76"/>
        <v>March</v>
      </c>
      <c r="E398" s="5" t="str">
        <f t="shared" ca="1" si="77"/>
        <v>STU-626</v>
      </c>
      <c r="F398" s="5" t="str">
        <f ca="1">IF(COUNTIF($E$2:E398,E398)=1,"New Customer","Returning Customer")</f>
        <v>New Customer</v>
      </c>
      <c r="G398" s="5" t="str">
        <f t="shared" ca="1" si="78"/>
        <v>Male</v>
      </c>
      <c r="H398" s="5" t="s">
        <v>141</v>
      </c>
      <c r="I398" s="5" t="str" cm="1">
        <f t="array" aca="1" ref="I398" ca="1">INDEX(Courses!$B$9:$B$16,RANDBETWEEN(1,8))</f>
        <v>Tax Code</v>
      </c>
      <c r="J398" s="5" t="str">
        <f ca="1">VLOOKUP(I398,Courses!$B$9:$C$16,2,0)</f>
        <v>Finance &amp; Taxation</v>
      </c>
      <c r="K398" s="7">
        <f ca="1">VLOOKUP(I398,Courses!$B$9:$D$16,3,0)</f>
        <v>59</v>
      </c>
      <c r="L398" s="5" t="str">
        <f t="shared" ca="1" si="79"/>
        <v>Paid</v>
      </c>
      <c r="M398" s="8" t="str" cm="1">
        <f t="array" aca="1" ref="M398" ca="1">INDEX('Payment Method'!$A$8:$A$12,RANDBETWEEN(1,5))</f>
        <v>Mastercard Credit</v>
      </c>
      <c r="N398" s="7">
        <f>IFERROR(SUMIF(Holiday!$A$8:$A$11,B398,Holiday!$C$8:$C$11),0)</f>
        <v>0</v>
      </c>
      <c r="O398" s="7">
        <f t="shared" ca="1" si="80"/>
        <v>59</v>
      </c>
      <c r="P398" s="19">
        <f t="shared" ca="1" si="81"/>
        <v>56.935000000000002</v>
      </c>
      <c r="Q398" s="7">
        <f t="shared" ca="1" si="82"/>
        <v>0</v>
      </c>
      <c r="R398" s="8">
        <f ca="1">VLOOKUP(M398,'Payment Method'!$A$8:$B$12,2,0)</f>
        <v>3.5000000000000003E-2</v>
      </c>
      <c r="S398" s="9">
        <f t="shared" ca="1" si="72"/>
        <v>2.0649999999999977</v>
      </c>
      <c r="T398" s="8">
        <v>0.01</v>
      </c>
      <c r="U398" s="9">
        <f t="shared" ca="1" si="73"/>
        <v>0.56935000000000002</v>
      </c>
      <c r="V398" s="7">
        <f t="shared" ca="1" si="74"/>
        <v>0</v>
      </c>
      <c r="W398" s="7">
        <f t="shared" ca="1" si="75"/>
        <v>56.365650000000002</v>
      </c>
      <c r="X398" s="5" t="str">
        <f t="shared" ca="1" si="83"/>
        <v>Instagram</v>
      </c>
      <c r="Y398" s="78">
        <f>IF(COUNTIF($C$1:C397,B397)=1,10,"")</f>
        <v>10</v>
      </c>
    </row>
    <row r="399" spans="1:25" x14ac:dyDescent="0.3">
      <c r="A399" s="76">
        <v>398</v>
      </c>
      <c r="B399" s="6">
        <v>46208</v>
      </c>
      <c r="C399" s="6">
        <v>46211</v>
      </c>
      <c r="D399" s="17" t="str">
        <f t="shared" si="76"/>
        <v>July</v>
      </c>
      <c r="E399" s="5" t="str">
        <f t="shared" ca="1" si="77"/>
        <v>STU-849</v>
      </c>
      <c r="F399" s="5" t="str">
        <f ca="1">IF(COUNTIF($E$2:E399,E399)=1,"New Customer","Returning Customer")</f>
        <v>New Customer</v>
      </c>
      <c r="G399" s="5" t="str">
        <f t="shared" ca="1" si="78"/>
        <v>Not specified</v>
      </c>
      <c r="H399" s="5" t="s">
        <v>136</v>
      </c>
      <c r="I399" s="5" t="str" cm="1">
        <f t="array" aca="1" ref="I399" ca="1">INDEX(Courses!$B$9:$B$16,RANDBETWEEN(1,8))</f>
        <v>Power BI</v>
      </c>
      <c r="J399" s="5" t="str">
        <f ca="1">VLOOKUP(I399,Courses!$B$9:$C$16,2,0)</f>
        <v>Data Analytics</v>
      </c>
      <c r="K399" s="7">
        <f ca="1">VLOOKUP(I399,Courses!$B$9:$D$16,3,0)</f>
        <v>59</v>
      </c>
      <c r="L399" s="5" t="str">
        <f t="shared" ca="1" si="79"/>
        <v>Pending</v>
      </c>
      <c r="M399" s="8" t="str" cm="1">
        <f t="array" aca="1" ref="M399" ca="1">INDEX('Payment Method'!$A$8:$A$12,RANDBETWEEN(1,5))</f>
        <v>Mastercard Debit</v>
      </c>
      <c r="N399" s="7">
        <f>IFERROR(SUMIF(Holiday!$A$8:$A$11,B399,Holiday!$C$8:$C$11),0)</f>
        <v>0</v>
      </c>
      <c r="O399" s="7">
        <f t="shared" ca="1" si="80"/>
        <v>59</v>
      </c>
      <c r="P399" s="19">
        <f t="shared" ca="1" si="81"/>
        <v>57.82</v>
      </c>
      <c r="Q399" s="7">
        <f t="shared" ca="1" si="82"/>
        <v>57.241799999999998</v>
      </c>
      <c r="R399" s="8">
        <f ca="1">VLOOKUP(M399,'Payment Method'!$A$8:$B$12,2,0)</f>
        <v>0.02</v>
      </c>
      <c r="S399" s="9">
        <f t="shared" ca="1" si="72"/>
        <v>1.1799999999999997</v>
      </c>
      <c r="T399" s="8">
        <v>0.01</v>
      </c>
      <c r="U399" s="9">
        <f t="shared" ca="1" si="73"/>
        <v>0.57820000000000249</v>
      </c>
      <c r="V399" s="7">
        <f t="shared" ca="1" si="74"/>
        <v>0</v>
      </c>
      <c r="W399" s="7">
        <f t="shared" ca="1" si="75"/>
        <v>0</v>
      </c>
      <c r="X399" s="5" t="str">
        <f t="shared" ca="1" si="83"/>
        <v>Facebook</v>
      </c>
      <c r="Y399" s="78" t="str">
        <f>IF(COUNTIF($C$1:C398,B398)=1,10,"")</f>
        <v/>
      </c>
    </row>
    <row r="400" spans="1:25" x14ac:dyDescent="0.3">
      <c r="A400" s="75">
        <v>399</v>
      </c>
      <c r="B400" s="6">
        <v>46082</v>
      </c>
      <c r="C400" s="6">
        <v>46087</v>
      </c>
      <c r="D400" s="17" t="str">
        <f t="shared" si="76"/>
        <v>March</v>
      </c>
      <c r="E400" s="5" t="str">
        <f t="shared" ca="1" si="77"/>
        <v>STU-402</v>
      </c>
      <c r="F400" s="5" t="str">
        <f ca="1">IF(COUNTIF($E$2:E400,E400)=1,"New Customer","Returning Customer")</f>
        <v>New Customer</v>
      </c>
      <c r="G400" s="5" t="str">
        <f t="shared" ca="1" si="78"/>
        <v>Male</v>
      </c>
      <c r="H400" s="5" t="s">
        <v>140</v>
      </c>
      <c r="I400" s="5" t="str" cm="1">
        <f t="array" aca="1" ref="I400" ca="1">INDEX(Courses!$B$9:$B$16,RANDBETWEEN(1,8))</f>
        <v>SQL</v>
      </c>
      <c r="J400" s="5" t="str">
        <f ca="1">VLOOKUP(I400,Courses!$B$9:$C$16,2,0)</f>
        <v>Data Analytics</v>
      </c>
      <c r="K400" s="7">
        <f ca="1">VLOOKUP(I400,Courses!$B$9:$D$16,3,0)</f>
        <v>99</v>
      </c>
      <c r="L400" s="5" t="str">
        <f t="shared" ca="1" si="79"/>
        <v>Paid</v>
      </c>
      <c r="M400" s="8" t="str" cm="1">
        <f t="array" aca="1" ref="M400" ca="1">INDEX('Payment Method'!$A$8:$A$12,RANDBETWEEN(1,5))</f>
        <v>Visa Credit</v>
      </c>
      <c r="N400" s="7">
        <f>IFERROR(SUMIF(Holiday!$A$8:$A$11,B400,Holiday!$C$8:$C$11),0)</f>
        <v>0</v>
      </c>
      <c r="O400" s="7">
        <f t="shared" ca="1" si="80"/>
        <v>99</v>
      </c>
      <c r="P400" s="19">
        <f t="shared" ca="1" si="81"/>
        <v>95.534999999999997</v>
      </c>
      <c r="Q400" s="7">
        <f t="shared" ca="1" si="82"/>
        <v>0</v>
      </c>
      <c r="R400" s="8">
        <f ca="1">VLOOKUP(M400,'Payment Method'!$A$8:$B$12,2,0)</f>
        <v>3.5000000000000003E-2</v>
      </c>
      <c r="S400" s="9">
        <f t="shared" ca="1" si="72"/>
        <v>3.4650000000000034</v>
      </c>
      <c r="T400" s="8">
        <v>0.01</v>
      </c>
      <c r="U400" s="9">
        <f t="shared" ca="1" si="73"/>
        <v>0.9553499999999957</v>
      </c>
      <c r="V400" s="7">
        <f t="shared" ca="1" si="74"/>
        <v>0</v>
      </c>
      <c r="W400" s="7">
        <f t="shared" ca="1" si="75"/>
        <v>94.579650000000001</v>
      </c>
      <c r="X400" s="5" t="str">
        <f t="shared" ca="1" si="83"/>
        <v>Instagram</v>
      </c>
      <c r="Y400" s="78">
        <f>IF(COUNTIF($C$1:C399,B399)=1,10,"")</f>
        <v>10</v>
      </c>
    </row>
    <row r="401" spans="1:25" x14ac:dyDescent="0.3">
      <c r="A401" s="76">
        <v>400</v>
      </c>
      <c r="B401" s="6">
        <v>46216</v>
      </c>
      <c r="C401" s="6">
        <v>46220</v>
      </c>
      <c r="D401" s="17" t="str">
        <f t="shared" si="76"/>
        <v>July</v>
      </c>
      <c r="E401" s="5" t="str">
        <f t="shared" ca="1" si="77"/>
        <v>STU-207</v>
      </c>
      <c r="F401" s="5" t="str">
        <f ca="1">IF(COUNTIF($E$2:E401,E401)=1,"New Customer","Returning Customer")</f>
        <v>New Customer</v>
      </c>
      <c r="G401" s="5" t="str">
        <f t="shared" ca="1" si="78"/>
        <v>Female</v>
      </c>
      <c r="H401" s="5" t="s">
        <v>137</v>
      </c>
      <c r="I401" s="5" t="str" cm="1">
        <f t="array" aca="1" ref="I401" ca="1">INDEX(Courses!$B$9:$B$16,RANDBETWEEN(1,8))</f>
        <v>Complete Excel Course</v>
      </c>
      <c r="J401" s="5" t="str">
        <f ca="1">VLOOKUP(I401,Courses!$B$9:$C$16,2,0)</f>
        <v>Microsoft Office</v>
      </c>
      <c r="K401" s="7">
        <f ca="1">VLOOKUP(I401,Courses!$B$9:$D$16,3,0)</f>
        <v>59</v>
      </c>
      <c r="L401" s="5" t="str">
        <f t="shared" ca="1" si="79"/>
        <v>Paid</v>
      </c>
      <c r="M401" s="8" t="str" cm="1">
        <f t="array" aca="1" ref="M401" ca="1">INDEX('Payment Method'!$A$8:$A$12,RANDBETWEEN(1,5))</f>
        <v>Bank Transfer</v>
      </c>
      <c r="N401" s="7">
        <f>IFERROR(SUMIF(Holiday!$A$8:$A$11,B401,Holiday!$C$8:$C$11),0)</f>
        <v>0</v>
      </c>
      <c r="O401" s="7">
        <f t="shared" ca="1" si="80"/>
        <v>59</v>
      </c>
      <c r="P401" s="19">
        <f t="shared" ca="1" si="81"/>
        <v>59</v>
      </c>
      <c r="Q401" s="7">
        <f t="shared" ca="1" si="82"/>
        <v>0</v>
      </c>
      <c r="R401" s="8">
        <f ca="1">VLOOKUP(M401,'Payment Method'!$A$8:$B$12,2,0)</f>
        <v>0</v>
      </c>
      <c r="S401" s="9">
        <f t="shared" ca="1" si="72"/>
        <v>0</v>
      </c>
      <c r="T401" s="8">
        <v>0.01</v>
      </c>
      <c r="U401" s="9">
        <f t="shared" ca="1" si="73"/>
        <v>0.59000000000000341</v>
      </c>
      <c r="V401" s="7">
        <f t="shared" ca="1" si="74"/>
        <v>0</v>
      </c>
      <c r="W401" s="7">
        <f t="shared" ca="1" si="75"/>
        <v>58.41</v>
      </c>
      <c r="X401" s="5" t="str">
        <f t="shared" ca="1" si="83"/>
        <v>Tiktok</v>
      </c>
      <c r="Y401" s="78" t="str">
        <f>IF(COUNTIF($C$1:C400,B400)=1,10,"")</f>
        <v/>
      </c>
    </row>
    <row r="402" spans="1:25" x14ac:dyDescent="0.3">
      <c r="A402" s="75">
        <v>401</v>
      </c>
      <c r="B402" s="6">
        <v>46170</v>
      </c>
      <c r="C402" s="6">
        <v>46174</v>
      </c>
      <c r="D402" s="17" t="str">
        <f t="shared" si="76"/>
        <v>June</v>
      </c>
      <c r="E402" s="5" t="str">
        <f t="shared" ca="1" si="77"/>
        <v>STU-159</v>
      </c>
      <c r="F402" s="5" t="str">
        <f ca="1">IF(COUNTIF($E$2:E402,E402)=1,"New Customer","Returning Customer")</f>
        <v>Returning Customer</v>
      </c>
      <c r="G402" s="5" t="str">
        <f t="shared" ca="1" si="78"/>
        <v>Male</v>
      </c>
      <c r="H402" s="5" t="s">
        <v>135</v>
      </c>
      <c r="I402" s="5" t="str" cm="1">
        <f t="array" aca="1" ref="I402" ca="1">INDEX(Courses!$B$9:$B$16,RANDBETWEEN(1,8))</f>
        <v>Microsoft Word</v>
      </c>
      <c r="J402" s="5" t="str">
        <f ca="1">VLOOKUP(I402,Courses!$B$9:$C$16,2,0)</f>
        <v>Microsoft Office</v>
      </c>
      <c r="K402" s="7">
        <f ca="1">VLOOKUP(I402,Courses!$B$9:$D$16,3,0)</f>
        <v>29</v>
      </c>
      <c r="L402" s="5" t="str">
        <f t="shared" ca="1" si="79"/>
        <v>Paid</v>
      </c>
      <c r="M402" s="8" t="str" cm="1">
        <f t="array" aca="1" ref="M402" ca="1">INDEX('Payment Method'!$A$8:$A$12,RANDBETWEEN(1,5))</f>
        <v>Visa Credit</v>
      </c>
      <c r="N402" s="7">
        <f>IFERROR(SUMIF(Holiday!$A$8:$A$11,B402,Holiday!$C$8:$C$11),0)</f>
        <v>0</v>
      </c>
      <c r="O402" s="7">
        <f t="shared" ca="1" si="80"/>
        <v>29</v>
      </c>
      <c r="P402" s="19">
        <f t="shared" ca="1" si="81"/>
        <v>27.984999999999999</v>
      </c>
      <c r="Q402" s="7">
        <f t="shared" ca="1" si="82"/>
        <v>0</v>
      </c>
      <c r="R402" s="8">
        <f ca="1">VLOOKUP(M402,'Payment Method'!$A$8:$B$12,2,0)</f>
        <v>3.5000000000000003E-2</v>
      </c>
      <c r="S402" s="9">
        <f t="shared" ca="1" si="72"/>
        <v>1.0150000000000006</v>
      </c>
      <c r="T402" s="8">
        <v>0.01</v>
      </c>
      <c r="U402" s="9">
        <f t="shared" ca="1" si="73"/>
        <v>0.27984999999999971</v>
      </c>
      <c r="V402" s="7">
        <f t="shared" ca="1" si="74"/>
        <v>0</v>
      </c>
      <c r="W402" s="7">
        <f t="shared" ca="1" si="75"/>
        <v>27.70515</v>
      </c>
      <c r="X402" s="5" t="str">
        <f t="shared" ca="1" si="83"/>
        <v>Instagram</v>
      </c>
      <c r="Y402" s="78" t="str">
        <f>IF(COUNTIF($C$1:C401,B401)=1,10,"")</f>
        <v/>
      </c>
    </row>
    <row r="403" spans="1:25" x14ac:dyDescent="0.3">
      <c r="A403" s="76">
        <v>402</v>
      </c>
      <c r="B403" s="6">
        <v>46170</v>
      </c>
      <c r="C403" s="6">
        <v>46175</v>
      </c>
      <c r="D403" s="17" t="str">
        <f t="shared" si="76"/>
        <v>June</v>
      </c>
      <c r="E403" s="5" t="str">
        <f t="shared" ca="1" si="77"/>
        <v>STU-255</v>
      </c>
      <c r="F403" s="5" t="str">
        <f ca="1">IF(COUNTIF($E$2:E403,E403)=1,"New Customer","Returning Customer")</f>
        <v>New Customer</v>
      </c>
      <c r="G403" s="5" t="str">
        <f t="shared" ca="1" si="78"/>
        <v>Male</v>
      </c>
      <c r="H403" s="5" t="s">
        <v>141</v>
      </c>
      <c r="I403" s="5" t="str" cm="1">
        <f t="array" aca="1" ref="I403" ca="1">INDEX(Courses!$B$9:$B$16,RANDBETWEEN(1,8))</f>
        <v>SQL</v>
      </c>
      <c r="J403" s="5" t="str">
        <f ca="1">VLOOKUP(I403,Courses!$B$9:$C$16,2,0)</f>
        <v>Data Analytics</v>
      </c>
      <c r="K403" s="7">
        <f ca="1">VLOOKUP(I403,Courses!$B$9:$D$16,3,0)</f>
        <v>99</v>
      </c>
      <c r="L403" s="5" t="str">
        <f t="shared" ca="1" si="79"/>
        <v>Paid</v>
      </c>
      <c r="M403" s="8" t="str" cm="1">
        <f t="array" aca="1" ref="M403" ca="1">INDEX('Payment Method'!$A$8:$A$12,RANDBETWEEN(1,5))</f>
        <v>Mastercard Debit</v>
      </c>
      <c r="N403" s="7">
        <f>IFERROR(SUMIF(Holiday!$A$8:$A$11,B403,Holiday!$C$8:$C$11),0)</f>
        <v>0</v>
      </c>
      <c r="O403" s="7">
        <f t="shared" ca="1" si="80"/>
        <v>99</v>
      </c>
      <c r="P403" s="19">
        <f t="shared" ca="1" si="81"/>
        <v>97.02</v>
      </c>
      <c r="Q403" s="7">
        <f t="shared" ca="1" si="82"/>
        <v>0</v>
      </c>
      <c r="R403" s="8">
        <f ca="1">VLOOKUP(M403,'Payment Method'!$A$8:$B$12,2,0)</f>
        <v>0.02</v>
      </c>
      <c r="S403" s="9">
        <f t="shared" ca="1" si="72"/>
        <v>1.980000000000004</v>
      </c>
      <c r="T403" s="8">
        <v>0.01</v>
      </c>
      <c r="U403" s="9">
        <f t="shared" ca="1" si="73"/>
        <v>0.9702000000000055</v>
      </c>
      <c r="V403" s="7">
        <f t="shared" ca="1" si="74"/>
        <v>0</v>
      </c>
      <c r="W403" s="7">
        <f t="shared" ca="1" si="75"/>
        <v>96.049799999999991</v>
      </c>
      <c r="X403" s="5" t="str">
        <f t="shared" ca="1" si="83"/>
        <v>Tiktok</v>
      </c>
      <c r="Y403" s="78">
        <f>IF(COUNTIF($C$1:C402,B402)=1,10,"")</f>
        <v>10</v>
      </c>
    </row>
    <row r="404" spans="1:25" x14ac:dyDescent="0.3">
      <c r="A404" s="75">
        <v>403</v>
      </c>
      <c r="B404" s="6">
        <v>46114</v>
      </c>
      <c r="C404" s="6">
        <v>46117</v>
      </c>
      <c r="D404" s="17" t="str">
        <f t="shared" si="76"/>
        <v>April</v>
      </c>
      <c r="E404" s="5" t="str">
        <f t="shared" ca="1" si="77"/>
        <v>STU-731</v>
      </c>
      <c r="F404" s="5" t="str">
        <f ca="1">IF(COUNTIF($E$2:E404,E404)=1,"New Customer","Returning Customer")</f>
        <v>New Customer</v>
      </c>
      <c r="G404" s="5" t="str">
        <f t="shared" ca="1" si="78"/>
        <v>Male</v>
      </c>
      <c r="H404" s="5" t="s">
        <v>142</v>
      </c>
      <c r="I404" s="5" t="str" cm="1">
        <f t="array" aca="1" ref="I404" ca="1">INDEX(Courses!$B$9:$B$16,RANDBETWEEN(1,8))</f>
        <v>Complete Excel Course</v>
      </c>
      <c r="J404" s="5" t="str">
        <f ca="1">VLOOKUP(I404,Courses!$B$9:$C$16,2,0)</f>
        <v>Microsoft Office</v>
      </c>
      <c r="K404" s="7">
        <f ca="1">VLOOKUP(I404,Courses!$B$9:$D$16,3,0)</f>
        <v>59</v>
      </c>
      <c r="L404" s="5" t="str">
        <f t="shared" ca="1" si="79"/>
        <v>Paid</v>
      </c>
      <c r="M404" s="8" t="str" cm="1">
        <f t="array" aca="1" ref="M404" ca="1">INDEX('Payment Method'!$A$8:$A$12,RANDBETWEEN(1,5))</f>
        <v>Mastercard Debit</v>
      </c>
      <c r="N404" s="7">
        <f>IFERROR(SUMIF(Holiday!$A$8:$A$11,B404,Holiday!$C$8:$C$11),0)</f>
        <v>0</v>
      </c>
      <c r="O404" s="7">
        <f t="shared" ca="1" si="80"/>
        <v>59</v>
      </c>
      <c r="P404" s="19">
        <f t="shared" ca="1" si="81"/>
        <v>57.82</v>
      </c>
      <c r="Q404" s="7">
        <f t="shared" ca="1" si="82"/>
        <v>0</v>
      </c>
      <c r="R404" s="8">
        <f ca="1">VLOOKUP(M404,'Payment Method'!$A$8:$B$12,2,0)</f>
        <v>0.02</v>
      </c>
      <c r="S404" s="9">
        <f t="shared" ca="1" si="72"/>
        <v>1.1799999999999997</v>
      </c>
      <c r="T404" s="8">
        <v>0.01</v>
      </c>
      <c r="U404" s="9">
        <f t="shared" ca="1" si="73"/>
        <v>0.57820000000000249</v>
      </c>
      <c r="V404" s="7">
        <f t="shared" ca="1" si="74"/>
        <v>0</v>
      </c>
      <c r="W404" s="7">
        <f t="shared" ca="1" si="75"/>
        <v>57.241799999999998</v>
      </c>
      <c r="X404" s="5" t="str">
        <f t="shared" ca="1" si="83"/>
        <v>Instagram</v>
      </c>
      <c r="Y404" s="78">
        <f>IF(COUNTIF($C$1:C403,B403)=1,10,"")</f>
        <v>10</v>
      </c>
    </row>
    <row r="405" spans="1:25" x14ac:dyDescent="0.3">
      <c r="A405" s="76">
        <v>404</v>
      </c>
      <c r="B405" s="6">
        <v>46146</v>
      </c>
      <c r="C405" s="6">
        <v>46149</v>
      </c>
      <c r="D405" s="17" t="str">
        <f t="shared" si="76"/>
        <v>May</v>
      </c>
      <c r="E405" s="5" t="str">
        <f t="shared" ca="1" si="77"/>
        <v>STU-717</v>
      </c>
      <c r="F405" s="5" t="str">
        <f ca="1">IF(COUNTIF($E$2:E405,E405)=1,"New Customer","Returning Customer")</f>
        <v>New Customer</v>
      </c>
      <c r="G405" s="5" t="str">
        <f t="shared" ca="1" si="78"/>
        <v>Not specified</v>
      </c>
      <c r="H405" s="5" t="s">
        <v>138</v>
      </c>
      <c r="I405" s="5" t="str" cm="1">
        <f t="array" aca="1" ref="I405" ca="1">INDEX(Courses!$B$9:$B$16,RANDBETWEEN(1,8))</f>
        <v>Tax Code</v>
      </c>
      <c r="J405" s="5" t="str">
        <f ca="1">VLOOKUP(I405,Courses!$B$9:$C$16,2,0)</f>
        <v>Finance &amp; Taxation</v>
      </c>
      <c r="K405" s="7">
        <f ca="1">VLOOKUP(I405,Courses!$B$9:$D$16,3,0)</f>
        <v>59</v>
      </c>
      <c r="L405" s="5" t="str">
        <f t="shared" ca="1" si="79"/>
        <v>Paid</v>
      </c>
      <c r="M405" s="8" t="str" cm="1">
        <f t="array" aca="1" ref="M405" ca="1">INDEX('Payment Method'!$A$8:$A$12,RANDBETWEEN(1,5))</f>
        <v>Mastercard Credit</v>
      </c>
      <c r="N405" s="7">
        <f>IFERROR(SUMIF(Holiday!$A$8:$A$11,B405,Holiday!$C$8:$C$11),0)</f>
        <v>0</v>
      </c>
      <c r="O405" s="7">
        <f t="shared" ca="1" si="80"/>
        <v>59</v>
      </c>
      <c r="P405" s="19">
        <f t="shared" ca="1" si="81"/>
        <v>56.935000000000002</v>
      </c>
      <c r="Q405" s="7">
        <f t="shared" ca="1" si="82"/>
        <v>0</v>
      </c>
      <c r="R405" s="8">
        <f ca="1">VLOOKUP(M405,'Payment Method'!$A$8:$B$12,2,0)</f>
        <v>3.5000000000000003E-2</v>
      </c>
      <c r="S405" s="9">
        <f t="shared" ca="1" si="72"/>
        <v>2.0649999999999977</v>
      </c>
      <c r="T405" s="8">
        <v>0.01</v>
      </c>
      <c r="U405" s="9">
        <f t="shared" ca="1" si="73"/>
        <v>0.56935000000000002</v>
      </c>
      <c r="V405" s="7">
        <f t="shared" ca="1" si="74"/>
        <v>0</v>
      </c>
      <c r="W405" s="7">
        <f t="shared" ca="1" si="75"/>
        <v>56.365650000000002</v>
      </c>
      <c r="X405" s="5" t="str">
        <f t="shared" ca="1" si="83"/>
        <v>Tiktok</v>
      </c>
      <c r="Y405" s="78" t="str">
        <f>IF(COUNTIF($C$1:C404,B404)=1,10,"")</f>
        <v/>
      </c>
    </row>
    <row r="406" spans="1:25" x14ac:dyDescent="0.3">
      <c r="A406" s="75">
        <v>405</v>
      </c>
      <c r="B406" s="6">
        <v>46152</v>
      </c>
      <c r="C406" s="6">
        <v>46155</v>
      </c>
      <c r="D406" s="17" t="str">
        <f t="shared" si="76"/>
        <v>May</v>
      </c>
      <c r="E406" s="5" t="str">
        <f t="shared" ca="1" si="77"/>
        <v>STU-25</v>
      </c>
      <c r="F406" s="5" t="str">
        <f ca="1">IF(COUNTIF($E$2:E406,E406)=1,"New Customer","Returning Customer")</f>
        <v>Returning Customer</v>
      </c>
      <c r="G406" s="5" t="str">
        <f t="shared" ca="1" si="78"/>
        <v>Female</v>
      </c>
      <c r="H406" s="5" t="s">
        <v>140</v>
      </c>
      <c r="I406" s="5" t="str" cm="1">
        <f t="array" aca="1" ref="I406" ca="1">INDEX(Courses!$B$9:$B$16,RANDBETWEEN(1,8))</f>
        <v>SQL</v>
      </c>
      <c r="J406" s="5" t="str">
        <f ca="1">VLOOKUP(I406,Courses!$B$9:$C$16,2,0)</f>
        <v>Data Analytics</v>
      </c>
      <c r="K406" s="7">
        <f ca="1">VLOOKUP(I406,Courses!$B$9:$D$16,3,0)</f>
        <v>99</v>
      </c>
      <c r="L406" s="5" t="str">
        <f t="shared" ca="1" si="79"/>
        <v>Pending</v>
      </c>
      <c r="M406" s="8" t="str" cm="1">
        <f t="array" aca="1" ref="M406" ca="1">INDEX('Payment Method'!$A$8:$A$12,RANDBETWEEN(1,5))</f>
        <v>Bank Transfer</v>
      </c>
      <c r="N406" s="7">
        <f>IFERROR(SUMIF(Holiday!$A$8:$A$11,B406,Holiday!$C$8:$C$11),0)</f>
        <v>0</v>
      </c>
      <c r="O406" s="7">
        <f t="shared" ca="1" si="80"/>
        <v>99</v>
      </c>
      <c r="P406" s="19">
        <f t="shared" ca="1" si="81"/>
        <v>99</v>
      </c>
      <c r="Q406" s="7">
        <f t="shared" ca="1" si="82"/>
        <v>98.01</v>
      </c>
      <c r="R406" s="8">
        <f ca="1">VLOOKUP(M406,'Payment Method'!$A$8:$B$12,2,0)</f>
        <v>0</v>
      </c>
      <c r="S406" s="9">
        <f t="shared" ca="1" si="72"/>
        <v>0</v>
      </c>
      <c r="T406" s="8">
        <v>0.01</v>
      </c>
      <c r="U406" s="9">
        <f t="shared" ca="1" si="73"/>
        <v>0.98999999999999488</v>
      </c>
      <c r="V406" s="7">
        <f t="shared" ca="1" si="74"/>
        <v>0</v>
      </c>
      <c r="W406" s="7">
        <f t="shared" ca="1" si="75"/>
        <v>0</v>
      </c>
      <c r="X406" s="5" t="str">
        <f t="shared" ca="1" si="83"/>
        <v>Facebook</v>
      </c>
      <c r="Y406" s="78">
        <f>IF(COUNTIF($C$1:C405,B405)=1,10,"")</f>
        <v>10</v>
      </c>
    </row>
    <row r="407" spans="1:25" x14ac:dyDescent="0.3">
      <c r="A407" s="76">
        <v>406</v>
      </c>
      <c r="B407" s="6">
        <v>46054</v>
      </c>
      <c r="C407" s="6">
        <v>46054</v>
      </c>
      <c r="D407" s="17" t="str">
        <f t="shared" si="76"/>
        <v>February</v>
      </c>
      <c r="E407" s="5" t="str">
        <f t="shared" ca="1" si="77"/>
        <v>STU-131</v>
      </c>
      <c r="F407" s="5" t="str">
        <f ca="1">IF(COUNTIF($E$2:E407,E407)=1,"New Customer","Returning Customer")</f>
        <v>New Customer</v>
      </c>
      <c r="G407" s="5" t="str">
        <f t="shared" ca="1" si="78"/>
        <v>Not specified</v>
      </c>
      <c r="H407" s="5" t="s">
        <v>141</v>
      </c>
      <c r="I407" s="5" t="str" cm="1">
        <f t="array" aca="1" ref="I407" ca="1">INDEX(Courses!$B$9:$B$16,RANDBETWEEN(1,8))</f>
        <v>Excel Basics</v>
      </c>
      <c r="J407" s="5" t="str">
        <f ca="1">VLOOKUP(I407,Courses!$B$9:$C$16,2,0)</f>
        <v>Microsoft Office</v>
      </c>
      <c r="K407" s="7">
        <f ca="1">VLOOKUP(I407,Courses!$B$9:$D$16,3,0)</f>
        <v>29</v>
      </c>
      <c r="L407" s="5" t="str">
        <f t="shared" ca="1" si="79"/>
        <v>Paid</v>
      </c>
      <c r="M407" s="8" t="str" cm="1">
        <f t="array" aca="1" ref="M407" ca="1">INDEX('Payment Method'!$A$8:$A$12,RANDBETWEEN(1,5))</f>
        <v>Visa Debit</v>
      </c>
      <c r="N407" s="7">
        <f>IFERROR(SUMIF(Holiday!$A$8:$A$11,B407,Holiday!$C$8:$C$11),0)</f>
        <v>0</v>
      </c>
      <c r="O407" s="7">
        <f t="shared" ca="1" si="80"/>
        <v>29</v>
      </c>
      <c r="P407" s="19">
        <f t="shared" ca="1" si="81"/>
        <v>28.42</v>
      </c>
      <c r="Q407" s="7">
        <f t="shared" ca="1" si="82"/>
        <v>0</v>
      </c>
      <c r="R407" s="8">
        <f ca="1">VLOOKUP(M407,'Payment Method'!$A$8:$B$12,2,0)</f>
        <v>0.02</v>
      </c>
      <c r="S407" s="9">
        <f t="shared" ca="1" si="72"/>
        <v>0.57999999999999829</v>
      </c>
      <c r="T407" s="8">
        <v>0.01</v>
      </c>
      <c r="U407" s="9">
        <f t="shared" ca="1" si="73"/>
        <v>0.28419999999999845</v>
      </c>
      <c r="V407" s="7">
        <f t="shared" ca="1" si="74"/>
        <v>0</v>
      </c>
      <c r="W407" s="7">
        <f t="shared" ca="1" si="75"/>
        <v>28.135800000000003</v>
      </c>
      <c r="X407" s="5" t="str">
        <f t="shared" ca="1" si="83"/>
        <v>Facebook</v>
      </c>
      <c r="Y407" s="78">
        <f>IF(COUNTIF($C$1:C406,B406)=1,10,"")</f>
        <v>10</v>
      </c>
    </row>
    <row r="408" spans="1:25" x14ac:dyDescent="0.3">
      <c r="A408" s="75">
        <v>407</v>
      </c>
      <c r="B408" s="6">
        <v>46158</v>
      </c>
      <c r="C408" s="6">
        <v>46161</v>
      </c>
      <c r="D408" s="17" t="str">
        <f t="shared" si="76"/>
        <v>May</v>
      </c>
      <c r="E408" s="5" t="str">
        <f t="shared" ca="1" si="77"/>
        <v>STU-273</v>
      </c>
      <c r="F408" s="5" t="str">
        <f ca="1">IF(COUNTIF($E$2:E408,E408)=1,"New Customer","Returning Customer")</f>
        <v>New Customer</v>
      </c>
      <c r="G408" s="5" t="str">
        <f t="shared" ca="1" si="78"/>
        <v>Female</v>
      </c>
      <c r="H408" s="5" t="s">
        <v>141</v>
      </c>
      <c r="I408" s="5" t="str" cm="1">
        <f t="array" aca="1" ref="I408" ca="1">INDEX(Courses!$B$9:$B$16,RANDBETWEEN(1,8))</f>
        <v>Adolescent Psychology</v>
      </c>
      <c r="J408" s="5" t="str">
        <f ca="1">VLOOKUP(I408,Courses!$B$9:$C$16,2,0)</f>
        <v>Psychology</v>
      </c>
      <c r="K408" s="7">
        <f ca="1">VLOOKUP(I408,Courses!$B$9:$D$16,3,0)</f>
        <v>29</v>
      </c>
      <c r="L408" s="5" t="str">
        <f t="shared" ca="1" si="79"/>
        <v>Paid</v>
      </c>
      <c r="M408" s="8" t="str" cm="1">
        <f t="array" aca="1" ref="M408" ca="1">INDEX('Payment Method'!$A$8:$A$12,RANDBETWEEN(1,5))</f>
        <v>Mastercard Credit</v>
      </c>
      <c r="N408" s="7">
        <f>IFERROR(SUMIF(Holiday!$A$8:$A$11,B408,Holiday!$C$8:$C$11),0)</f>
        <v>0</v>
      </c>
      <c r="O408" s="7">
        <f t="shared" ca="1" si="80"/>
        <v>29</v>
      </c>
      <c r="P408" s="19">
        <f t="shared" ca="1" si="81"/>
        <v>27.984999999999999</v>
      </c>
      <c r="Q408" s="7">
        <f t="shared" ca="1" si="82"/>
        <v>0</v>
      </c>
      <c r="R408" s="8">
        <f ca="1">VLOOKUP(M408,'Payment Method'!$A$8:$B$12,2,0)</f>
        <v>3.5000000000000003E-2</v>
      </c>
      <c r="S408" s="9">
        <f t="shared" ca="1" si="72"/>
        <v>1.0150000000000006</v>
      </c>
      <c r="T408" s="8">
        <v>0.01</v>
      </c>
      <c r="U408" s="9">
        <f t="shared" ca="1" si="73"/>
        <v>0.27984999999999971</v>
      </c>
      <c r="V408" s="7">
        <f t="shared" ca="1" si="74"/>
        <v>0</v>
      </c>
      <c r="W408" s="7">
        <f t="shared" ca="1" si="75"/>
        <v>27.70515</v>
      </c>
      <c r="X408" s="5" t="str">
        <f t="shared" ca="1" si="83"/>
        <v>Tiktok</v>
      </c>
      <c r="Y408" s="78" t="str">
        <f>IF(COUNTIF($C$1:C407,B407)=1,10,"")</f>
        <v/>
      </c>
    </row>
    <row r="409" spans="1:25" x14ac:dyDescent="0.3">
      <c r="A409" s="76">
        <v>408</v>
      </c>
      <c r="B409" s="6">
        <v>46206</v>
      </c>
      <c r="C409" s="6">
        <v>46208</v>
      </c>
      <c r="D409" s="17" t="str">
        <f t="shared" si="76"/>
        <v>July</v>
      </c>
      <c r="E409" s="5" t="str">
        <f t="shared" ca="1" si="77"/>
        <v>STU-539</v>
      </c>
      <c r="F409" s="5" t="str">
        <f ca="1">IF(COUNTIF($E$2:E409,E409)=1,"New Customer","Returning Customer")</f>
        <v>New Customer</v>
      </c>
      <c r="G409" s="5" t="str">
        <f t="shared" ca="1" si="78"/>
        <v>Male</v>
      </c>
      <c r="H409" s="5" t="s">
        <v>137</v>
      </c>
      <c r="I409" s="5" t="str" cm="1">
        <f t="array" aca="1" ref="I409" ca="1">INDEX(Courses!$B$9:$B$16,RANDBETWEEN(1,8))</f>
        <v>PowerPoint</v>
      </c>
      <c r="J409" s="5" t="str">
        <f ca="1">VLOOKUP(I409,Courses!$B$9:$C$16,2,0)</f>
        <v>Microsoft Office</v>
      </c>
      <c r="K409" s="7">
        <f ca="1">VLOOKUP(I409,Courses!$B$9:$D$16,3,0)</f>
        <v>29</v>
      </c>
      <c r="L409" s="5" t="str">
        <f t="shared" ca="1" si="79"/>
        <v>Paid</v>
      </c>
      <c r="M409" s="8" t="str" cm="1">
        <f t="array" aca="1" ref="M409" ca="1">INDEX('Payment Method'!$A$8:$A$12,RANDBETWEEN(1,5))</f>
        <v>Visa Credit</v>
      </c>
      <c r="N409" s="7">
        <f>IFERROR(SUMIF(Holiday!$A$8:$A$11,B409,Holiday!$C$8:$C$11),0)</f>
        <v>0</v>
      </c>
      <c r="O409" s="7">
        <f t="shared" ca="1" si="80"/>
        <v>29</v>
      </c>
      <c r="P409" s="19">
        <f t="shared" ca="1" si="81"/>
        <v>27.984999999999999</v>
      </c>
      <c r="Q409" s="7">
        <f t="shared" ca="1" si="82"/>
        <v>0</v>
      </c>
      <c r="R409" s="8">
        <f ca="1">VLOOKUP(M409,'Payment Method'!$A$8:$B$12,2,0)</f>
        <v>3.5000000000000003E-2</v>
      </c>
      <c r="S409" s="9">
        <f t="shared" ca="1" si="72"/>
        <v>1.0150000000000006</v>
      </c>
      <c r="T409" s="8">
        <v>0.01</v>
      </c>
      <c r="U409" s="9">
        <f t="shared" ca="1" si="73"/>
        <v>0.27984999999999971</v>
      </c>
      <c r="V409" s="7">
        <f t="shared" ca="1" si="74"/>
        <v>0</v>
      </c>
      <c r="W409" s="7">
        <f t="shared" ca="1" si="75"/>
        <v>27.70515</v>
      </c>
      <c r="X409" s="5" t="str">
        <f t="shared" ca="1" si="83"/>
        <v>Facebook</v>
      </c>
      <c r="Y409" s="78" t="str">
        <f>IF(COUNTIF($C$1:C408,B408)=1,10,"")</f>
        <v/>
      </c>
    </row>
    <row r="410" spans="1:25" x14ac:dyDescent="0.3">
      <c r="A410" s="75">
        <v>409</v>
      </c>
      <c r="B410" s="6">
        <v>46203</v>
      </c>
      <c r="C410" s="6">
        <v>46208</v>
      </c>
      <c r="D410" s="17" t="str">
        <f t="shared" si="76"/>
        <v>July</v>
      </c>
      <c r="E410" s="5" t="str">
        <f t="shared" ca="1" si="77"/>
        <v>STU-505</v>
      </c>
      <c r="F410" s="5" t="str">
        <f ca="1">IF(COUNTIF($E$2:E410,E410)=1,"New Customer","Returning Customer")</f>
        <v>Returning Customer</v>
      </c>
      <c r="G410" s="5" t="str">
        <f t="shared" ca="1" si="78"/>
        <v>Male</v>
      </c>
      <c r="H410" s="5" t="s">
        <v>136</v>
      </c>
      <c r="I410" s="5" t="str" cm="1">
        <f t="array" aca="1" ref="I410" ca="1">INDEX(Courses!$B$9:$B$16,RANDBETWEEN(1,8))</f>
        <v>Complete Excel Course</v>
      </c>
      <c r="J410" s="5" t="str">
        <f ca="1">VLOOKUP(I410,Courses!$B$9:$C$16,2,0)</f>
        <v>Microsoft Office</v>
      </c>
      <c r="K410" s="7">
        <f ca="1">VLOOKUP(I410,Courses!$B$9:$D$16,3,0)</f>
        <v>59</v>
      </c>
      <c r="L410" s="5" t="str">
        <f t="shared" ca="1" si="79"/>
        <v>Paid</v>
      </c>
      <c r="M410" s="8" t="str" cm="1">
        <f t="array" aca="1" ref="M410" ca="1">INDEX('Payment Method'!$A$8:$A$12,RANDBETWEEN(1,5))</f>
        <v>Visa Debit</v>
      </c>
      <c r="N410" s="7">
        <f>IFERROR(SUMIF(Holiday!$A$8:$A$11,B410,Holiday!$C$8:$C$11),0)</f>
        <v>0</v>
      </c>
      <c r="O410" s="7">
        <f t="shared" ca="1" si="80"/>
        <v>59</v>
      </c>
      <c r="P410" s="19">
        <f t="shared" ca="1" si="81"/>
        <v>57.82</v>
      </c>
      <c r="Q410" s="7">
        <f t="shared" ca="1" si="82"/>
        <v>0</v>
      </c>
      <c r="R410" s="8">
        <f ca="1">VLOOKUP(M410,'Payment Method'!$A$8:$B$12,2,0)</f>
        <v>0.02</v>
      </c>
      <c r="S410" s="9">
        <f t="shared" ca="1" si="72"/>
        <v>1.1799999999999997</v>
      </c>
      <c r="T410" s="8">
        <v>0.01</v>
      </c>
      <c r="U410" s="9">
        <f t="shared" ca="1" si="73"/>
        <v>0.57820000000000249</v>
      </c>
      <c r="V410" s="7">
        <f t="shared" ca="1" si="74"/>
        <v>0</v>
      </c>
      <c r="W410" s="7">
        <f t="shared" ca="1" si="75"/>
        <v>57.241799999999998</v>
      </c>
      <c r="X410" s="5" t="str">
        <f t="shared" ca="1" si="83"/>
        <v>Instagram</v>
      </c>
      <c r="Y410" s="78" t="str">
        <f>IF(COUNTIF($C$1:C409,B409)=1,10,"")</f>
        <v/>
      </c>
    </row>
    <row r="411" spans="1:25" x14ac:dyDescent="0.3">
      <c r="A411" s="76">
        <v>410</v>
      </c>
      <c r="B411" s="6">
        <v>46177</v>
      </c>
      <c r="C411" s="6">
        <v>46177</v>
      </c>
      <c r="D411" s="17" t="str">
        <f t="shared" si="76"/>
        <v>June</v>
      </c>
      <c r="E411" s="5" t="str">
        <f t="shared" ca="1" si="77"/>
        <v>STU-783</v>
      </c>
      <c r="F411" s="5" t="str">
        <f ca="1">IF(COUNTIF($E$2:E411,E411)=1,"New Customer","Returning Customer")</f>
        <v>New Customer</v>
      </c>
      <c r="G411" s="5" t="str">
        <f t="shared" ca="1" si="78"/>
        <v>Male</v>
      </c>
      <c r="H411" s="5" t="s">
        <v>140</v>
      </c>
      <c r="I411" s="5" t="str" cm="1">
        <f t="array" aca="1" ref="I411" ca="1">INDEX(Courses!$B$9:$B$16,RANDBETWEEN(1,8))</f>
        <v>Microsoft Word</v>
      </c>
      <c r="J411" s="5" t="str">
        <f ca="1">VLOOKUP(I411,Courses!$B$9:$C$16,2,0)</f>
        <v>Microsoft Office</v>
      </c>
      <c r="K411" s="7">
        <f ca="1">VLOOKUP(I411,Courses!$B$9:$D$16,3,0)</f>
        <v>29</v>
      </c>
      <c r="L411" s="5" t="str">
        <f t="shared" ca="1" si="79"/>
        <v>Paid</v>
      </c>
      <c r="M411" s="8" t="str" cm="1">
        <f t="array" aca="1" ref="M411" ca="1">INDEX('Payment Method'!$A$8:$A$12,RANDBETWEEN(1,5))</f>
        <v>Visa Credit</v>
      </c>
      <c r="N411" s="7">
        <f>IFERROR(SUMIF(Holiday!$A$8:$A$11,B411,Holiday!$C$8:$C$11),0)</f>
        <v>0</v>
      </c>
      <c r="O411" s="7">
        <f t="shared" ca="1" si="80"/>
        <v>29</v>
      </c>
      <c r="P411" s="19">
        <f t="shared" ca="1" si="81"/>
        <v>27.984999999999999</v>
      </c>
      <c r="Q411" s="7">
        <f t="shared" ca="1" si="82"/>
        <v>0</v>
      </c>
      <c r="R411" s="8">
        <f ca="1">VLOOKUP(M411,'Payment Method'!$A$8:$B$12,2,0)</f>
        <v>3.5000000000000003E-2</v>
      </c>
      <c r="S411" s="9">
        <f t="shared" ca="1" si="72"/>
        <v>1.0150000000000006</v>
      </c>
      <c r="T411" s="8">
        <v>0.01</v>
      </c>
      <c r="U411" s="9">
        <f t="shared" ca="1" si="73"/>
        <v>0.27984999999999971</v>
      </c>
      <c r="V411" s="7">
        <f t="shared" ca="1" si="74"/>
        <v>0</v>
      </c>
      <c r="W411" s="7">
        <f t="shared" ca="1" si="75"/>
        <v>27.70515</v>
      </c>
      <c r="X411" s="5" t="str">
        <f t="shared" ca="1" si="83"/>
        <v>Facebook</v>
      </c>
      <c r="Y411" s="78" t="str">
        <f>IF(COUNTIF($C$1:C410,B410)=1,10,"")</f>
        <v/>
      </c>
    </row>
    <row r="412" spans="1:25" x14ac:dyDescent="0.3">
      <c r="A412" s="75">
        <v>411</v>
      </c>
      <c r="B412" s="6">
        <v>46037</v>
      </c>
      <c r="C412" s="6">
        <v>46040</v>
      </c>
      <c r="D412" s="17" t="str">
        <f t="shared" si="76"/>
        <v>January</v>
      </c>
      <c r="E412" s="5" t="str">
        <f t="shared" ca="1" si="77"/>
        <v>STU-291</v>
      </c>
      <c r="F412" s="5" t="str">
        <f ca="1">IF(COUNTIF($E$2:E412,E412)=1,"New Customer","Returning Customer")</f>
        <v>Returning Customer</v>
      </c>
      <c r="G412" s="5" t="str">
        <f t="shared" ca="1" si="78"/>
        <v>Not specified</v>
      </c>
      <c r="H412" s="5" t="s">
        <v>136</v>
      </c>
      <c r="I412" s="5" t="str" cm="1">
        <f t="array" aca="1" ref="I412" ca="1">INDEX(Courses!$B$9:$B$16,RANDBETWEEN(1,8))</f>
        <v>SQL</v>
      </c>
      <c r="J412" s="5" t="str">
        <f ca="1">VLOOKUP(I412,Courses!$B$9:$C$16,2,0)</f>
        <v>Data Analytics</v>
      </c>
      <c r="K412" s="7">
        <f ca="1">VLOOKUP(I412,Courses!$B$9:$D$16,3,0)</f>
        <v>99</v>
      </c>
      <c r="L412" s="5" t="str">
        <f t="shared" ca="1" si="79"/>
        <v>Paid</v>
      </c>
      <c r="M412" s="8" t="str" cm="1">
        <f t="array" aca="1" ref="M412" ca="1">INDEX('Payment Method'!$A$8:$A$12,RANDBETWEEN(1,5))</f>
        <v>Visa Credit</v>
      </c>
      <c r="N412" s="7">
        <f>IFERROR(SUMIF(Holiday!$A$8:$A$11,B412,Holiday!$C$8:$C$11),0)</f>
        <v>0</v>
      </c>
      <c r="O412" s="7">
        <f t="shared" ca="1" si="80"/>
        <v>99</v>
      </c>
      <c r="P412" s="19">
        <f t="shared" ca="1" si="81"/>
        <v>95.534999999999997</v>
      </c>
      <c r="Q412" s="7">
        <f t="shared" ca="1" si="82"/>
        <v>0</v>
      </c>
      <c r="R412" s="8">
        <f ca="1">VLOOKUP(M412,'Payment Method'!$A$8:$B$12,2,0)</f>
        <v>3.5000000000000003E-2</v>
      </c>
      <c r="S412" s="9">
        <f t="shared" ca="1" si="72"/>
        <v>3.4650000000000034</v>
      </c>
      <c r="T412" s="8">
        <v>0.01</v>
      </c>
      <c r="U412" s="9">
        <f t="shared" ca="1" si="73"/>
        <v>0.9553499999999957</v>
      </c>
      <c r="V412" s="7">
        <f t="shared" ca="1" si="74"/>
        <v>0</v>
      </c>
      <c r="W412" s="7">
        <f t="shared" ca="1" si="75"/>
        <v>94.579650000000001</v>
      </c>
      <c r="X412" s="5" t="str">
        <f t="shared" ca="1" si="83"/>
        <v>Facebook</v>
      </c>
      <c r="Y412" s="78" t="str">
        <f>IF(COUNTIF($C$1:C411,B411)=1,10,"")</f>
        <v/>
      </c>
    </row>
    <row r="413" spans="1:25" x14ac:dyDescent="0.3">
      <c r="A413" s="76">
        <v>412</v>
      </c>
      <c r="B413" s="6">
        <v>46127</v>
      </c>
      <c r="C413" s="6">
        <v>46129</v>
      </c>
      <c r="D413" s="17" t="str">
        <f t="shared" si="76"/>
        <v>April</v>
      </c>
      <c r="E413" s="5" t="str">
        <f t="shared" ca="1" si="77"/>
        <v>STU-266</v>
      </c>
      <c r="F413" s="5" t="str">
        <f ca="1">IF(COUNTIF($E$2:E413,E413)=1,"New Customer","Returning Customer")</f>
        <v>Returning Customer</v>
      </c>
      <c r="G413" s="5" t="str">
        <f t="shared" ca="1" si="78"/>
        <v>Male</v>
      </c>
      <c r="H413" s="5" t="s">
        <v>140</v>
      </c>
      <c r="I413" s="5" t="str" cm="1">
        <f t="array" aca="1" ref="I413" ca="1">INDEX(Courses!$B$9:$B$16,RANDBETWEEN(1,8))</f>
        <v>Tax Code</v>
      </c>
      <c r="J413" s="5" t="str">
        <f ca="1">VLOOKUP(I413,Courses!$B$9:$C$16,2,0)</f>
        <v>Finance &amp; Taxation</v>
      </c>
      <c r="K413" s="7">
        <f ca="1">VLOOKUP(I413,Courses!$B$9:$D$16,3,0)</f>
        <v>59</v>
      </c>
      <c r="L413" s="5" t="str">
        <f t="shared" ca="1" si="79"/>
        <v>Paid</v>
      </c>
      <c r="M413" s="8" t="str" cm="1">
        <f t="array" aca="1" ref="M413" ca="1">INDEX('Payment Method'!$A$8:$A$12,RANDBETWEEN(1,5))</f>
        <v>Mastercard Debit</v>
      </c>
      <c r="N413" s="7">
        <f>IFERROR(SUMIF(Holiday!$A$8:$A$11,B413,Holiday!$C$8:$C$11),0)</f>
        <v>0</v>
      </c>
      <c r="O413" s="7">
        <f t="shared" ca="1" si="80"/>
        <v>59</v>
      </c>
      <c r="P413" s="19">
        <f t="shared" ca="1" si="81"/>
        <v>57.82</v>
      </c>
      <c r="Q413" s="7">
        <f t="shared" ca="1" si="82"/>
        <v>0</v>
      </c>
      <c r="R413" s="8">
        <f ca="1">VLOOKUP(M413,'Payment Method'!$A$8:$B$12,2,0)</f>
        <v>0.02</v>
      </c>
      <c r="S413" s="9">
        <f t="shared" ca="1" si="72"/>
        <v>1.1799999999999997</v>
      </c>
      <c r="T413" s="8">
        <v>0.01</v>
      </c>
      <c r="U413" s="9">
        <f t="shared" ca="1" si="73"/>
        <v>0.57820000000000249</v>
      </c>
      <c r="V413" s="7">
        <f t="shared" ca="1" si="74"/>
        <v>0</v>
      </c>
      <c r="W413" s="7">
        <f t="shared" ca="1" si="75"/>
        <v>57.241799999999998</v>
      </c>
      <c r="X413" s="5" t="str">
        <f t="shared" ca="1" si="83"/>
        <v>Facebook</v>
      </c>
      <c r="Y413" s="78">
        <f>IF(COUNTIF($C$1:C412,B412)=1,10,"")</f>
        <v>10</v>
      </c>
    </row>
    <row r="414" spans="1:25" x14ac:dyDescent="0.3">
      <c r="A414" s="75">
        <v>413</v>
      </c>
      <c r="B414" s="6">
        <v>46197</v>
      </c>
      <c r="C414" s="6">
        <v>46200</v>
      </c>
      <c r="D414" s="17" t="str">
        <f t="shared" si="76"/>
        <v>June</v>
      </c>
      <c r="E414" s="5" t="str">
        <f t="shared" ca="1" si="77"/>
        <v>STU-695</v>
      </c>
      <c r="F414" s="5" t="str">
        <f ca="1">IF(COUNTIF($E$2:E414,E414)=1,"New Customer","Returning Customer")</f>
        <v>Returning Customer</v>
      </c>
      <c r="G414" s="5" t="str">
        <f t="shared" ca="1" si="78"/>
        <v>Male</v>
      </c>
      <c r="H414" s="5" t="s">
        <v>135</v>
      </c>
      <c r="I414" s="5" t="str" cm="1">
        <f t="array" aca="1" ref="I414" ca="1">INDEX(Courses!$B$9:$B$16,RANDBETWEEN(1,8))</f>
        <v>PowerPoint</v>
      </c>
      <c r="J414" s="5" t="str">
        <f ca="1">VLOOKUP(I414,Courses!$B$9:$C$16,2,0)</f>
        <v>Microsoft Office</v>
      </c>
      <c r="K414" s="7">
        <f ca="1">VLOOKUP(I414,Courses!$B$9:$D$16,3,0)</f>
        <v>29</v>
      </c>
      <c r="L414" s="5" t="str">
        <f t="shared" ca="1" si="79"/>
        <v>Pending</v>
      </c>
      <c r="M414" s="8" t="str" cm="1">
        <f t="array" aca="1" ref="M414" ca="1">INDEX('Payment Method'!$A$8:$A$12,RANDBETWEEN(1,5))</f>
        <v>Mastercard Debit</v>
      </c>
      <c r="N414" s="7">
        <f>IFERROR(SUMIF(Holiday!$A$8:$A$11,B414,Holiday!$C$8:$C$11),0)</f>
        <v>0</v>
      </c>
      <c r="O414" s="7">
        <f t="shared" ca="1" si="80"/>
        <v>29</v>
      </c>
      <c r="P414" s="19">
        <f t="shared" ca="1" si="81"/>
        <v>28.42</v>
      </c>
      <c r="Q414" s="7">
        <f t="shared" ca="1" si="82"/>
        <v>28.135800000000003</v>
      </c>
      <c r="R414" s="8">
        <f ca="1">VLOOKUP(M414,'Payment Method'!$A$8:$B$12,2,0)</f>
        <v>0.02</v>
      </c>
      <c r="S414" s="9">
        <f t="shared" ca="1" si="72"/>
        <v>0.57999999999999829</v>
      </c>
      <c r="T414" s="8">
        <v>0.01</v>
      </c>
      <c r="U414" s="9">
        <f t="shared" ca="1" si="73"/>
        <v>0.28419999999999845</v>
      </c>
      <c r="V414" s="7">
        <f t="shared" ca="1" si="74"/>
        <v>0</v>
      </c>
      <c r="W414" s="7">
        <f t="shared" ca="1" si="75"/>
        <v>0</v>
      </c>
      <c r="X414" s="5" t="str">
        <f t="shared" ca="1" si="83"/>
        <v>Facebook</v>
      </c>
      <c r="Y414" s="78">
        <f>IF(COUNTIF($C$1:C413,B413)=1,10,"")</f>
        <v>10</v>
      </c>
    </row>
    <row r="415" spans="1:25" x14ac:dyDescent="0.3">
      <c r="A415" s="76">
        <v>414</v>
      </c>
      <c r="B415" s="6">
        <v>46181</v>
      </c>
      <c r="C415" s="6">
        <v>46184</v>
      </c>
      <c r="D415" s="17" t="str">
        <f t="shared" si="76"/>
        <v>June</v>
      </c>
      <c r="E415" s="5" t="str">
        <f t="shared" ca="1" si="77"/>
        <v>STU-732</v>
      </c>
      <c r="F415" s="5" t="str">
        <f ca="1">IF(COUNTIF($E$2:E415,E415)=1,"New Customer","Returning Customer")</f>
        <v>Returning Customer</v>
      </c>
      <c r="G415" s="5" t="str">
        <f t="shared" ca="1" si="78"/>
        <v>Male</v>
      </c>
      <c r="H415" s="5" t="s">
        <v>137</v>
      </c>
      <c r="I415" s="5" t="str" cm="1">
        <f t="array" aca="1" ref="I415" ca="1">INDEX(Courses!$B$9:$B$16,RANDBETWEEN(1,8))</f>
        <v>Adolescent Psychology</v>
      </c>
      <c r="J415" s="5" t="str">
        <f ca="1">VLOOKUP(I415,Courses!$B$9:$C$16,2,0)</f>
        <v>Psychology</v>
      </c>
      <c r="K415" s="7">
        <f ca="1">VLOOKUP(I415,Courses!$B$9:$D$16,3,0)</f>
        <v>29</v>
      </c>
      <c r="L415" s="5" t="str">
        <f t="shared" ca="1" si="79"/>
        <v>Paid</v>
      </c>
      <c r="M415" s="8" t="str" cm="1">
        <f t="array" aca="1" ref="M415" ca="1">INDEX('Payment Method'!$A$8:$A$12,RANDBETWEEN(1,5))</f>
        <v>Mastercard Debit</v>
      </c>
      <c r="N415" s="7">
        <f>IFERROR(SUMIF(Holiday!$A$8:$A$11,B415,Holiday!$C$8:$C$11),0)</f>
        <v>0</v>
      </c>
      <c r="O415" s="7">
        <f t="shared" ca="1" si="80"/>
        <v>29</v>
      </c>
      <c r="P415" s="19">
        <f t="shared" ca="1" si="81"/>
        <v>28.42</v>
      </c>
      <c r="Q415" s="7">
        <f t="shared" ca="1" si="82"/>
        <v>0</v>
      </c>
      <c r="R415" s="8">
        <f ca="1">VLOOKUP(M415,'Payment Method'!$A$8:$B$12,2,0)</f>
        <v>0.02</v>
      </c>
      <c r="S415" s="9">
        <f t="shared" ca="1" si="72"/>
        <v>0.57999999999999829</v>
      </c>
      <c r="T415" s="8">
        <v>0.01</v>
      </c>
      <c r="U415" s="9">
        <f t="shared" ca="1" si="73"/>
        <v>0.28419999999999845</v>
      </c>
      <c r="V415" s="7">
        <f t="shared" ca="1" si="74"/>
        <v>0</v>
      </c>
      <c r="W415" s="7">
        <f t="shared" ca="1" si="75"/>
        <v>28.135800000000003</v>
      </c>
      <c r="X415" s="5" t="str">
        <f t="shared" ca="1" si="83"/>
        <v>Facebook</v>
      </c>
      <c r="Y415" s="78" t="str">
        <f>IF(COUNTIF($C$1:C414,B414)=1,10,"")</f>
        <v/>
      </c>
    </row>
    <row r="416" spans="1:25" x14ac:dyDescent="0.3">
      <c r="A416" s="75">
        <v>415</v>
      </c>
      <c r="B416" s="6">
        <v>46118</v>
      </c>
      <c r="C416" s="6">
        <v>46118</v>
      </c>
      <c r="D416" s="17" t="str">
        <f t="shared" si="76"/>
        <v>April</v>
      </c>
      <c r="E416" s="5" t="str">
        <f t="shared" ca="1" si="77"/>
        <v>STU-501</v>
      </c>
      <c r="F416" s="5" t="str">
        <f ca="1">IF(COUNTIF($E$2:E416,E416)=1,"New Customer","Returning Customer")</f>
        <v>Returning Customer</v>
      </c>
      <c r="G416" s="5" t="str">
        <f t="shared" ca="1" si="78"/>
        <v>Male</v>
      </c>
      <c r="H416" s="5" t="s">
        <v>138</v>
      </c>
      <c r="I416" s="5" t="str" cm="1">
        <f t="array" aca="1" ref="I416" ca="1">INDEX(Courses!$B$9:$B$16,RANDBETWEEN(1,8))</f>
        <v>SQL</v>
      </c>
      <c r="J416" s="5" t="str">
        <f ca="1">VLOOKUP(I416,Courses!$B$9:$C$16,2,0)</f>
        <v>Data Analytics</v>
      </c>
      <c r="K416" s="7">
        <f ca="1">VLOOKUP(I416,Courses!$B$9:$D$16,3,0)</f>
        <v>99</v>
      </c>
      <c r="L416" s="5" t="str">
        <f t="shared" ca="1" si="79"/>
        <v>Paid</v>
      </c>
      <c r="M416" s="8" t="str" cm="1">
        <f t="array" aca="1" ref="M416" ca="1">INDEX('Payment Method'!$A$8:$A$12,RANDBETWEEN(1,5))</f>
        <v>Bank Transfer</v>
      </c>
      <c r="N416" s="7">
        <f>IFERROR(SUMIF(Holiday!$A$8:$A$11,B416,Holiday!$C$8:$C$11),0)</f>
        <v>0</v>
      </c>
      <c r="O416" s="7">
        <f t="shared" ca="1" si="80"/>
        <v>99</v>
      </c>
      <c r="P416" s="19">
        <f t="shared" ca="1" si="81"/>
        <v>99</v>
      </c>
      <c r="Q416" s="7">
        <f t="shared" ca="1" si="82"/>
        <v>0</v>
      </c>
      <c r="R416" s="8">
        <f ca="1">VLOOKUP(M416,'Payment Method'!$A$8:$B$12,2,0)</f>
        <v>0</v>
      </c>
      <c r="S416" s="9">
        <f t="shared" ca="1" si="72"/>
        <v>0</v>
      </c>
      <c r="T416" s="8">
        <v>0.01</v>
      </c>
      <c r="U416" s="9">
        <f t="shared" ca="1" si="73"/>
        <v>0.98999999999999488</v>
      </c>
      <c r="V416" s="7">
        <f t="shared" ca="1" si="74"/>
        <v>0</v>
      </c>
      <c r="W416" s="7">
        <f t="shared" ca="1" si="75"/>
        <v>98.01</v>
      </c>
      <c r="X416" s="5" t="str">
        <f t="shared" ca="1" si="83"/>
        <v>Instagram</v>
      </c>
      <c r="Y416" s="78" t="str">
        <f>IF(COUNTIF($C$1:C415,B415)=1,10,"")</f>
        <v/>
      </c>
    </row>
    <row r="417" spans="1:25" x14ac:dyDescent="0.3">
      <c r="A417" s="76">
        <v>416</v>
      </c>
      <c r="B417" s="6">
        <v>46149</v>
      </c>
      <c r="C417" s="6">
        <v>46151</v>
      </c>
      <c r="D417" s="17" t="str">
        <f t="shared" si="76"/>
        <v>May</v>
      </c>
      <c r="E417" s="5" t="str">
        <f t="shared" ca="1" si="77"/>
        <v>STU-733</v>
      </c>
      <c r="F417" s="5" t="str">
        <f ca="1">IF(COUNTIF($E$2:E417,E417)=1,"New Customer","Returning Customer")</f>
        <v>Returning Customer</v>
      </c>
      <c r="G417" s="5" t="str">
        <f t="shared" ca="1" si="78"/>
        <v>Female</v>
      </c>
      <c r="H417" s="5" t="s">
        <v>141</v>
      </c>
      <c r="I417" s="5" t="str" cm="1">
        <f t="array" aca="1" ref="I417" ca="1">INDEX(Courses!$B$9:$B$16,RANDBETWEEN(1,8))</f>
        <v>PowerPoint</v>
      </c>
      <c r="J417" s="5" t="str">
        <f ca="1">VLOOKUP(I417,Courses!$B$9:$C$16,2,0)</f>
        <v>Microsoft Office</v>
      </c>
      <c r="K417" s="7">
        <f ca="1">VLOOKUP(I417,Courses!$B$9:$D$16,3,0)</f>
        <v>29</v>
      </c>
      <c r="L417" s="5" t="str">
        <f t="shared" ca="1" si="79"/>
        <v>Paid</v>
      </c>
      <c r="M417" s="8" t="str" cm="1">
        <f t="array" aca="1" ref="M417" ca="1">INDEX('Payment Method'!$A$8:$A$12,RANDBETWEEN(1,5))</f>
        <v>Visa Debit</v>
      </c>
      <c r="N417" s="7">
        <f>IFERROR(SUMIF(Holiday!$A$8:$A$11,B417,Holiday!$C$8:$C$11),0)</f>
        <v>0</v>
      </c>
      <c r="O417" s="7">
        <f t="shared" ca="1" si="80"/>
        <v>29</v>
      </c>
      <c r="P417" s="19">
        <f t="shared" ca="1" si="81"/>
        <v>28.42</v>
      </c>
      <c r="Q417" s="7">
        <f t="shared" ca="1" si="82"/>
        <v>0</v>
      </c>
      <c r="R417" s="8">
        <f ca="1">VLOOKUP(M417,'Payment Method'!$A$8:$B$12,2,0)</f>
        <v>0.02</v>
      </c>
      <c r="S417" s="9">
        <f t="shared" ca="1" si="72"/>
        <v>0.57999999999999829</v>
      </c>
      <c r="T417" s="8">
        <v>0.01</v>
      </c>
      <c r="U417" s="9">
        <f t="shared" ca="1" si="73"/>
        <v>0.28419999999999845</v>
      </c>
      <c r="V417" s="7">
        <f t="shared" ca="1" si="74"/>
        <v>0</v>
      </c>
      <c r="W417" s="7">
        <f t="shared" ca="1" si="75"/>
        <v>28.135800000000003</v>
      </c>
      <c r="X417" s="5" t="str">
        <f t="shared" ca="1" si="83"/>
        <v>Tiktok</v>
      </c>
      <c r="Y417" s="78" t="str">
        <f>IF(COUNTIF($C$1:C416,B416)=1,10,"")</f>
        <v/>
      </c>
    </row>
    <row r="418" spans="1:25" x14ac:dyDescent="0.3">
      <c r="A418" s="75">
        <v>417</v>
      </c>
      <c r="B418" s="6">
        <v>46138</v>
      </c>
      <c r="C418" s="6">
        <v>46143</v>
      </c>
      <c r="D418" s="17" t="str">
        <f t="shared" si="76"/>
        <v>May</v>
      </c>
      <c r="E418" s="5" t="str">
        <f t="shared" ca="1" si="77"/>
        <v>STU-648</v>
      </c>
      <c r="F418" s="5" t="str">
        <f ca="1">IF(COUNTIF($E$2:E418,E418)=1,"New Customer","Returning Customer")</f>
        <v>New Customer</v>
      </c>
      <c r="G418" s="5" t="str">
        <f t="shared" ca="1" si="78"/>
        <v>Female</v>
      </c>
      <c r="H418" s="5" t="s">
        <v>140</v>
      </c>
      <c r="I418" s="5" t="str" cm="1">
        <f t="array" aca="1" ref="I418" ca="1">INDEX(Courses!$B$9:$B$16,RANDBETWEEN(1,8))</f>
        <v>PowerPoint</v>
      </c>
      <c r="J418" s="5" t="str">
        <f ca="1">VLOOKUP(I418,Courses!$B$9:$C$16,2,0)</f>
        <v>Microsoft Office</v>
      </c>
      <c r="K418" s="7">
        <f ca="1">VLOOKUP(I418,Courses!$B$9:$D$16,3,0)</f>
        <v>29</v>
      </c>
      <c r="L418" s="5" t="str">
        <f t="shared" ca="1" si="79"/>
        <v>Paid</v>
      </c>
      <c r="M418" s="8" t="str" cm="1">
        <f t="array" aca="1" ref="M418" ca="1">INDEX('Payment Method'!$A$8:$A$12,RANDBETWEEN(1,5))</f>
        <v>Visa Debit</v>
      </c>
      <c r="N418" s="7">
        <f>IFERROR(SUMIF(Holiday!$A$8:$A$11,B418,Holiday!$C$8:$C$11),0)</f>
        <v>0</v>
      </c>
      <c r="O418" s="7">
        <f t="shared" ca="1" si="80"/>
        <v>29</v>
      </c>
      <c r="P418" s="19">
        <f t="shared" ca="1" si="81"/>
        <v>28.42</v>
      </c>
      <c r="Q418" s="7">
        <f t="shared" ca="1" si="82"/>
        <v>0</v>
      </c>
      <c r="R418" s="8">
        <f ca="1">VLOOKUP(M418,'Payment Method'!$A$8:$B$12,2,0)</f>
        <v>0.02</v>
      </c>
      <c r="S418" s="9">
        <f t="shared" ca="1" si="72"/>
        <v>0.57999999999999829</v>
      </c>
      <c r="T418" s="8">
        <v>0.01</v>
      </c>
      <c r="U418" s="9">
        <f t="shared" ca="1" si="73"/>
        <v>0.28419999999999845</v>
      </c>
      <c r="V418" s="7">
        <f t="shared" ca="1" si="74"/>
        <v>0</v>
      </c>
      <c r="W418" s="7">
        <f t="shared" ca="1" si="75"/>
        <v>28.135800000000003</v>
      </c>
      <c r="X418" s="5" t="str">
        <f t="shared" ca="1" si="83"/>
        <v>Facebook</v>
      </c>
      <c r="Y418" s="78" t="str">
        <f>IF(COUNTIF($C$1:C417,B417)=1,10,"")</f>
        <v/>
      </c>
    </row>
    <row r="419" spans="1:25" x14ac:dyDescent="0.3">
      <c r="A419" s="76">
        <v>418</v>
      </c>
      <c r="B419" s="6">
        <v>46169</v>
      </c>
      <c r="C419" s="6">
        <v>46171</v>
      </c>
      <c r="D419" s="17" t="str">
        <f t="shared" si="76"/>
        <v>May</v>
      </c>
      <c r="E419" s="5" t="str">
        <f t="shared" ca="1" si="77"/>
        <v>STU-955</v>
      </c>
      <c r="F419" s="5" t="str">
        <f ca="1">IF(COUNTIF($E$2:E419,E419)=1,"New Customer","Returning Customer")</f>
        <v>New Customer</v>
      </c>
      <c r="G419" s="5" t="str">
        <f t="shared" ca="1" si="78"/>
        <v>Male</v>
      </c>
      <c r="H419" s="5" t="s">
        <v>136</v>
      </c>
      <c r="I419" s="5" t="str" cm="1">
        <f t="array" aca="1" ref="I419" ca="1">INDEX(Courses!$B$9:$B$16,RANDBETWEEN(1,8))</f>
        <v>PowerPoint</v>
      </c>
      <c r="J419" s="5" t="str">
        <f ca="1">VLOOKUP(I419,Courses!$B$9:$C$16,2,0)</f>
        <v>Microsoft Office</v>
      </c>
      <c r="K419" s="7">
        <f ca="1">VLOOKUP(I419,Courses!$B$9:$D$16,3,0)</f>
        <v>29</v>
      </c>
      <c r="L419" s="5" t="str">
        <f t="shared" ca="1" si="79"/>
        <v>Refunded</v>
      </c>
      <c r="M419" s="8" t="str" cm="1">
        <f t="array" aca="1" ref="M419" ca="1">INDEX('Payment Method'!$A$8:$A$12,RANDBETWEEN(1,5))</f>
        <v>Mastercard Credit</v>
      </c>
      <c r="N419" s="7">
        <f>IFERROR(SUMIF(Holiday!$A$8:$A$11,B419,Holiday!$C$8:$C$11),0)</f>
        <v>0</v>
      </c>
      <c r="O419" s="7">
        <f t="shared" ca="1" si="80"/>
        <v>29</v>
      </c>
      <c r="P419" s="19">
        <f t="shared" ca="1" si="81"/>
        <v>27.984999999999999</v>
      </c>
      <c r="Q419" s="7">
        <f t="shared" ca="1" si="82"/>
        <v>0</v>
      </c>
      <c r="R419" s="8">
        <f ca="1">VLOOKUP(M419,'Payment Method'!$A$8:$B$12,2,0)</f>
        <v>3.5000000000000003E-2</v>
      </c>
      <c r="S419" s="9">
        <f t="shared" ca="1" si="72"/>
        <v>1.0150000000000006</v>
      </c>
      <c r="T419" s="8">
        <v>0.01</v>
      </c>
      <c r="U419" s="9">
        <f t="shared" ca="1" si="73"/>
        <v>0.27984999999999971</v>
      </c>
      <c r="V419" s="7">
        <f t="shared" ca="1" si="74"/>
        <v>27.70515</v>
      </c>
      <c r="W419" s="7">
        <f t="shared" ca="1" si="75"/>
        <v>0</v>
      </c>
      <c r="X419" s="5" t="str">
        <f t="shared" ca="1" si="83"/>
        <v>Tiktok</v>
      </c>
      <c r="Y419" s="78" t="str">
        <f>IF(COUNTIF($C$1:C418,B418)=1,10,"")</f>
        <v/>
      </c>
    </row>
    <row r="420" spans="1:25" x14ac:dyDescent="0.3">
      <c r="A420" s="75">
        <v>419</v>
      </c>
      <c r="B420" s="6">
        <v>46229</v>
      </c>
      <c r="C420" s="6">
        <v>46230</v>
      </c>
      <c r="D420" s="17" t="str">
        <f t="shared" si="76"/>
        <v>July</v>
      </c>
      <c r="E420" s="5" t="str">
        <f t="shared" ca="1" si="77"/>
        <v>STU-152</v>
      </c>
      <c r="F420" s="5" t="str">
        <f ca="1">IF(COUNTIF($E$2:E420,E420)=1,"New Customer","Returning Customer")</f>
        <v>New Customer</v>
      </c>
      <c r="G420" s="5" t="str">
        <f t="shared" ca="1" si="78"/>
        <v>Not specified</v>
      </c>
      <c r="H420" s="5" t="s">
        <v>140</v>
      </c>
      <c r="I420" s="5" t="str" cm="1">
        <f t="array" aca="1" ref="I420" ca="1">INDEX(Courses!$B$9:$B$16,RANDBETWEEN(1,8))</f>
        <v>PowerPoint</v>
      </c>
      <c r="J420" s="5" t="str">
        <f ca="1">VLOOKUP(I420,Courses!$B$9:$C$16,2,0)</f>
        <v>Microsoft Office</v>
      </c>
      <c r="K420" s="7">
        <f ca="1">VLOOKUP(I420,Courses!$B$9:$D$16,3,0)</f>
        <v>29</v>
      </c>
      <c r="L420" s="5" t="str">
        <f t="shared" ca="1" si="79"/>
        <v>Pending</v>
      </c>
      <c r="M420" s="8" t="str" cm="1">
        <f t="array" aca="1" ref="M420" ca="1">INDEX('Payment Method'!$A$8:$A$12,RANDBETWEEN(1,5))</f>
        <v>Mastercard Debit</v>
      </c>
      <c r="N420" s="7">
        <f>IFERROR(SUMIF(Holiday!$A$8:$A$11,B420,Holiday!$C$8:$C$11),0)</f>
        <v>0</v>
      </c>
      <c r="O420" s="7">
        <f t="shared" ca="1" si="80"/>
        <v>29</v>
      </c>
      <c r="P420" s="19">
        <f t="shared" ca="1" si="81"/>
        <v>28.42</v>
      </c>
      <c r="Q420" s="7">
        <f t="shared" ca="1" si="82"/>
        <v>28.135800000000003</v>
      </c>
      <c r="R420" s="8">
        <f ca="1">VLOOKUP(M420,'Payment Method'!$A$8:$B$12,2,0)</f>
        <v>0.02</v>
      </c>
      <c r="S420" s="9">
        <f t="shared" ca="1" si="72"/>
        <v>0.57999999999999829</v>
      </c>
      <c r="T420" s="8">
        <v>0.01</v>
      </c>
      <c r="U420" s="9">
        <f t="shared" ca="1" si="73"/>
        <v>0.28419999999999845</v>
      </c>
      <c r="V420" s="7">
        <f t="shared" ca="1" si="74"/>
        <v>0</v>
      </c>
      <c r="W420" s="7">
        <f t="shared" ca="1" si="75"/>
        <v>0</v>
      </c>
      <c r="X420" s="5" t="str">
        <f t="shared" ca="1" si="83"/>
        <v>Facebook</v>
      </c>
      <c r="Y420" s="78" t="str">
        <f>IF(COUNTIF($C$1:C419,B419)=1,10,"")</f>
        <v/>
      </c>
    </row>
    <row r="421" spans="1:25" x14ac:dyDescent="0.3">
      <c r="A421" s="76">
        <v>420</v>
      </c>
      <c r="B421" s="6">
        <v>46133</v>
      </c>
      <c r="C421" s="6">
        <v>46136</v>
      </c>
      <c r="D421" s="17" t="str">
        <f t="shared" si="76"/>
        <v>April</v>
      </c>
      <c r="E421" s="5" t="str">
        <f t="shared" ca="1" si="77"/>
        <v>STU-675</v>
      </c>
      <c r="F421" s="5" t="str">
        <f ca="1">IF(COUNTIF($E$2:E421,E421)=1,"New Customer","Returning Customer")</f>
        <v>New Customer</v>
      </c>
      <c r="G421" s="5" t="str">
        <f t="shared" ca="1" si="78"/>
        <v>Not specified</v>
      </c>
      <c r="H421" s="5" t="s">
        <v>142</v>
      </c>
      <c r="I421" s="5" t="str" cm="1">
        <f t="array" aca="1" ref="I421" ca="1">INDEX(Courses!$B$9:$B$16,RANDBETWEEN(1,8))</f>
        <v>Adolescent Psychology</v>
      </c>
      <c r="J421" s="5" t="str">
        <f ca="1">VLOOKUP(I421,Courses!$B$9:$C$16,2,0)</f>
        <v>Psychology</v>
      </c>
      <c r="K421" s="7">
        <f ca="1">VLOOKUP(I421,Courses!$B$9:$D$16,3,0)</f>
        <v>29</v>
      </c>
      <c r="L421" s="5" t="str">
        <f t="shared" ca="1" si="79"/>
        <v>Paid</v>
      </c>
      <c r="M421" s="8" t="str" cm="1">
        <f t="array" aca="1" ref="M421" ca="1">INDEX('Payment Method'!$A$8:$A$12,RANDBETWEEN(1,5))</f>
        <v>Visa Debit</v>
      </c>
      <c r="N421" s="7">
        <f>IFERROR(SUMIF(Holiday!$A$8:$A$11,B421,Holiday!$C$8:$C$11),0)</f>
        <v>0</v>
      </c>
      <c r="O421" s="7">
        <f t="shared" ca="1" si="80"/>
        <v>29</v>
      </c>
      <c r="P421" s="19">
        <f t="shared" ca="1" si="81"/>
        <v>28.42</v>
      </c>
      <c r="Q421" s="7">
        <f t="shared" ca="1" si="82"/>
        <v>0</v>
      </c>
      <c r="R421" s="8">
        <f ca="1">VLOOKUP(M421,'Payment Method'!$A$8:$B$12,2,0)</f>
        <v>0.02</v>
      </c>
      <c r="S421" s="9">
        <f t="shared" ca="1" si="72"/>
        <v>0.57999999999999829</v>
      </c>
      <c r="T421" s="8">
        <v>0.01</v>
      </c>
      <c r="U421" s="9">
        <f t="shared" ca="1" si="73"/>
        <v>0.28419999999999845</v>
      </c>
      <c r="V421" s="7">
        <f t="shared" ca="1" si="74"/>
        <v>0</v>
      </c>
      <c r="W421" s="7">
        <f t="shared" ca="1" si="75"/>
        <v>28.135800000000003</v>
      </c>
      <c r="X421" s="5" t="str">
        <f t="shared" ca="1" si="83"/>
        <v>Facebook</v>
      </c>
      <c r="Y421" s="78" t="str">
        <f>IF(COUNTIF($C$1:C420,B420)=1,10,"")</f>
        <v/>
      </c>
    </row>
    <row r="422" spans="1:25" x14ac:dyDescent="0.3">
      <c r="A422" s="75">
        <v>421</v>
      </c>
      <c r="B422" s="6">
        <v>46133</v>
      </c>
      <c r="C422" s="6">
        <v>46136</v>
      </c>
      <c r="D422" s="17" t="str">
        <f t="shared" si="76"/>
        <v>April</v>
      </c>
      <c r="E422" s="5" t="str">
        <f t="shared" ca="1" si="77"/>
        <v>STU-863</v>
      </c>
      <c r="F422" s="5" t="str">
        <f ca="1">IF(COUNTIF($E$2:E422,E422)=1,"New Customer","Returning Customer")</f>
        <v>Returning Customer</v>
      </c>
      <c r="G422" s="5" t="str">
        <f t="shared" ca="1" si="78"/>
        <v>Male</v>
      </c>
      <c r="H422" s="5" t="s">
        <v>139</v>
      </c>
      <c r="I422" s="5" t="str" cm="1">
        <f t="array" aca="1" ref="I422" ca="1">INDEX(Courses!$B$9:$B$16,RANDBETWEEN(1,8))</f>
        <v>Complete Excel Course</v>
      </c>
      <c r="J422" s="5" t="str">
        <f ca="1">VLOOKUP(I422,Courses!$B$9:$C$16,2,0)</f>
        <v>Microsoft Office</v>
      </c>
      <c r="K422" s="7">
        <f ca="1">VLOOKUP(I422,Courses!$B$9:$D$16,3,0)</f>
        <v>59</v>
      </c>
      <c r="L422" s="5" t="str">
        <f t="shared" ca="1" si="79"/>
        <v>Paid</v>
      </c>
      <c r="M422" s="8" t="str" cm="1">
        <f t="array" aca="1" ref="M422" ca="1">INDEX('Payment Method'!$A$8:$A$12,RANDBETWEEN(1,5))</f>
        <v>Bank Transfer</v>
      </c>
      <c r="N422" s="7">
        <f>IFERROR(SUMIF(Holiday!$A$8:$A$11,B422,Holiday!$C$8:$C$11),0)</f>
        <v>0</v>
      </c>
      <c r="O422" s="7">
        <f t="shared" ca="1" si="80"/>
        <v>59</v>
      </c>
      <c r="P422" s="19">
        <f t="shared" ca="1" si="81"/>
        <v>59</v>
      </c>
      <c r="Q422" s="7">
        <f t="shared" ca="1" si="82"/>
        <v>0</v>
      </c>
      <c r="R422" s="8">
        <f ca="1">VLOOKUP(M422,'Payment Method'!$A$8:$B$12,2,0)</f>
        <v>0</v>
      </c>
      <c r="S422" s="9">
        <f t="shared" ca="1" si="72"/>
        <v>0</v>
      </c>
      <c r="T422" s="8">
        <v>0.01</v>
      </c>
      <c r="U422" s="9">
        <f t="shared" ca="1" si="73"/>
        <v>0.59000000000000341</v>
      </c>
      <c r="V422" s="7">
        <f t="shared" ca="1" si="74"/>
        <v>0</v>
      </c>
      <c r="W422" s="7">
        <f t="shared" ca="1" si="75"/>
        <v>58.41</v>
      </c>
      <c r="X422" s="5" t="str">
        <f t="shared" ca="1" si="83"/>
        <v>Tiktok</v>
      </c>
      <c r="Y422" s="78" t="str">
        <f>IF(COUNTIF($C$1:C421,B421)=1,10,"")</f>
        <v/>
      </c>
    </row>
    <row r="423" spans="1:25" x14ac:dyDescent="0.3">
      <c r="A423" s="76">
        <v>422</v>
      </c>
      <c r="B423" s="6">
        <v>46140</v>
      </c>
      <c r="C423" s="6">
        <v>46145</v>
      </c>
      <c r="D423" s="17" t="str">
        <f t="shared" si="76"/>
        <v>May</v>
      </c>
      <c r="E423" s="5" t="str">
        <f t="shared" ca="1" si="77"/>
        <v>STU-204</v>
      </c>
      <c r="F423" s="5" t="str">
        <f ca="1">IF(COUNTIF($E$2:E423,E423)=1,"New Customer","Returning Customer")</f>
        <v>New Customer</v>
      </c>
      <c r="G423" s="5" t="str">
        <f t="shared" ca="1" si="78"/>
        <v>Not specified</v>
      </c>
      <c r="H423" s="5" t="s">
        <v>137</v>
      </c>
      <c r="I423" s="5" t="str" cm="1">
        <f t="array" aca="1" ref="I423" ca="1">INDEX(Courses!$B$9:$B$16,RANDBETWEEN(1,8))</f>
        <v>Excel Basics</v>
      </c>
      <c r="J423" s="5" t="str">
        <f ca="1">VLOOKUP(I423,Courses!$B$9:$C$16,2,0)</f>
        <v>Microsoft Office</v>
      </c>
      <c r="K423" s="7">
        <f ca="1">VLOOKUP(I423,Courses!$B$9:$D$16,3,0)</f>
        <v>29</v>
      </c>
      <c r="L423" s="5" t="str">
        <f t="shared" ca="1" si="79"/>
        <v>Pending</v>
      </c>
      <c r="M423" s="8" t="str" cm="1">
        <f t="array" aca="1" ref="M423" ca="1">INDEX('Payment Method'!$A$8:$A$12,RANDBETWEEN(1,5))</f>
        <v>Bank Transfer</v>
      </c>
      <c r="N423" s="7">
        <f>IFERROR(SUMIF(Holiday!$A$8:$A$11,B423,Holiday!$C$8:$C$11),0)</f>
        <v>0</v>
      </c>
      <c r="O423" s="7">
        <f t="shared" ca="1" si="80"/>
        <v>29</v>
      </c>
      <c r="P423" s="19">
        <f t="shared" ca="1" si="81"/>
        <v>29</v>
      </c>
      <c r="Q423" s="7">
        <f t="shared" ca="1" si="82"/>
        <v>28.71</v>
      </c>
      <c r="R423" s="8">
        <f ca="1">VLOOKUP(M423,'Payment Method'!$A$8:$B$12,2,0)</f>
        <v>0</v>
      </c>
      <c r="S423" s="9">
        <f t="shared" ca="1" si="72"/>
        <v>0</v>
      </c>
      <c r="T423" s="8">
        <v>0.01</v>
      </c>
      <c r="U423" s="9">
        <f t="shared" ca="1" si="73"/>
        <v>0.28999999999999915</v>
      </c>
      <c r="V423" s="7">
        <f t="shared" ca="1" si="74"/>
        <v>0</v>
      </c>
      <c r="W423" s="7">
        <f t="shared" ca="1" si="75"/>
        <v>0</v>
      </c>
      <c r="X423" s="5" t="str">
        <f t="shared" ca="1" si="83"/>
        <v>Instagram</v>
      </c>
      <c r="Y423" s="78" t="str">
        <f>IF(COUNTIF($C$1:C422,B422)=1,10,"")</f>
        <v/>
      </c>
    </row>
    <row r="424" spans="1:25" x14ac:dyDescent="0.3">
      <c r="A424" s="75">
        <v>423</v>
      </c>
      <c r="B424" s="6">
        <v>46160</v>
      </c>
      <c r="C424" s="6">
        <v>46165</v>
      </c>
      <c r="D424" s="17" t="str">
        <f t="shared" si="76"/>
        <v>May</v>
      </c>
      <c r="E424" s="5" t="str">
        <f t="shared" ca="1" si="77"/>
        <v>STU-322</v>
      </c>
      <c r="F424" s="5" t="str">
        <f ca="1">IF(COUNTIF($E$2:E424,E424)=1,"New Customer","Returning Customer")</f>
        <v>New Customer</v>
      </c>
      <c r="G424" s="5" t="str">
        <f t="shared" ca="1" si="78"/>
        <v>Female</v>
      </c>
      <c r="H424" s="5" t="s">
        <v>138</v>
      </c>
      <c r="I424" s="5" t="str" cm="1">
        <f t="array" aca="1" ref="I424" ca="1">INDEX(Courses!$B$9:$B$16,RANDBETWEEN(1,8))</f>
        <v>Excel Basics</v>
      </c>
      <c r="J424" s="5" t="str">
        <f ca="1">VLOOKUP(I424,Courses!$B$9:$C$16,2,0)</f>
        <v>Microsoft Office</v>
      </c>
      <c r="K424" s="7">
        <f ca="1">VLOOKUP(I424,Courses!$B$9:$D$16,3,0)</f>
        <v>29</v>
      </c>
      <c r="L424" s="5" t="str">
        <f t="shared" ca="1" si="79"/>
        <v>Paid</v>
      </c>
      <c r="M424" s="8" t="str" cm="1">
        <f t="array" aca="1" ref="M424" ca="1">INDEX('Payment Method'!$A$8:$A$12,RANDBETWEEN(1,5))</f>
        <v>Visa Debit</v>
      </c>
      <c r="N424" s="7">
        <f>IFERROR(SUMIF(Holiday!$A$8:$A$11,B424,Holiday!$C$8:$C$11),0)</f>
        <v>0</v>
      </c>
      <c r="O424" s="7">
        <f t="shared" ca="1" si="80"/>
        <v>29</v>
      </c>
      <c r="P424" s="19">
        <f t="shared" ca="1" si="81"/>
        <v>28.42</v>
      </c>
      <c r="Q424" s="7">
        <f t="shared" ca="1" si="82"/>
        <v>0</v>
      </c>
      <c r="R424" s="8">
        <f ca="1">VLOOKUP(M424,'Payment Method'!$A$8:$B$12,2,0)</f>
        <v>0.02</v>
      </c>
      <c r="S424" s="9">
        <f t="shared" ca="1" si="72"/>
        <v>0.57999999999999829</v>
      </c>
      <c r="T424" s="8">
        <v>0.01</v>
      </c>
      <c r="U424" s="9">
        <f t="shared" ca="1" si="73"/>
        <v>0.28419999999999845</v>
      </c>
      <c r="V424" s="7">
        <f t="shared" ca="1" si="74"/>
        <v>0</v>
      </c>
      <c r="W424" s="7">
        <f t="shared" ca="1" si="75"/>
        <v>28.135800000000003</v>
      </c>
      <c r="X424" s="5" t="str">
        <f t="shared" ca="1" si="83"/>
        <v>Tiktok</v>
      </c>
      <c r="Y424" s="78">
        <f>IF(COUNTIF($C$1:C423,B423)=1,10,"")</f>
        <v>10</v>
      </c>
    </row>
    <row r="425" spans="1:25" x14ac:dyDescent="0.3">
      <c r="A425" s="76">
        <v>424</v>
      </c>
      <c r="B425" s="6">
        <v>46056</v>
      </c>
      <c r="C425" s="6">
        <v>46059</v>
      </c>
      <c r="D425" s="17" t="str">
        <f t="shared" si="76"/>
        <v>February</v>
      </c>
      <c r="E425" s="5" t="str">
        <f t="shared" ca="1" si="77"/>
        <v>STU-290</v>
      </c>
      <c r="F425" s="5" t="str">
        <f ca="1">IF(COUNTIF($E$2:E425,E425)=1,"New Customer","Returning Customer")</f>
        <v>New Customer</v>
      </c>
      <c r="G425" s="5" t="str">
        <f t="shared" ca="1" si="78"/>
        <v>Female</v>
      </c>
      <c r="H425" s="5" t="s">
        <v>135</v>
      </c>
      <c r="I425" s="5" t="str" cm="1">
        <f t="array" aca="1" ref="I425" ca="1">INDEX(Courses!$B$9:$B$16,RANDBETWEEN(1,8))</f>
        <v>Adolescent Psychology</v>
      </c>
      <c r="J425" s="5" t="str">
        <f ca="1">VLOOKUP(I425,Courses!$B$9:$C$16,2,0)</f>
        <v>Psychology</v>
      </c>
      <c r="K425" s="7">
        <f ca="1">VLOOKUP(I425,Courses!$B$9:$D$16,3,0)</f>
        <v>29</v>
      </c>
      <c r="L425" s="5" t="str">
        <f t="shared" ca="1" si="79"/>
        <v>Paid</v>
      </c>
      <c r="M425" s="8" t="str" cm="1">
        <f t="array" aca="1" ref="M425" ca="1">INDEX('Payment Method'!$A$8:$A$12,RANDBETWEEN(1,5))</f>
        <v>Bank Transfer</v>
      </c>
      <c r="N425" s="7">
        <f>IFERROR(SUMIF(Holiday!$A$8:$A$11,B425,Holiday!$C$8:$C$11),0)</f>
        <v>0</v>
      </c>
      <c r="O425" s="7">
        <f t="shared" ca="1" si="80"/>
        <v>29</v>
      </c>
      <c r="P425" s="19">
        <f t="shared" ca="1" si="81"/>
        <v>29</v>
      </c>
      <c r="Q425" s="7">
        <f t="shared" ca="1" si="82"/>
        <v>0</v>
      </c>
      <c r="R425" s="8">
        <f ca="1">VLOOKUP(M425,'Payment Method'!$A$8:$B$12,2,0)</f>
        <v>0</v>
      </c>
      <c r="S425" s="9">
        <f t="shared" ca="1" si="72"/>
        <v>0</v>
      </c>
      <c r="T425" s="8">
        <v>0.01</v>
      </c>
      <c r="U425" s="9">
        <f t="shared" ca="1" si="73"/>
        <v>0.28999999999999915</v>
      </c>
      <c r="V425" s="7">
        <f t="shared" ca="1" si="74"/>
        <v>0</v>
      </c>
      <c r="W425" s="7">
        <f t="shared" ca="1" si="75"/>
        <v>28.71</v>
      </c>
      <c r="X425" s="5" t="str">
        <f t="shared" ca="1" si="83"/>
        <v>Facebook</v>
      </c>
      <c r="Y425" s="78">
        <f>IF(COUNTIF($C$1:C424,B424)=1,10,"")</f>
        <v>10</v>
      </c>
    </row>
    <row r="426" spans="1:25" x14ac:dyDescent="0.3">
      <c r="A426" s="75">
        <v>425</v>
      </c>
      <c r="B426" s="6">
        <v>46187</v>
      </c>
      <c r="C426" s="6">
        <v>46191</v>
      </c>
      <c r="D426" s="17" t="str">
        <f t="shared" si="76"/>
        <v>June</v>
      </c>
      <c r="E426" s="5" t="str">
        <f t="shared" ca="1" si="77"/>
        <v>STU-351</v>
      </c>
      <c r="F426" s="5" t="str">
        <f ca="1">IF(COUNTIF($E$2:E426,E426)=1,"New Customer","Returning Customer")</f>
        <v>New Customer</v>
      </c>
      <c r="G426" s="5" t="str">
        <f t="shared" ca="1" si="78"/>
        <v>Not specified</v>
      </c>
      <c r="H426" s="5" t="s">
        <v>138</v>
      </c>
      <c r="I426" s="5" t="str" cm="1">
        <f t="array" aca="1" ref="I426" ca="1">INDEX(Courses!$B$9:$B$16,RANDBETWEEN(1,8))</f>
        <v>Microsoft Word</v>
      </c>
      <c r="J426" s="5" t="str">
        <f ca="1">VLOOKUP(I426,Courses!$B$9:$C$16,2,0)</f>
        <v>Microsoft Office</v>
      </c>
      <c r="K426" s="7">
        <f ca="1">VLOOKUP(I426,Courses!$B$9:$D$16,3,0)</f>
        <v>29</v>
      </c>
      <c r="L426" s="5" t="str">
        <f t="shared" ca="1" si="79"/>
        <v>Pending</v>
      </c>
      <c r="M426" s="8" t="str" cm="1">
        <f t="array" aca="1" ref="M426" ca="1">INDEX('Payment Method'!$A$8:$A$12,RANDBETWEEN(1,5))</f>
        <v>Visa Credit</v>
      </c>
      <c r="N426" s="7">
        <f>IFERROR(SUMIF(Holiday!$A$8:$A$11,B426,Holiday!$C$8:$C$11),0)</f>
        <v>0</v>
      </c>
      <c r="O426" s="7">
        <f t="shared" ca="1" si="80"/>
        <v>29</v>
      </c>
      <c r="P426" s="19">
        <f t="shared" ca="1" si="81"/>
        <v>27.984999999999999</v>
      </c>
      <c r="Q426" s="7">
        <f t="shared" ca="1" si="82"/>
        <v>27.70515</v>
      </c>
      <c r="R426" s="8">
        <f ca="1">VLOOKUP(M426,'Payment Method'!$A$8:$B$12,2,0)</f>
        <v>3.5000000000000003E-2</v>
      </c>
      <c r="S426" s="9">
        <f t="shared" ca="1" si="72"/>
        <v>1.0150000000000006</v>
      </c>
      <c r="T426" s="8">
        <v>0.01</v>
      </c>
      <c r="U426" s="9">
        <f t="shared" ca="1" si="73"/>
        <v>0.27984999999999971</v>
      </c>
      <c r="V426" s="7">
        <f t="shared" ca="1" si="74"/>
        <v>0</v>
      </c>
      <c r="W426" s="7">
        <f t="shared" ca="1" si="75"/>
        <v>0</v>
      </c>
      <c r="X426" s="5" t="str">
        <f t="shared" ca="1" si="83"/>
        <v>Facebook</v>
      </c>
      <c r="Y426" s="78" t="str">
        <f>IF(COUNTIF($C$1:C425,B425)=1,10,"")</f>
        <v/>
      </c>
    </row>
    <row r="427" spans="1:25" x14ac:dyDescent="0.3">
      <c r="A427" s="76">
        <v>426</v>
      </c>
      <c r="B427" s="6">
        <v>46198</v>
      </c>
      <c r="C427" s="6">
        <v>46199</v>
      </c>
      <c r="D427" s="17" t="str">
        <f t="shared" si="76"/>
        <v>June</v>
      </c>
      <c r="E427" s="5" t="str">
        <f t="shared" ca="1" si="77"/>
        <v>STU-650</v>
      </c>
      <c r="F427" s="5" t="str">
        <f ca="1">IF(COUNTIF($E$2:E427,E427)=1,"New Customer","Returning Customer")</f>
        <v>Returning Customer</v>
      </c>
      <c r="G427" s="5" t="str">
        <f t="shared" ca="1" si="78"/>
        <v>Female</v>
      </c>
      <c r="H427" s="5" t="s">
        <v>135</v>
      </c>
      <c r="I427" s="5" t="str" cm="1">
        <f t="array" aca="1" ref="I427" ca="1">INDEX(Courses!$B$9:$B$16,RANDBETWEEN(1,8))</f>
        <v>Complete Excel Course</v>
      </c>
      <c r="J427" s="5" t="str">
        <f ca="1">VLOOKUP(I427,Courses!$B$9:$C$16,2,0)</f>
        <v>Microsoft Office</v>
      </c>
      <c r="K427" s="7">
        <f ca="1">VLOOKUP(I427,Courses!$B$9:$D$16,3,0)</f>
        <v>59</v>
      </c>
      <c r="L427" s="5" t="str">
        <f t="shared" ca="1" si="79"/>
        <v>Paid</v>
      </c>
      <c r="M427" s="8" t="str" cm="1">
        <f t="array" aca="1" ref="M427" ca="1">INDEX('Payment Method'!$A$8:$A$12,RANDBETWEEN(1,5))</f>
        <v>Visa Credit</v>
      </c>
      <c r="N427" s="7">
        <f>IFERROR(SUMIF(Holiday!$A$8:$A$11,B427,Holiday!$C$8:$C$11),0)</f>
        <v>0</v>
      </c>
      <c r="O427" s="7">
        <f t="shared" ca="1" si="80"/>
        <v>59</v>
      </c>
      <c r="P427" s="19">
        <f t="shared" ca="1" si="81"/>
        <v>56.935000000000002</v>
      </c>
      <c r="Q427" s="7">
        <f t="shared" ca="1" si="82"/>
        <v>0</v>
      </c>
      <c r="R427" s="8">
        <f ca="1">VLOOKUP(M427,'Payment Method'!$A$8:$B$12,2,0)</f>
        <v>3.5000000000000003E-2</v>
      </c>
      <c r="S427" s="9">
        <f t="shared" ca="1" si="72"/>
        <v>2.0649999999999977</v>
      </c>
      <c r="T427" s="8">
        <v>0.01</v>
      </c>
      <c r="U427" s="9">
        <f t="shared" ca="1" si="73"/>
        <v>0.56935000000000002</v>
      </c>
      <c r="V427" s="7">
        <f t="shared" ca="1" si="74"/>
        <v>0</v>
      </c>
      <c r="W427" s="7">
        <f t="shared" ca="1" si="75"/>
        <v>56.365650000000002</v>
      </c>
      <c r="X427" s="5" t="str">
        <f t="shared" ca="1" si="83"/>
        <v>Facebook</v>
      </c>
      <c r="Y427" s="78" t="str">
        <f>IF(COUNTIF($C$1:C426,B426)=1,10,"")</f>
        <v/>
      </c>
    </row>
    <row r="428" spans="1:25" x14ac:dyDescent="0.3">
      <c r="A428" s="75">
        <v>427</v>
      </c>
      <c r="B428" s="6">
        <v>46154</v>
      </c>
      <c r="C428" s="6">
        <v>46158</v>
      </c>
      <c r="D428" s="17" t="str">
        <f t="shared" si="76"/>
        <v>May</v>
      </c>
      <c r="E428" s="5" t="str">
        <f t="shared" ca="1" si="77"/>
        <v>STU-856</v>
      </c>
      <c r="F428" s="5" t="str">
        <f ca="1">IF(COUNTIF($E$2:E428,E428)=1,"New Customer","Returning Customer")</f>
        <v>New Customer</v>
      </c>
      <c r="G428" s="5" t="str">
        <f t="shared" ca="1" si="78"/>
        <v>Male</v>
      </c>
      <c r="H428" s="5" t="s">
        <v>136</v>
      </c>
      <c r="I428" s="5" t="str" cm="1">
        <f t="array" aca="1" ref="I428" ca="1">INDEX(Courses!$B$9:$B$16,RANDBETWEEN(1,8))</f>
        <v>Microsoft Word</v>
      </c>
      <c r="J428" s="5" t="str">
        <f ca="1">VLOOKUP(I428,Courses!$B$9:$C$16,2,0)</f>
        <v>Microsoft Office</v>
      </c>
      <c r="K428" s="7">
        <f ca="1">VLOOKUP(I428,Courses!$B$9:$D$16,3,0)</f>
        <v>29</v>
      </c>
      <c r="L428" s="5" t="str">
        <f t="shared" ca="1" si="79"/>
        <v>Pending</v>
      </c>
      <c r="M428" s="8" t="str" cm="1">
        <f t="array" aca="1" ref="M428" ca="1">INDEX('Payment Method'!$A$8:$A$12,RANDBETWEEN(1,5))</f>
        <v>Visa Credit</v>
      </c>
      <c r="N428" s="7">
        <f>IFERROR(SUMIF(Holiday!$A$8:$A$11,B428,Holiday!$C$8:$C$11),0)</f>
        <v>0</v>
      </c>
      <c r="O428" s="7">
        <f t="shared" ca="1" si="80"/>
        <v>29</v>
      </c>
      <c r="P428" s="19">
        <f t="shared" ca="1" si="81"/>
        <v>27.984999999999999</v>
      </c>
      <c r="Q428" s="7">
        <f t="shared" ca="1" si="82"/>
        <v>27.70515</v>
      </c>
      <c r="R428" s="8">
        <f ca="1">VLOOKUP(M428,'Payment Method'!$A$8:$B$12,2,0)</f>
        <v>3.5000000000000003E-2</v>
      </c>
      <c r="S428" s="9">
        <f t="shared" ca="1" si="72"/>
        <v>1.0150000000000006</v>
      </c>
      <c r="T428" s="8">
        <v>0.01</v>
      </c>
      <c r="U428" s="9">
        <f t="shared" ca="1" si="73"/>
        <v>0.27984999999999971</v>
      </c>
      <c r="V428" s="7">
        <f t="shared" ca="1" si="74"/>
        <v>0</v>
      </c>
      <c r="W428" s="7">
        <f t="shared" ca="1" si="75"/>
        <v>0</v>
      </c>
      <c r="X428" s="5" t="str">
        <f t="shared" ca="1" si="83"/>
        <v>Facebook</v>
      </c>
      <c r="Y428" s="78" t="str">
        <f>IF(COUNTIF($C$1:C427,B427)=1,10,"")</f>
        <v/>
      </c>
    </row>
    <row r="429" spans="1:25" x14ac:dyDescent="0.3">
      <c r="A429" s="76">
        <v>428</v>
      </c>
      <c r="B429" s="6">
        <v>46129</v>
      </c>
      <c r="C429" s="6">
        <v>46132</v>
      </c>
      <c r="D429" s="17" t="str">
        <f t="shared" si="76"/>
        <v>April</v>
      </c>
      <c r="E429" s="5" t="str">
        <f t="shared" ca="1" si="77"/>
        <v>STU-877</v>
      </c>
      <c r="F429" s="5" t="str">
        <f ca="1">IF(COUNTIF($E$2:E429,E429)=1,"New Customer","Returning Customer")</f>
        <v>New Customer</v>
      </c>
      <c r="G429" s="5" t="str">
        <f t="shared" ca="1" si="78"/>
        <v>Not specified</v>
      </c>
      <c r="H429" s="5" t="s">
        <v>141</v>
      </c>
      <c r="I429" s="5" t="str" cm="1">
        <f t="array" aca="1" ref="I429" ca="1">INDEX(Courses!$B$9:$B$16,RANDBETWEEN(1,8))</f>
        <v>Microsoft Word</v>
      </c>
      <c r="J429" s="5" t="str">
        <f ca="1">VLOOKUP(I429,Courses!$B$9:$C$16,2,0)</f>
        <v>Microsoft Office</v>
      </c>
      <c r="K429" s="7">
        <f ca="1">VLOOKUP(I429,Courses!$B$9:$D$16,3,0)</f>
        <v>29</v>
      </c>
      <c r="L429" s="5" t="str">
        <f t="shared" ca="1" si="79"/>
        <v>Paid</v>
      </c>
      <c r="M429" s="8" t="str" cm="1">
        <f t="array" aca="1" ref="M429" ca="1">INDEX('Payment Method'!$A$8:$A$12,RANDBETWEEN(1,5))</f>
        <v>Mastercard Debit</v>
      </c>
      <c r="N429" s="7">
        <f>IFERROR(SUMIF(Holiday!$A$8:$A$11,B429,Holiday!$C$8:$C$11),0)</f>
        <v>0</v>
      </c>
      <c r="O429" s="7">
        <f t="shared" ca="1" si="80"/>
        <v>29</v>
      </c>
      <c r="P429" s="19">
        <f t="shared" ca="1" si="81"/>
        <v>28.42</v>
      </c>
      <c r="Q429" s="7">
        <f t="shared" ca="1" si="82"/>
        <v>0</v>
      </c>
      <c r="R429" s="8">
        <f ca="1">VLOOKUP(M429,'Payment Method'!$A$8:$B$12,2,0)</f>
        <v>0.02</v>
      </c>
      <c r="S429" s="9">
        <f t="shared" ca="1" si="72"/>
        <v>0.57999999999999829</v>
      </c>
      <c r="T429" s="8">
        <v>0.01</v>
      </c>
      <c r="U429" s="9">
        <f t="shared" ca="1" si="73"/>
        <v>0.28419999999999845</v>
      </c>
      <c r="V429" s="7">
        <f t="shared" ca="1" si="74"/>
        <v>0</v>
      </c>
      <c r="W429" s="7">
        <f t="shared" ca="1" si="75"/>
        <v>28.135800000000003</v>
      </c>
      <c r="X429" s="5" t="str">
        <f t="shared" ca="1" si="83"/>
        <v>Tiktok</v>
      </c>
      <c r="Y429" s="78">
        <f>IF(COUNTIF($C$1:C428,B428)=1,10,"")</f>
        <v>10</v>
      </c>
    </row>
    <row r="430" spans="1:25" x14ac:dyDescent="0.3">
      <c r="A430" s="75">
        <v>429</v>
      </c>
      <c r="B430" s="6">
        <v>46172</v>
      </c>
      <c r="C430" s="6">
        <v>46176</v>
      </c>
      <c r="D430" s="17" t="str">
        <f t="shared" si="76"/>
        <v>June</v>
      </c>
      <c r="E430" s="5" t="str">
        <f t="shared" ca="1" si="77"/>
        <v>STU-809</v>
      </c>
      <c r="F430" s="5" t="str">
        <f ca="1">IF(COUNTIF($E$2:E430,E430)=1,"New Customer","Returning Customer")</f>
        <v>New Customer</v>
      </c>
      <c r="G430" s="5" t="str">
        <f t="shared" ca="1" si="78"/>
        <v>Female</v>
      </c>
      <c r="H430" s="5" t="s">
        <v>141</v>
      </c>
      <c r="I430" s="5" t="str" cm="1">
        <f t="array" aca="1" ref="I430" ca="1">INDEX(Courses!$B$9:$B$16,RANDBETWEEN(1,8))</f>
        <v>Tax Code</v>
      </c>
      <c r="J430" s="5" t="str">
        <f ca="1">VLOOKUP(I430,Courses!$B$9:$C$16,2,0)</f>
        <v>Finance &amp; Taxation</v>
      </c>
      <c r="K430" s="7">
        <f ca="1">VLOOKUP(I430,Courses!$B$9:$D$16,3,0)</f>
        <v>59</v>
      </c>
      <c r="L430" s="5" t="str">
        <f t="shared" ca="1" si="79"/>
        <v>Paid</v>
      </c>
      <c r="M430" s="8" t="str" cm="1">
        <f t="array" aca="1" ref="M430" ca="1">INDEX('Payment Method'!$A$8:$A$12,RANDBETWEEN(1,5))</f>
        <v>Mastercard Credit</v>
      </c>
      <c r="N430" s="7">
        <f>IFERROR(SUMIF(Holiday!$A$8:$A$11,B430,Holiday!$C$8:$C$11),0)</f>
        <v>0</v>
      </c>
      <c r="O430" s="7">
        <f t="shared" ca="1" si="80"/>
        <v>59</v>
      </c>
      <c r="P430" s="19">
        <f t="shared" ca="1" si="81"/>
        <v>56.935000000000002</v>
      </c>
      <c r="Q430" s="7">
        <f t="shared" ca="1" si="82"/>
        <v>0</v>
      </c>
      <c r="R430" s="8">
        <f ca="1">VLOOKUP(M430,'Payment Method'!$A$8:$B$12,2,0)</f>
        <v>3.5000000000000003E-2</v>
      </c>
      <c r="S430" s="9">
        <f t="shared" ca="1" si="72"/>
        <v>2.0649999999999977</v>
      </c>
      <c r="T430" s="8">
        <v>0.01</v>
      </c>
      <c r="U430" s="9">
        <f t="shared" ca="1" si="73"/>
        <v>0.56935000000000002</v>
      </c>
      <c r="V430" s="7">
        <f t="shared" ca="1" si="74"/>
        <v>0</v>
      </c>
      <c r="W430" s="7">
        <f t="shared" ca="1" si="75"/>
        <v>56.365650000000002</v>
      </c>
      <c r="X430" s="5" t="str">
        <f t="shared" ca="1" si="83"/>
        <v>Instagram</v>
      </c>
      <c r="Y430" s="78" t="str">
        <f>IF(COUNTIF($C$1:C429,B429)=1,10,"")</f>
        <v/>
      </c>
    </row>
    <row r="431" spans="1:25" x14ac:dyDescent="0.3">
      <c r="A431" s="76">
        <v>430</v>
      </c>
      <c r="B431" s="6">
        <v>46222</v>
      </c>
      <c r="C431" s="6">
        <v>46224</v>
      </c>
      <c r="D431" s="17" t="str">
        <f t="shared" si="76"/>
        <v>July</v>
      </c>
      <c r="E431" s="5" t="str">
        <f t="shared" ca="1" si="77"/>
        <v>STU-115</v>
      </c>
      <c r="F431" s="5" t="str">
        <f ca="1">IF(COUNTIF($E$2:E431,E431)=1,"New Customer","Returning Customer")</f>
        <v>New Customer</v>
      </c>
      <c r="G431" s="5" t="str">
        <f t="shared" ca="1" si="78"/>
        <v>Male</v>
      </c>
      <c r="H431" s="5" t="s">
        <v>137</v>
      </c>
      <c r="I431" s="5" t="str" cm="1">
        <f t="array" aca="1" ref="I431" ca="1">INDEX(Courses!$B$9:$B$16,RANDBETWEEN(1,8))</f>
        <v>Complete Excel Course</v>
      </c>
      <c r="J431" s="5" t="str">
        <f ca="1">VLOOKUP(I431,Courses!$B$9:$C$16,2,0)</f>
        <v>Microsoft Office</v>
      </c>
      <c r="K431" s="7">
        <f ca="1">VLOOKUP(I431,Courses!$B$9:$D$16,3,0)</f>
        <v>59</v>
      </c>
      <c r="L431" s="5" t="str">
        <f t="shared" ca="1" si="79"/>
        <v>Paid</v>
      </c>
      <c r="M431" s="8" t="str" cm="1">
        <f t="array" aca="1" ref="M431" ca="1">INDEX('Payment Method'!$A$8:$A$12,RANDBETWEEN(1,5))</f>
        <v>Mastercard Debit</v>
      </c>
      <c r="N431" s="7">
        <f>IFERROR(SUMIF(Holiday!$A$8:$A$11,B431,Holiday!$C$8:$C$11),0)</f>
        <v>0</v>
      </c>
      <c r="O431" s="7">
        <f t="shared" ca="1" si="80"/>
        <v>59</v>
      </c>
      <c r="P431" s="19">
        <f t="shared" ca="1" si="81"/>
        <v>57.82</v>
      </c>
      <c r="Q431" s="7">
        <f t="shared" ca="1" si="82"/>
        <v>0</v>
      </c>
      <c r="R431" s="8">
        <f ca="1">VLOOKUP(M431,'Payment Method'!$A$8:$B$12,2,0)</f>
        <v>0.02</v>
      </c>
      <c r="S431" s="9">
        <f t="shared" ca="1" si="72"/>
        <v>1.1799999999999997</v>
      </c>
      <c r="T431" s="8">
        <v>0.01</v>
      </c>
      <c r="U431" s="9">
        <f t="shared" ca="1" si="73"/>
        <v>0.57820000000000249</v>
      </c>
      <c r="V431" s="7">
        <f t="shared" ca="1" si="74"/>
        <v>0</v>
      </c>
      <c r="W431" s="7">
        <f t="shared" ca="1" si="75"/>
        <v>57.241799999999998</v>
      </c>
      <c r="X431" s="5" t="str">
        <f t="shared" ca="1" si="83"/>
        <v>Instagram</v>
      </c>
      <c r="Y431" s="78" t="str">
        <f>IF(COUNTIF($C$1:C430,B430)=1,10,"")</f>
        <v/>
      </c>
    </row>
    <row r="432" spans="1:25" x14ac:dyDescent="0.3">
      <c r="A432" s="75">
        <v>431</v>
      </c>
      <c r="B432" s="6">
        <v>46034</v>
      </c>
      <c r="C432" s="6">
        <v>46034</v>
      </c>
      <c r="D432" s="17" t="str">
        <f t="shared" si="76"/>
        <v>January</v>
      </c>
      <c r="E432" s="5" t="str">
        <f t="shared" ca="1" si="77"/>
        <v>STU-690</v>
      </c>
      <c r="F432" s="5" t="str">
        <f ca="1">IF(COUNTIF($E$2:E432,E432)=1,"New Customer","Returning Customer")</f>
        <v>New Customer</v>
      </c>
      <c r="G432" s="5" t="str">
        <f t="shared" ca="1" si="78"/>
        <v>Female</v>
      </c>
      <c r="H432" s="5" t="s">
        <v>138</v>
      </c>
      <c r="I432" s="5" t="str" cm="1">
        <f t="array" aca="1" ref="I432" ca="1">INDEX(Courses!$B$9:$B$16,RANDBETWEEN(1,8))</f>
        <v>Adolescent Psychology</v>
      </c>
      <c r="J432" s="5" t="str">
        <f ca="1">VLOOKUP(I432,Courses!$B$9:$C$16,2,0)</f>
        <v>Psychology</v>
      </c>
      <c r="K432" s="7">
        <f ca="1">VLOOKUP(I432,Courses!$B$9:$D$16,3,0)</f>
        <v>29</v>
      </c>
      <c r="L432" s="5" t="str">
        <f t="shared" ca="1" si="79"/>
        <v>Paid</v>
      </c>
      <c r="M432" s="8" t="str" cm="1">
        <f t="array" aca="1" ref="M432" ca="1">INDEX('Payment Method'!$A$8:$A$12,RANDBETWEEN(1,5))</f>
        <v>Visa Credit</v>
      </c>
      <c r="N432" s="7">
        <f>IFERROR(SUMIF(Holiday!$A$8:$A$11,B432,Holiday!$C$8:$C$11),0)</f>
        <v>0</v>
      </c>
      <c r="O432" s="7">
        <f t="shared" ca="1" si="80"/>
        <v>29</v>
      </c>
      <c r="P432" s="19">
        <f t="shared" ca="1" si="81"/>
        <v>27.984999999999999</v>
      </c>
      <c r="Q432" s="7">
        <f t="shared" ca="1" si="82"/>
        <v>0</v>
      </c>
      <c r="R432" s="8">
        <f ca="1">VLOOKUP(M432,'Payment Method'!$A$8:$B$12,2,0)</f>
        <v>3.5000000000000003E-2</v>
      </c>
      <c r="S432" s="9">
        <f t="shared" ca="1" si="72"/>
        <v>1.0150000000000006</v>
      </c>
      <c r="T432" s="8">
        <v>0.01</v>
      </c>
      <c r="U432" s="9">
        <f t="shared" ca="1" si="73"/>
        <v>0.27984999999999971</v>
      </c>
      <c r="V432" s="7">
        <f t="shared" ca="1" si="74"/>
        <v>0</v>
      </c>
      <c r="W432" s="7">
        <f t="shared" ca="1" si="75"/>
        <v>27.70515</v>
      </c>
      <c r="X432" s="5" t="str">
        <f t="shared" ca="1" si="83"/>
        <v>Tiktok</v>
      </c>
      <c r="Y432" s="78" t="str">
        <f>IF(COUNTIF($C$1:C431,B431)=1,10,"")</f>
        <v/>
      </c>
    </row>
    <row r="433" spans="1:25" x14ac:dyDescent="0.3">
      <c r="A433" s="76">
        <v>432</v>
      </c>
      <c r="B433" s="6">
        <v>46077</v>
      </c>
      <c r="C433" s="6">
        <v>46079</v>
      </c>
      <c r="D433" s="17" t="str">
        <f t="shared" si="76"/>
        <v>February</v>
      </c>
      <c r="E433" s="5" t="str">
        <f t="shared" ca="1" si="77"/>
        <v>STU-201</v>
      </c>
      <c r="F433" s="5" t="str">
        <f ca="1">IF(COUNTIF($E$2:E433,E433)=1,"New Customer","Returning Customer")</f>
        <v>New Customer</v>
      </c>
      <c r="G433" s="5" t="str">
        <f t="shared" ca="1" si="78"/>
        <v>Male</v>
      </c>
      <c r="H433" s="5" t="s">
        <v>139</v>
      </c>
      <c r="I433" s="5" t="str" cm="1">
        <f t="array" aca="1" ref="I433" ca="1">INDEX(Courses!$B$9:$B$16,RANDBETWEEN(1,8))</f>
        <v>Adolescent Psychology</v>
      </c>
      <c r="J433" s="5" t="str">
        <f ca="1">VLOOKUP(I433,Courses!$B$9:$C$16,2,0)</f>
        <v>Psychology</v>
      </c>
      <c r="K433" s="7">
        <f ca="1">VLOOKUP(I433,Courses!$B$9:$D$16,3,0)</f>
        <v>29</v>
      </c>
      <c r="L433" s="5" t="str">
        <f t="shared" ca="1" si="79"/>
        <v>Paid</v>
      </c>
      <c r="M433" s="8" t="str" cm="1">
        <f t="array" aca="1" ref="M433" ca="1">INDEX('Payment Method'!$A$8:$A$12,RANDBETWEEN(1,5))</f>
        <v>Mastercard Debit</v>
      </c>
      <c r="N433" s="7">
        <f>IFERROR(SUMIF(Holiday!$A$8:$A$11,B433,Holiday!$C$8:$C$11),0)</f>
        <v>0</v>
      </c>
      <c r="O433" s="7">
        <f t="shared" ca="1" si="80"/>
        <v>29</v>
      </c>
      <c r="P433" s="19">
        <f t="shared" ca="1" si="81"/>
        <v>28.42</v>
      </c>
      <c r="Q433" s="7">
        <f t="shared" ca="1" si="82"/>
        <v>0</v>
      </c>
      <c r="R433" s="8">
        <f ca="1">VLOOKUP(M433,'Payment Method'!$A$8:$B$12,2,0)</f>
        <v>0.02</v>
      </c>
      <c r="S433" s="9">
        <f t="shared" ca="1" si="72"/>
        <v>0.57999999999999829</v>
      </c>
      <c r="T433" s="8">
        <v>0.01</v>
      </c>
      <c r="U433" s="9">
        <f t="shared" ca="1" si="73"/>
        <v>0.28419999999999845</v>
      </c>
      <c r="V433" s="7">
        <f t="shared" ca="1" si="74"/>
        <v>0</v>
      </c>
      <c r="W433" s="7">
        <f t="shared" ca="1" si="75"/>
        <v>28.135800000000003</v>
      </c>
      <c r="X433" s="5" t="str">
        <f t="shared" ca="1" si="83"/>
        <v>Instagram</v>
      </c>
      <c r="Y433" s="78" t="str">
        <f>IF(COUNTIF($C$1:C432,B432)=1,10,"")</f>
        <v/>
      </c>
    </row>
    <row r="434" spans="1:25" x14ac:dyDescent="0.3">
      <c r="A434" s="75">
        <v>433</v>
      </c>
      <c r="B434" s="6">
        <v>46092</v>
      </c>
      <c r="C434" s="6">
        <v>46096</v>
      </c>
      <c r="D434" s="17" t="str">
        <f t="shared" si="76"/>
        <v>March</v>
      </c>
      <c r="E434" s="5" t="str">
        <f t="shared" ca="1" si="77"/>
        <v>STU-540</v>
      </c>
      <c r="F434" s="5" t="str">
        <f ca="1">IF(COUNTIF($E$2:E434,E434)=1,"New Customer","Returning Customer")</f>
        <v>Returning Customer</v>
      </c>
      <c r="G434" s="5" t="str">
        <f t="shared" ca="1" si="78"/>
        <v>Female</v>
      </c>
      <c r="H434" s="5" t="s">
        <v>138</v>
      </c>
      <c r="I434" s="5" t="str" cm="1">
        <f t="array" aca="1" ref="I434" ca="1">INDEX(Courses!$B$9:$B$16,RANDBETWEEN(1,8))</f>
        <v>SQL</v>
      </c>
      <c r="J434" s="5" t="str">
        <f ca="1">VLOOKUP(I434,Courses!$B$9:$C$16,2,0)</f>
        <v>Data Analytics</v>
      </c>
      <c r="K434" s="7">
        <f ca="1">VLOOKUP(I434,Courses!$B$9:$D$16,3,0)</f>
        <v>99</v>
      </c>
      <c r="L434" s="5" t="str">
        <f t="shared" ca="1" si="79"/>
        <v>Pending</v>
      </c>
      <c r="M434" s="8" t="str" cm="1">
        <f t="array" aca="1" ref="M434" ca="1">INDEX('Payment Method'!$A$8:$A$12,RANDBETWEEN(1,5))</f>
        <v>Visa Credit</v>
      </c>
      <c r="N434" s="7">
        <f>IFERROR(SUMIF(Holiday!$A$8:$A$11,B434,Holiday!$C$8:$C$11),0)</f>
        <v>0</v>
      </c>
      <c r="O434" s="7">
        <f t="shared" ca="1" si="80"/>
        <v>99</v>
      </c>
      <c r="P434" s="19">
        <f t="shared" ca="1" si="81"/>
        <v>95.534999999999997</v>
      </c>
      <c r="Q434" s="7">
        <f t="shared" ca="1" si="82"/>
        <v>94.579650000000001</v>
      </c>
      <c r="R434" s="8">
        <f ca="1">VLOOKUP(M434,'Payment Method'!$A$8:$B$12,2,0)</f>
        <v>3.5000000000000003E-2</v>
      </c>
      <c r="S434" s="9">
        <f t="shared" ca="1" si="72"/>
        <v>3.4650000000000034</v>
      </c>
      <c r="T434" s="8">
        <v>0.01</v>
      </c>
      <c r="U434" s="9">
        <f t="shared" ca="1" si="73"/>
        <v>0.9553499999999957</v>
      </c>
      <c r="V434" s="7">
        <f t="shared" ca="1" si="74"/>
        <v>0</v>
      </c>
      <c r="W434" s="7">
        <f t="shared" ca="1" si="75"/>
        <v>0</v>
      </c>
      <c r="X434" s="5" t="str">
        <f t="shared" ca="1" si="83"/>
        <v>Tiktok</v>
      </c>
      <c r="Y434" s="78" t="str">
        <f>IF(COUNTIF($C$1:C433,B433)=1,10,"")</f>
        <v/>
      </c>
    </row>
    <row r="435" spans="1:25" x14ac:dyDescent="0.3">
      <c r="A435" s="76">
        <v>434</v>
      </c>
      <c r="B435" s="6">
        <v>46107</v>
      </c>
      <c r="C435" s="6">
        <v>46109</v>
      </c>
      <c r="D435" s="17" t="str">
        <f t="shared" si="76"/>
        <v>March</v>
      </c>
      <c r="E435" s="5" t="str">
        <f t="shared" ca="1" si="77"/>
        <v>STU-277</v>
      </c>
      <c r="F435" s="5" t="str">
        <f ca="1">IF(COUNTIF($E$2:E435,E435)=1,"New Customer","Returning Customer")</f>
        <v>New Customer</v>
      </c>
      <c r="G435" s="5" t="str">
        <f t="shared" ca="1" si="78"/>
        <v>Female</v>
      </c>
      <c r="H435" s="5" t="s">
        <v>136</v>
      </c>
      <c r="I435" s="5" t="str" cm="1">
        <f t="array" aca="1" ref="I435" ca="1">INDEX(Courses!$B$9:$B$16,RANDBETWEEN(1,8))</f>
        <v>Adolescent Psychology</v>
      </c>
      <c r="J435" s="5" t="str">
        <f ca="1">VLOOKUP(I435,Courses!$B$9:$C$16,2,0)</f>
        <v>Psychology</v>
      </c>
      <c r="K435" s="7">
        <f ca="1">VLOOKUP(I435,Courses!$B$9:$D$16,3,0)</f>
        <v>29</v>
      </c>
      <c r="L435" s="5" t="str">
        <f t="shared" ca="1" si="79"/>
        <v>Refunded</v>
      </c>
      <c r="M435" s="8" t="str" cm="1">
        <f t="array" aca="1" ref="M435" ca="1">INDEX('Payment Method'!$A$8:$A$12,RANDBETWEEN(1,5))</f>
        <v>Mastercard Debit</v>
      </c>
      <c r="N435" s="7">
        <f>IFERROR(SUMIF(Holiday!$A$8:$A$11,B435,Holiday!$C$8:$C$11),0)</f>
        <v>0</v>
      </c>
      <c r="O435" s="7">
        <f t="shared" ca="1" si="80"/>
        <v>29</v>
      </c>
      <c r="P435" s="19">
        <f t="shared" ca="1" si="81"/>
        <v>28.42</v>
      </c>
      <c r="Q435" s="7">
        <f t="shared" ca="1" si="82"/>
        <v>0</v>
      </c>
      <c r="R435" s="8">
        <f ca="1">VLOOKUP(M435,'Payment Method'!$A$8:$B$12,2,0)</f>
        <v>0.02</v>
      </c>
      <c r="S435" s="9">
        <f t="shared" ca="1" si="72"/>
        <v>0.57999999999999829</v>
      </c>
      <c r="T435" s="8">
        <v>0.01</v>
      </c>
      <c r="U435" s="9">
        <f t="shared" ca="1" si="73"/>
        <v>0.28419999999999845</v>
      </c>
      <c r="V435" s="7">
        <f t="shared" ca="1" si="74"/>
        <v>28.135800000000003</v>
      </c>
      <c r="W435" s="7">
        <f t="shared" ca="1" si="75"/>
        <v>0</v>
      </c>
      <c r="X435" s="5" t="str">
        <f t="shared" ca="1" si="83"/>
        <v>Tiktok</v>
      </c>
      <c r="Y435" s="78" t="str">
        <f>IF(COUNTIF($C$1:C434,B434)=1,10,"")</f>
        <v/>
      </c>
    </row>
    <row r="436" spans="1:25" x14ac:dyDescent="0.3">
      <c r="A436" s="75">
        <v>435</v>
      </c>
      <c r="B436" s="6">
        <v>46198</v>
      </c>
      <c r="C436" s="6">
        <v>46199</v>
      </c>
      <c r="D436" s="17" t="str">
        <f t="shared" si="76"/>
        <v>June</v>
      </c>
      <c r="E436" s="5" t="str">
        <f t="shared" ca="1" si="77"/>
        <v>STU-55</v>
      </c>
      <c r="F436" s="5" t="str">
        <f ca="1">IF(COUNTIF($E$2:E436,E436)=1,"New Customer","Returning Customer")</f>
        <v>Returning Customer</v>
      </c>
      <c r="G436" s="5" t="str">
        <f t="shared" ca="1" si="78"/>
        <v>Male</v>
      </c>
      <c r="H436" s="5" t="s">
        <v>141</v>
      </c>
      <c r="I436" s="5" t="str" cm="1">
        <f t="array" aca="1" ref="I436" ca="1">INDEX(Courses!$B$9:$B$16,RANDBETWEEN(1,8))</f>
        <v>Tax Code</v>
      </c>
      <c r="J436" s="5" t="str">
        <f ca="1">VLOOKUP(I436,Courses!$B$9:$C$16,2,0)</f>
        <v>Finance &amp; Taxation</v>
      </c>
      <c r="K436" s="7">
        <f ca="1">VLOOKUP(I436,Courses!$B$9:$D$16,3,0)</f>
        <v>59</v>
      </c>
      <c r="L436" s="5" t="str">
        <f t="shared" ca="1" si="79"/>
        <v>Paid</v>
      </c>
      <c r="M436" s="8" t="str" cm="1">
        <f t="array" aca="1" ref="M436" ca="1">INDEX('Payment Method'!$A$8:$A$12,RANDBETWEEN(1,5))</f>
        <v>Bank Transfer</v>
      </c>
      <c r="N436" s="7">
        <f>IFERROR(SUMIF(Holiday!$A$8:$A$11,B436,Holiday!$C$8:$C$11),0)</f>
        <v>0</v>
      </c>
      <c r="O436" s="7">
        <f t="shared" ca="1" si="80"/>
        <v>59</v>
      </c>
      <c r="P436" s="19">
        <f t="shared" ca="1" si="81"/>
        <v>59</v>
      </c>
      <c r="Q436" s="7">
        <f t="shared" ca="1" si="82"/>
        <v>0</v>
      </c>
      <c r="R436" s="8">
        <f ca="1">VLOOKUP(M436,'Payment Method'!$A$8:$B$12,2,0)</f>
        <v>0</v>
      </c>
      <c r="S436" s="9">
        <f t="shared" ca="1" si="72"/>
        <v>0</v>
      </c>
      <c r="T436" s="8">
        <v>0.01</v>
      </c>
      <c r="U436" s="9">
        <f t="shared" ca="1" si="73"/>
        <v>0.59000000000000341</v>
      </c>
      <c r="V436" s="7">
        <f t="shared" ca="1" si="74"/>
        <v>0</v>
      </c>
      <c r="W436" s="7">
        <f t="shared" ca="1" si="75"/>
        <v>58.41</v>
      </c>
      <c r="X436" s="5" t="str">
        <f t="shared" ca="1" si="83"/>
        <v>Facebook</v>
      </c>
      <c r="Y436" s="78" t="str">
        <f>IF(COUNTIF($C$1:C435,B435)=1,10,"")</f>
        <v/>
      </c>
    </row>
    <row r="437" spans="1:25" x14ac:dyDescent="0.3">
      <c r="A437" s="76">
        <v>436</v>
      </c>
      <c r="B437" s="6">
        <v>46065</v>
      </c>
      <c r="C437" s="6">
        <v>46070</v>
      </c>
      <c r="D437" s="17" t="str">
        <f t="shared" si="76"/>
        <v>February</v>
      </c>
      <c r="E437" s="5" t="str">
        <f t="shared" ca="1" si="77"/>
        <v>STU-63</v>
      </c>
      <c r="F437" s="5" t="str">
        <f ca="1">IF(COUNTIF($E$2:E437,E437)=1,"New Customer","Returning Customer")</f>
        <v>New Customer</v>
      </c>
      <c r="G437" s="5" t="str">
        <f t="shared" ca="1" si="78"/>
        <v>Male</v>
      </c>
      <c r="H437" s="5" t="s">
        <v>135</v>
      </c>
      <c r="I437" s="5" t="str" cm="1">
        <f t="array" aca="1" ref="I437" ca="1">INDEX(Courses!$B$9:$B$16,RANDBETWEEN(1,8))</f>
        <v>Power BI</v>
      </c>
      <c r="J437" s="5" t="str">
        <f ca="1">VLOOKUP(I437,Courses!$B$9:$C$16,2,0)</f>
        <v>Data Analytics</v>
      </c>
      <c r="K437" s="7">
        <f ca="1">VLOOKUP(I437,Courses!$B$9:$D$16,3,0)</f>
        <v>59</v>
      </c>
      <c r="L437" s="5" t="str">
        <f t="shared" ca="1" si="79"/>
        <v>Pending</v>
      </c>
      <c r="M437" s="8" t="str" cm="1">
        <f t="array" aca="1" ref="M437" ca="1">INDEX('Payment Method'!$A$8:$A$12,RANDBETWEEN(1,5))</f>
        <v>Visa Credit</v>
      </c>
      <c r="N437" s="7">
        <f>IFERROR(SUMIF(Holiday!$A$8:$A$11,B437,Holiday!$C$8:$C$11),0)</f>
        <v>0</v>
      </c>
      <c r="O437" s="7">
        <f t="shared" ca="1" si="80"/>
        <v>59</v>
      </c>
      <c r="P437" s="19">
        <f t="shared" ca="1" si="81"/>
        <v>56.935000000000002</v>
      </c>
      <c r="Q437" s="7">
        <f t="shared" ca="1" si="82"/>
        <v>56.365650000000002</v>
      </c>
      <c r="R437" s="8">
        <f ca="1">VLOOKUP(M437,'Payment Method'!$A$8:$B$12,2,0)</f>
        <v>3.5000000000000003E-2</v>
      </c>
      <c r="S437" s="9">
        <f t="shared" ca="1" si="72"/>
        <v>2.0649999999999977</v>
      </c>
      <c r="T437" s="8">
        <v>0.01</v>
      </c>
      <c r="U437" s="9">
        <f t="shared" ca="1" si="73"/>
        <v>0.56935000000000002</v>
      </c>
      <c r="V437" s="7">
        <f t="shared" ca="1" si="74"/>
        <v>0</v>
      </c>
      <c r="W437" s="7">
        <f t="shared" ca="1" si="75"/>
        <v>0</v>
      </c>
      <c r="X437" s="5" t="str">
        <f t="shared" ca="1" si="83"/>
        <v>Facebook</v>
      </c>
      <c r="Y437" s="78" t="str">
        <f>IF(COUNTIF($C$1:C436,B436)=1,10,"")</f>
        <v/>
      </c>
    </row>
    <row r="438" spans="1:25" x14ac:dyDescent="0.3">
      <c r="A438" s="75">
        <v>437</v>
      </c>
      <c r="B438" s="6">
        <v>46214</v>
      </c>
      <c r="C438" s="6">
        <v>46215</v>
      </c>
      <c r="D438" s="17" t="str">
        <f t="shared" si="76"/>
        <v>July</v>
      </c>
      <c r="E438" s="5" t="str">
        <f t="shared" ca="1" si="77"/>
        <v>STU-235</v>
      </c>
      <c r="F438" s="5" t="str">
        <f ca="1">IF(COUNTIF($E$2:E438,E438)=1,"New Customer","Returning Customer")</f>
        <v>New Customer</v>
      </c>
      <c r="G438" s="5" t="str">
        <f t="shared" ca="1" si="78"/>
        <v>Female</v>
      </c>
      <c r="H438" s="5" t="s">
        <v>142</v>
      </c>
      <c r="I438" s="5" t="str" cm="1">
        <f t="array" aca="1" ref="I438" ca="1">INDEX(Courses!$B$9:$B$16,RANDBETWEEN(1,8))</f>
        <v>PowerPoint</v>
      </c>
      <c r="J438" s="5" t="str">
        <f ca="1">VLOOKUP(I438,Courses!$B$9:$C$16,2,0)</f>
        <v>Microsoft Office</v>
      </c>
      <c r="K438" s="7">
        <f ca="1">VLOOKUP(I438,Courses!$B$9:$D$16,3,0)</f>
        <v>29</v>
      </c>
      <c r="L438" s="5" t="str">
        <f t="shared" ca="1" si="79"/>
        <v>Paid</v>
      </c>
      <c r="M438" s="8" t="str" cm="1">
        <f t="array" aca="1" ref="M438" ca="1">INDEX('Payment Method'!$A$8:$A$12,RANDBETWEEN(1,5))</f>
        <v>Visa Debit</v>
      </c>
      <c r="N438" s="7">
        <f>IFERROR(SUMIF(Holiday!$A$8:$A$11,B438,Holiday!$C$8:$C$11),0)</f>
        <v>0</v>
      </c>
      <c r="O438" s="7">
        <f t="shared" ca="1" si="80"/>
        <v>29</v>
      </c>
      <c r="P438" s="19">
        <f t="shared" ca="1" si="81"/>
        <v>28.42</v>
      </c>
      <c r="Q438" s="7">
        <f t="shared" ca="1" si="82"/>
        <v>0</v>
      </c>
      <c r="R438" s="8">
        <f ca="1">VLOOKUP(M438,'Payment Method'!$A$8:$B$12,2,0)</f>
        <v>0.02</v>
      </c>
      <c r="S438" s="9">
        <f t="shared" ca="1" si="72"/>
        <v>0.57999999999999829</v>
      </c>
      <c r="T438" s="8">
        <v>0.01</v>
      </c>
      <c r="U438" s="9">
        <f t="shared" ca="1" si="73"/>
        <v>0.28419999999999845</v>
      </c>
      <c r="V438" s="7">
        <f t="shared" ca="1" si="74"/>
        <v>0</v>
      </c>
      <c r="W438" s="7">
        <f t="shared" ca="1" si="75"/>
        <v>28.135800000000003</v>
      </c>
      <c r="X438" s="5" t="str">
        <f t="shared" ca="1" si="83"/>
        <v>Tiktok</v>
      </c>
      <c r="Y438" s="78" t="str">
        <f>IF(COUNTIF($C$1:C437,B437)=1,10,"")</f>
        <v/>
      </c>
    </row>
    <row r="439" spans="1:25" x14ac:dyDescent="0.3">
      <c r="A439" s="76">
        <v>438</v>
      </c>
      <c r="B439" s="6">
        <v>46040</v>
      </c>
      <c r="C439" s="6">
        <v>46040</v>
      </c>
      <c r="D439" s="17" t="str">
        <f t="shared" si="76"/>
        <v>January</v>
      </c>
      <c r="E439" s="5" t="str">
        <f t="shared" ca="1" si="77"/>
        <v>STU-355</v>
      </c>
      <c r="F439" s="5" t="str">
        <f ca="1">IF(COUNTIF($E$2:E439,E439)=1,"New Customer","Returning Customer")</f>
        <v>Returning Customer</v>
      </c>
      <c r="G439" s="5" t="str">
        <f t="shared" ca="1" si="78"/>
        <v>Female</v>
      </c>
      <c r="H439" s="5" t="s">
        <v>135</v>
      </c>
      <c r="I439" s="5" t="str" cm="1">
        <f t="array" aca="1" ref="I439" ca="1">INDEX(Courses!$B$9:$B$16,RANDBETWEEN(1,8))</f>
        <v>Power BI</v>
      </c>
      <c r="J439" s="5" t="str">
        <f ca="1">VLOOKUP(I439,Courses!$B$9:$C$16,2,0)</f>
        <v>Data Analytics</v>
      </c>
      <c r="K439" s="7">
        <f ca="1">VLOOKUP(I439,Courses!$B$9:$D$16,3,0)</f>
        <v>59</v>
      </c>
      <c r="L439" s="5" t="str">
        <f t="shared" ca="1" si="79"/>
        <v>Pending</v>
      </c>
      <c r="M439" s="8" t="str" cm="1">
        <f t="array" aca="1" ref="M439" ca="1">INDEX('Payment Method'!$A$8:$A$12,RANDBETWEEN(1,5))</f>
        <v>Mastercard Credit</v>
      </c>
      <c r="N439" s="7">
        <f>IFERROR(SUMIF(Holiday!$A$8:$A$11,B439,Holiday!$C$8:$C$11),0)</f>
        <v>0</v>
      </c>
      <c r="O439" s="7">
        <f t="shared" ca="1" si="80"/>
        <v>59</v>
      </c>
      <c r="P439" s="19">
        <f t="shared" ca="1" si="81"/>
        <v>56.935000000000002</v>
      </c>
      <c r="Q439" s="7">
        <f t="shared" ca="1" si="82"/>
        <v>56.365650000000002</v>
      </c>
      <c r="R439" s="8">
        <f ca="1">VLOOKUP(M439,'Payment Method'!$A$8:$B$12,2,0)</f>
        <v>3.5000000000000003E-2</v>
      </c>
      <c r="S439" s="9">
        <f t="shared" ca="1" si="72"/>
        <v>2.0649999999999977</v>
      </c>
      <c r="T439" s="8">
        <v>0.01</v>
      </c>
      <c r="U439" s="9">
        <f t="shared" ca="1" si="73"/>
        <v>0.56935000000000002</v>
      </c>
      <c r="V439" s="7">
        <f t="shared" ca="1" si="74"/>
        <v>0</v>
      </c>
      <c r="W439" s="7">
        <f t="shared" ca="1" si="75"/>
        <v>0</v>
      </c>
      <c r="X439" s="5" t="str">
        <f t="shared" ca="1" si="83"/>
        <v>Tiktok</v>
      </c>
      <c r="Y439" s="78">
        <f>IF(COUNTIF($C$1:C438,B438)=1,10,"")</f>
        <v>10</v>
      </c>
    </row>
    <row r="440" spans="1:25" x14ac:dyDescent="0.3">
      <c r="A440" s="75">
        <v>439</v>
      </c>
      <c r="B440" s="6">
        <v>46106</v>
      </c>
      <c r="C440" s="6">
        <v>46110</v>
      </c>
      <c r="D440" s="17" t="str">
        <f t="shared" si="76"/>
        <v>March</v>
      </c>
      <c r="E440" s="5" t="str">
        <f t="shared" ca="1" si="77"/>
        <v>STU-195</v>
      </c>
      <c r="F440" s="5" t="str">
        <f ca="1">IF(COUNTIF($E$2:E440,E440)=1,"New Customer","Returning Customer")</f>
        <v>New Customer</v>
      </c>
      <c r="G440" s="5" t="str">
        <f t="shared" ca="1" si="78"/>
        <v>Not specified</v>
      </c>
      <c r="H440" s="5" t="s">
        <v>136</v>
      </c>
      <c r="I440" s="5" t="str" cm="1">
        <f t="array" aca="1" ref="I440" ca="1">INDEX(Courses!$B$9:$B$16,RANDBETWEEN(1,8))</f>
        <v>SQL</v>
      </c>
      <c r="J440" s="5" t="str">
        <f ca="1">VLOOKUP(I440,Courses!$B$9:$C$16,2,0)</f>
        <v>Data Analytics</v>
      </c>
      <c r="K440" s="7">
        <f ca="1">VLOOKUP(I440,Courses!$B$9:$D$16,3,0)</f>
        <v>99</v>
      </c>
      <c r="L440" s="5" t="str">
        <f t="shared" ca="1" si="79"/>
        <v>Paid</v>
      </c>
      <c r="M440" s="8" t="str" cm="1">
        <f t="array" aca="1" ref="M440" ca="1">INDEX('Payment Method'!$A$8:$A$12,RANDBETWEEN(1,5))</f>
        <v>Mastercard Credit</v>
      </c>
      <c r="N440" s="7">
        <f>IFERROR(SUMIF(Holiday!$A$8:$A$11,B440,Holiday!$C$8:$C$11),0)</f>
        <v>0</v>
      </c>
      <c r="O440" s="7">
        <f t="shared" ca="1" si="80"/>
        <v>99</v>
      </c>
      <c r="P440" s="19">
        <f t="shared" ca="1" si="81"/>
        <v>95.534999999999997</v>
      </c>
      <c r="Q440" s="7">
        <f t="shared" ca="1" si="82"/>
        <v>0</v>
      </c>
      <c r="R440" s="8">
        <f ca="1">VLOOKUP(M440,'Payment Method'!$A$8:$B$12,2,0)</f>
        <v>3.5000000000000003E-2</v>
      </c>
      <c r="S440" s="9">
        <f t="shared" ca="1" si="72"/>
        <v>3.4650000000000034</v>
      </c>
      <c r="T440" s="8">
        <v>0.01</v>
      </c>
      <c r="U440" s="9">
        <f t="shared" ca="1" si="73"/>
        <v>0.9553499999999957</v>
      </c>
      <c r="V440" s="7">
        <f t="shared" ca="1" si="74"/>
        <v>0</v>
      </c>
      <c r="W440" s="7">
        <f t="shared" ca="1" si="75"/>
        <v>94.579650000000001</v>
      </c>
      <c r="X440" s="5" t="str">
        <f t="shared" ca="1" si="83"/>
        <v>Tiktok</v>
      </c>
      <c r="Y440" s="78" t="str">
        <f>IF(COUNTIF($C$1:C439,B439)=1,10,"")</f>
        <v/>
      </c>
    </row>
    <row r="441" spans="1:25" x14ac:dyDescent="0.3">
      <c r="A441" s="76">
        <v>440</v>
      </c>
      <c r="B441" s="6">
        <v>46218</v>
      </c>
      <c r="C441" s="6">
        <v>46218</v>
      </c>
      <c r="D441" s="17" t="str">
        <f t="shared" si="76"/>
        <v>July</v>
      </c>
      <c r="E441" s="5" t="str">
        <f t="shared" ca="1" si="77"/>
        <v>STU-477</v>
      </c>
      <c r="F441" s="5" t="str">
        <f ca="1">IF(COUNTIF($E$2:E441,E441)=1,"New Customer","Returning Customer")</f>
        <v>Returning Customer</v>
      </c>
      <c r="G441" s="5" t="str">
        <f t="shared" ca="1" si="78"/>
        <v>Female</v>
      </c>
      <c r="H441" s="5" t="s">
        <v>139</v>
      </c>
      <c r="I441" s="5" t="str" cm="1">
        <f t="array" aca="1" ref="I441" ca="1">INDEX(Courses!$B$9:$B$16,RANDBETWEEN(1,8))</f>
        <v>Adolescent Psychology</v>
      </c>
      <c r="J441" s="5" t="str">
        <f ca="1">VLOOKUP(I441,Courses!$B$9:$C$16,2,0)</f>
        <v>Psychology</v>
      </c>
      <c r="K441" s="7">
        <f ca="1">VLOOKUP(I441,Courses!$B$9:$D$16,3,0)</f>
        <v>29</v>
      </c>
      <c r="L441" s="5" t="str">
        <f t="shared" ca="1" si="79"/>
        <v>Pending</v>
      </c>
      <c r="M441" s="8" t="str" cm="1">
        <f t="array" aca="1" ref="M441" ca="1">INDEX('Payment Method'!$A$8:$A$12,RANDBETWEEN(1,5))</f>
        <v>Visa Debit</v>
      </c>
      <c r="N441" s="7">
        <f>IFERROR(SUMIF(Holiday!$A$8:$A$11,B441,Holiday!$C$8:$C$11),0)</f>
        <v>0</v>
      </c>
      <c r="O441" s="7">
        <f t="shared" ca="1" si="80"/>
        <v>29</v>
      </c>
      <c r="P441" s="19">
        <f t="shared" ca="1" si="81"/>
        <v>28.42</v>
      </c>
      <c r="Q441" s="7">
        <f t="shared" ca="1" si="82"/>
        <v>28.135800000000003</v>
      </c>
      <c r="R441" s="8">
        <f ca="1">VLOOKUP(M441,'Payment Method'!$A$8:$B$12,2,0)</f>
        <v>0.02</v>
      </c>
      <c r="S441" s="9">
        <f t="shared" ca="1" si="72"/>
        <v>0.57999999999999829</v>
      </c>
      <c r="T441" s="8">
        <v>0.01</v>
      </c>
      <c r="U441" s="9">
        <f t="shared" ca="1" si="73"/>
        <v>0.28419999999999845</v>
      </c>
      <c r="V441" s="7">
        <f t="shared" ca="1" si="74"/>
        <v>0</v>
      </c>
      <c r="W441" s="7">
        <f t="shared" ca="1" si="75"/>
        <v>0</v>
      </c>
      <c r="X441" s="5" t="str">
        <f t="shared" ca="1" si="83"/>
        <v>Tiktok</v>
      </c>
      <c r="Y441" s="78" t="str">
        <f>IF(COUNTIF($C$1:C440,B440)=1,10,"")</f>
        <v/>
      </c>
    </row>
    <row r="442" spans="1:25" x14ac:dyDescent="0.3">
      <c r="A442" s="75">
        <v>441</v>
      </c>
      <c r="B442" s="6">
        <v>46023</v>
      </c>
      <c r="C442" s="6">
        <v>46025</v>
      </c>
      <c r="D442" s="17" t="str">
        <f t="shared" si="76"/>
        <v>January</v>
      </c>
      <c r="E442" s="5" t="str">
        <f t="shared" ca="1" si="77"/>
        <v>STU-482</v>
      </c>
      <c r="F442" s="5" t="str">
        <f ca="1">IF(COUNTIF($E$2:E442,E442)=1,"New Customer","Returning Customer")</f>
        <v>Returning Customer</v>
      </c>
      <c r="G442" s="5" t="str">
        <f t="shared" ca="1" si="78"/>
        <v>Not specified</v>
      </c>
      <c r="H442" s="5" t="s">
        <v>140</v>
      </c>
      <c r="I442" s="5" t="str" cm="1">
        <f t="array" aca="1" ref="I442" ca="1">INDEX(Courses!$B$9:$B$16,RANDBETWEEN(1,8))</f>
        <v>Adolescent Psychology</v>
      </c>
      <c r="J442" s="5" t="str">
        <f ca="1">VLOOKUP(I442,Courses!$B$9:$C$16,2,0)</f>
        <v>Psychology</v>
      </c>
      <c r="K442" s="7">
        <f ca="1">VLOOKUP(I442,Courses!$B$9:$D$16,3,0)</f>
        <v>29</v>
      </c>
      <c r="L442" s="5" t="str">
        <f t="shared" ca="1" si="79"/>
        <v>Pending</v>
      </c>
      <c r="M442" s="8" t="str" cm="1">
        <f t="array" aca="1" ref="M442" ca="1">INDEX('Payment Method'!$A$8:$A$12,RANDBETWEEN(1,5))</f>
        <v>Visa Debit</v>
      </c>
      <c r="N442" s="7">
        <f>IFERROR(SUMIF(Holiday!$A$8:$A$11,B442,Holiday!$C$8:$C$11),0)</f>
        <v>20</v>
      </c>
      <c r="O442" s="7">
        <f t="shared" ca="1" si="80"/>
        <v>-551</v>
      </c>
      <c r="P442" s="19">
        <f t="shared" ca="1" si="81"/>
        <v>-539.98</v>
      </c>
      <c r="Q442" s="7">
        <f t="shared" ca="1" si="82"/>
        <v>-534.58019999999999</v>
      </c>
      <c r="R442" s="8">
        <f ca="1">VLOOKUP(M442,'Payment Method'!$A$8:$B$12,2,0)</f>
        <v>0.02</v>
      </c>
      <c r="S442" s="9">
        <f t="shared" ca="1" si="72"/>
        <v>-11.019999999999982</v>
      </c>
      <c r="T442" s="8">
        <v>0.01</v>
      </c>
      <c r="U442" s="9">
        <f t="shared" ca="1" si="73"/>
        <v>-5.3998000000000275</v>
      </c>
      <c r="V442" s="7">
        <f t="shared" ca="1" si="74"/>
        <v>0</v>
      </c>
      <c r="W442" s="7">
        <f t="shared" ca="1" si="75"/>
        <v>0</v>
      </c>
      <c r="X442" s="5" t="str">
        <f t="shared" ca="1" si="83"/>
        <v>Instagram</v>
      </c>
      <c r="Y442" s="78" t="str">
        <f>IF(COUNTIF($C$1:C441,B441)=1,10,"")</f>
        <v/>
      </c>
    </row>
    <row r="443" spans="1:25" x14ac:dyDescent="0.3">
      <c r="A443" s="76">
        <v>442</v>
      </c>
      <c r="B443" s="6">
        <v>46185</v>
      </c>
      <c r="C443" s="6">
        <v>46185</v>
      </c>
      <c r="D443" s="17" t="str">
        <f t="shared" si="76"/>
        <v>June</v>
      </c>
      <c r="E443" s="5" t="str">
        <f t="shared" ca="1" si="77"/>
        <v>STU-360</v>
      </c>
      <c r="F443" s="5" t="str">
        <f ca="1">IF(COUNTIF($E$2:E443,E443)=1,"New Customer","Returning Customer")</f>
        <v>Returning Customer</v>
      </c>
      <c r="G443" s="5" t="str">
        <f t="shared" ca="1" si="78"/>
        <v>Male</v>
      </c>
      <c r="H443" s="5" t="s">
        <v>135</v>
      </c>
      <c r="I443" s="5" t="str" cm="1">
        <f t="array" aca="1" ref="I443" ca="1">INDEX(Courses!$B$9:$B$16,RANDBETWEEN(1,8))</f>
        <v>Excel Basics</v>
      </c>
      <c r="J443" s="5" t="str">
        <f ca="1">VLOOKUP(I443,Courses!$B$9:$C$16,2,0)</f>
        <v>Microsoft Office</v>
      </c>
      <c r="K443" s="7">
        <f ca="1">VLOOKUP(I443,Courses!$B$9:$D$16,3,0)</f>
        <v>29</v>
      </c>
      <c r="L443" s="5" t="str">
        <f t="shared" ca="1" si="79"/>
        <v>Paid</v>
      </c>
      <c r="M443" s="8" t="str" cm="1">
        <f t="array" aca="1" ref="M443" ca="1">INDEX('Payment Method'!$A$8:$A$12,RANDBETWEEN(1,5))</f>
        <v>Mastercard Debit</v>
      </c>
      <c r="N443" s="7">
        <f>IFERROR(SUMIF(Holiday!$A$8:$A$11,B443,Holiday!$C$8:$C$11),0)</f>
        <v>0</v>
      </c>
      <c r="O443" s="7">
        <f t="shared" ca="1" si="80"/>
        <v>29</v>
      </c>
      <c r="P443" s="19">
        <f t="shared" ca="1" si="81"/>
        <v>28.42</v>
      </c>
      <c r="Q443" s="7">
        <f t="shared" ca="1" si="82"/>
        <v>0</v>
      </c>
      <c r="R443" s="8">
        <f ca="1">VLOOKUP(M443,'Payment Method'!$A$8:$B$12,2,0)</f>
        <v>0.02</v>
      </c>
      <c r="S443" s="9">
        <f t="shared" ca="1" si="72"/>
        <v>0.57999999999999829</v>
      </c>
      <c r="T443" s="8">
        <v>0.01</v>
      </c>
      <c r="U443" s="9">
        <f t="shared" ca="1" si="73"/>
        <v>0.28419999999999845</v>
      </c>
      <c r="V443" s="7">
        <f t="shared" ca="1" si="74"/>
        <v>0</v>
      </c>
      <c r="W443" s="7">
        <f t="shared" ca="1" si="75"/>
        <v>28.135800000000003</v>
      </c>
      <c r="X443" s="5" t="str">
        <f t="shared" ca="1" si="83"/>
        <v>Instagram</v>
      </c>
      <c r="Y443" s="78" t="str">
        <f>IF(COUNTIF($C$1:C442,B442)=1,10,"")</f>
        <v/>
      </c>
    </row>
    <row r="444" spans="1:25" x14ac:dyDescent="0.3">
      <c r="A444" s="75">
        <v>443</v>
      </c>
      <c r="B444" s="6">
        <v>46135</v>
      </c>
      <c r="C444" s="6">
        <v>46135</v>
      </c>
      <c r="D444" s="17" t="str">
        <f t="shared" si="76"/>
        <v>April</v>
      </c>
      <c r="E444" s="5" t="str">
        <f t="shared" ca="1" si="77"/>
        <v>STU-884</v>
      </c>
      <c r="F444" s="5" t="str">
        <f ca="1">IF(COUNTIF($E$2:E444,E444)=1,"New Customer","Returning Customer")</f>
        <v>New Customer</v>
      </c>
      <c r="G444" s="5" t="str">
        <f t="shared" ca="1" si="78"/>
        <v>Female</v>
      </c>
      <c r="H444" s="5" t="s">
        <v>137</v>
      </c>
      <c r="I444" s="5" t="str" cm="1">
        <f t="array" aca="1" ref="I444" ca="1">INDEX(Courses!$B$9:$B$16,RANDBETWEEN(1,8))</f>
        <v>Tax Code</v>
      </c>
      <c r="J444" s="5" t="str">
        <f ca="1">VLOOKUP(I444,Courses!$B$9:$C$16,2,0)</f>
        <v>Finance &amp; Taxation</v>
      </c>
      <c r="K444" s="7">
        <f ca="1">VLOOKUP(I444,Courses!$B$9:$D$16,3,0)</f>
        <v>59</v>
      </c>
      <c r="L444" s="5" t="str">
        <f t="shared" ca="1" si="79"/>
        <v>Paid</v>
      </c>
      <c r="M444" s="8" t="str" cm="1">
        <f t="array" aca="1" ref="M444" ca="1">INDEX('Payment Method'!$A$8:$A$12,RANDBETWEEN(1,5))</f>
        <v>Mastercard Debit</v>
      </c>
      <c r="N444" s="7">
        <f>IFERROR(SUMIF(Holiday!$A$8:$A$11,B444,Holiday!$C$8:$C$11),0)</f>
        <v>0</v>
      </c>
      <c r="O444" s="7">
        <f t="shared" ca="1" si="80"/>
        <v>59</v>
      </c>
      <c r="P444" s="19">
        <f t="shared" ca="1" si="81"/>
        <v>57.82</v>
      </c>
      <c r="Q444" s="7">
        <f t="shared" ca="1" si="82"/>
        <v>0</v>
      </c>
      <c r="R444" s="8">
        <f ca="1">VLOOKUP(M444,'Payment Method'!$A$8:$B$12,2,0)</f>
        <v>0.02</v>
      </c>
      <c r="S444" s="9">
        <f t="shared" ca="1" si="72"/>
        <v>1.1799999999999997</v>
      </c>
      <c r="T444" s="8">
        <v>0.01</v>
      </c>
      <c r="U444" s="9">
        <f t="shared" ca="1" si="73"/>
        <v>0.57820000000000249</v>
      </c>
      <c r="V444" s="7">
        <f t="shared" ca="1" si="74"/>
        <v>0</v>
      </c>
      <c r="W444" s="7">
        <f t="shared" ca="1" si="75"/>
        <v>57.241799999999998</v>
      </c>
      <c r="X444" s="5" t="str">
        <f t="shared" ca="1" si="83"/>
        <v>Tiktok</v>
      </c>
      <c r="Y444" s="78" t="str">
        <f>IF(COUNTIF($C$1:C443,B443)=1,10,"")</f>
        <v/>
      </c>
    </row>
    <row r="445" spans="1:25" x14ac:dyDescent="0.3">
      <c r="A445" s="76">
        <v>444</v>
      </c>
      <c r="B445" s="6">
        <v>46039</v>
      </c>
      <c r="C445" s="6">
        <v>46039</v>
      </c>
      <c r="D445" s="17" t="str">
        <f t="shared" si="76"/>
        <v>January</v>
      </c>
      <c r="E445" s="5" t="str">
        <f t="shared" ca="1" si="77"/>
        <v>STU-678</v>
      </c>
      <c r="F445" s="5" t="str">
        <f ca="1">IF(COUNTIF($E$2:E445,E445)=1,"New Customer","Returning Customer")</f>
        <v>Returning Customer</v>
      </c>
      <c r="G445" s="5" t="str">
        <f t="shared" ca="1" si="78"/>
        <v>Female</v>
      </c>
      <c r="H445" s="5" t="s">
        <v>135</v>
      </c>
      <c r="I445" s="5" t="str" cm="1">
        <f t="array" aca="1" ref="I445" ca="1">INDEX(Courses!$B$9:$B$16,RANDBETWEEN(1,8))</f>
        <v>PowerPoint</v>
      </c>
      <c r="J445" s="5" t="str">
        <f ca="1">VLOOKUP(I445,Courses!$B$9:$C$16,2,0)</f>
        <v>Microsoft Office</v>
      </c>
      <c r="K445" s="7">
        <f ca="1">VLOOKUP(I445,Courses!$B$9:$D$16,3,0)</f>
        <v>29</v>
      </c>
      <c r="L445" s="5" t="str">
        <f t="shared" ca="1" si="79"/>
        <v>Paid</v>
      </c>
      <c r="M445" s="8" t="str" cm="1">
        <f t="array" aca="1" ref="M445" ca="1">INDEX('Payment Method'!$A$8:$A$12,RANDBETWEEN(1,5))</f>
        <v>Visa Debit</v>
      </c>
      <c r="N445" s="7">
        <f>IFERROR(SUMIF(Holiday!$A$8:$A$11,B445,Holiday!$C$8:$C$11),0)</f>
        <v>0</v>
      </c>
      <c r="O445" s="7">
        <f t="shared" ca="1" si="80"/>
        <v>29</v>
      </c>
      <c r="P445" s="19">
        <f t="shared" ca="1" si="81"/>
        <v>28.42</v>
      </c>
      <c r="Q445" s="7">
        <f t="shared" ca="1" si="82"/>
        <v>0</v>
      </c>
      <c r="R445" s="8">
        <f ca="1">VLOOKUP(M445,'Payment Method'!$A$8:$B$12,2,0)</f>
        <v>0.02</v>
      </c>
      <c r="S445" s="9">
        <f t="shared" ca="1" si="72"/>
        <v>0.57999999999999829</v>
      </c>
      <c r="T445" s="8">
        <v>0.01</v>
      </c>
      <c r="U445" s="9">
        <f t="shared" ca="1" si="73"/>
        <v>0.28419999999999845</v>
      </c>
      <c r="V445" s="7">
        <f t="shared" ca="1" si="74"/>
        <v>0</v>
      </c>
      <c r="W445" s="7">
        <f t="shared" ca="1" si="75"/>
        <v>28.135800000000003</v>
      </c>
      <c r="X445" s="5" t="str">
        <f t="shared" ca="1" si="83"/>
        <v>Instagram</v>
      </c>
      <c r="Y445" s="78" t="str">
        <f>IF(COUNTIF($C$1:C444,B444)=1,10,"")</f>
        <v/>
      </c>
    </row>
    <row r="446" spans="1:25" x14ac:dyDescent="0.3">
      <c r="A446" s="75">
        <v>445</v>
      </c>
      <c r="B446" s="6">
        <v>46088</v>
      </c>
      <c r="C446" s="6">
        <v>46088</v>
      </c>
      <c r="D446" s="17" t="str">
        <f t="shared" si="76"/>
        <v>March</v>
      </c>
      <c r="E446" s="5" t="str">
        <f t="shared" ca="1" si="77"/>
        <v>STU-315</v>
      </c>
      <c r="F446" s="5" t="str">
        <f ca="1">IF(COUNTIF($E$2:E446,E446)=1,"New Customer","Returning Customer")</f>
        <v>New Customer</v>
      </c>
      <c r="G446" s="5" t="str">
        <f t="shared" ca="1" si="78"/>
        <v>Female</v>
      </c>
      <c r="H446" s="5" t="s">
        <v>141</v>
      </c>
      <c r="I446" s="5" t="str" cm="1">
        <f t="array" aca="1" ref="I446" ca="1">INDEX(Courses!$B$9:$B$16,RANDBETWEEN(1,8))</f>
        <v>Complete Excel Course</v>
      </c>
      <c r="J446" s="5" t="str">
        <f ca="1">VLOOKUP(I446,Courses!$B$9:$C$16,2,0)</f>
        <v>Microsoft Office</v>
      </c>
      <c r="K446" s="7">
        <f ca="1">VLOOKUP(I446,Courses!$B$9:$D$16,3,0)</f>
        <v>59</v>
      </c>
      <c r="L446" s="5" t="str">
        <f t="shared" ca="1" si="79"/>
        <v>Paid</v>
      </c>
      <c r="M446" s="8" t="str" cm="1">
        <f t="array" aca="1" ref="M446" ca="1">INDEX('Payment Method'!$A$8:$A$12,RANDBETWEEN(1,5))</f>
        <v>Mastercard Credit</v>
      </c>
      <c r="N446" s="7">
        <f>IFERROR(SUMIF(Holiday!$A$8:$A$11,B446,Holiday!$C$8:$C$11),0)</f>
        <v>0</v>
      </c>
      <c r="O446" s="7">
        <f t="shared" ca="1" si="80"/>
        <v>59</v>
      </c>
      <c r="P446" s="19">
        <f t="shared" ca="1" si="81"/>
        <v>56.935000000000002</v>
      </c>
      <c r="Q446" s="7">
        <f t="shared" ca="1" si="82"/>
        <v>0</v>
      </c>
      <c r="R446" s="8">
        <f ca="1">VLOOKUP(M446,'Payment Method'!$A$8:$B$12,2,0)</f>
        <v>3.5000000000000003E-2</v>
      </c>
      <c r="S446" s="9">
        <f t="shared" ca="1" si="72"/>
        <v>2.0649999999999977</v>
      </c>
      <c r="T446" s="8">
        <v>0.01</v>
      </c>
      <c r="U446" s="9">
        <f t="shared" ca="1" si="73"/>
        <v>0.56935000000000002</v>
      </c>
      <c r="V446" s="7">
        <f t="shared" ca="1" si="74"/>
        <v>0</v>
      </c>
      <c r="W446" s="7">
        <f t="shared" ca="1" si="75"/>
        <v>56.365650000000002</v>
      </c>
      <c r="X446" s="5" t="str">
        <f t="shared" ca="1" si="83"/>
        <v>Facebook</v>
      </c>
      <c r="Y446" s="78" t="str">
        <f>IF(COUNTIF($C$1:C445,B445)=1,10,"")</f>
        <v/>
      </c>
    </row>
    <row r="447" spans="1:25" x14ac:dyDescent="0.3">
      <c r="A447" s="76">
        <v>446</v>
      </c>
      <c r="B447" s="6">
        <v>46224</v>
      </c>
      <c r="C447" s="6">
        <v>46229</v>
      </c>
      <c r="D447" s="17" t="str">
        <f t="shared" si="76"/>
        <v>July</v>
      </c>
      <c r="E447" s="5" t="str">
        <f t="shared" ca="1" si="77"/>
        <v>STU-373</v>
      </c>
      <c r="F447" s="5" t="str">
        <f ca="1">IF(COUNTIF($E$2:E447,E447)=1,"New Customer","Returning Customer")</f>
        <v>Returning Customer</v>
      </c>
      <c r="G447" s="5" t="str">
        <f t="shared" ca="1" si="78"/>
        <v>Female</v>
      </c>
      <c r="H447" s="5" t="s">
        <v>137</v>
      </c>
      <c r="I447" s="5" t="str" cm="1">
        <f t="array" aca="1" ref="I447" ca="1">INDEX(Courses!$B$9:$B$16,RANDBETWEEN(1,8))</f>
        <v>Complete Excel Course</v>
      </c>
      <c r="J447" s="5" t="str">
        <f ca="1">VLOOKUP(I447,Courses!$B$9:$C$16,2,0)</f>
        <v>Microsoft Office</v>
      </c>
      <c r="K447" s="7">
        <f ca="1">VLOOKUP(I447,Courses!$B$9:$D$16,3,0)</f>
        <v>59</v>
      </c>
      <c r="L447" s="5" t="str">
        <f t="shared" ca="1" si="79"/>
        <v>Paid</v>
      </c>
      <c r="M447" s="8" t="str" cm="1">
        <f t="array" aca="1" ref="M447" ca="1">INDEX('Payment Method'!$A$8:$A$12,RANDBETWEEN(1,5))</f>
        <v>Visa Credit</v>
      </c>
      <c r="N447" s="7">
        <f>IFERROR(SUMIF(Holiday!$A$8:$A$11,B447,Holiday!$C$8:$C$11),0)</f>
        <v>0</v>
      </c>
      <c r="O447" s="7">
        <f t="shared" ca="1" si="80"/>
        <v>59</v>
      </c>
      <c r="P447" s="19">
        <f t="shared" ca="1" si="81"/>
        <v>56.935000000000002</v>
      </c>
      <c r="Q447" s="7">
        <f t="shared" ca="1" si="82"/>
        <v>0</v>
      </c>
      <c r="R447" s="8">
        <f ca="1">VLOOKUP(M447,'Payment Method'!$A$8:$B$12,2,0)</f>
        <v>3.5000000000000003E-2</v>
      </c>
      <c r="S447" s="9">
        <f t="shared" ca="1" si="72"/>
        <v>2.0649999999999977</v>
      </c>
      <c r="T447" s="8">
        <v>0.01</v>
      </c>
      <c r="U447" s="9">
        <f t="shared" ca="1" si="73"/>
        <v>0.56935000000000002</v>
      </c>
      <c r="V447" s="7">
        <f t="shared" ca="1" si="74"/>
        <v>0</v>
      </c>
      <c r="W447" s="7">
        <f t="shared" ca="1" si="75"/>
        <v>56.365650000000002</v>
      </c>
      <c r="X447" s="5" t="str">
        <f t="shared" ca="1" si="83"/>
        <v>Instagram</v>
      </c>
      <c r="Y447" s="78" t="str">
        <f>IF(COUNTIF($C$1:C446,B446)=1,10,"")</f>
        <v/>
      </c>
    </row>
    <row r="448" spans="1:25" x14ac:dyDescent="0.3">
      <c r="A448" s="75">
        <v>447</v>
      </c>
      <c r="B448" s="6">
        <v>46141</v>
      </c>
      <c r="C448" s="6">
        <v>46144</v>
      </c>
      <c r="D448" s="17" t="str">
        <f t="shared" si="76"/>
        <v>May</v>
      </c>
      <c r="E448" s="5" t="str">
        <f t="shared" ca="1" si="77"/>
        <v>STU-760</v>
      </c>
      <c r="F448" s="5" t="str">
        <f ca="1">IF(COUNTIF($E$2:E448,E448)=1,"New Customer","Returning Customer")</f>
        <v>Returning Customer</v>
      </c>
      <c r="G448" s="5" t="str">
        <f t="shared" ca="1" si="78"/>
        <v>Female</v>
      </c>
      <c r="H448" s="5" t="s">
        <v>140</v>
      </c>
      <c r="I448" s="5" t="str" cm="1">
        <f t="array" aca="1" ref="I448" ca="1">INDEX(Courses!$B$9:$B$16,RANDBETWEEN(1,8))</f>
        <v>Complete Excel Course</v>
      </c>
      <c r="J448" s="5" t="str">
        <f ca="1">VLOOKUP(I448,Courses!$B$9:$C$16,2,0)</f>
        <v>Microsoft Office</v>
      </c>
      <c r="K448" s="7">
        <f ca="1">VLOOKUP(I448,Courses!$B$9:$D$16,3,0)</f>
        <v>59</v>
      </c>
      <c r="L448" s="5" t="str">
        <f t="shared" ca="1" si="79"/>
        <v>Pending</v>
      </c>
      <c r="M448" s="8" t="str" cm="1">
        <f t="array" aca="1" ref="M448" ca="1">INDEX('Payment Method'!$A$8:$A$12,RANDBETWEEN(1,5))</f>
        <v>Visa Debit</v>
      </c>
      <c r="N448" s="7">
        <f>IFERROR(SUMIF(Holiday!$A$8:$A$11,B448,Holiday!$C$8:$C$11),0)</f>
        <v>0</v>
      </c>
      <c r="O448" s="7">
        <f t="shared" ca="1" si="80"/>
        <v>59</v>
      </c>
      <c r="P448" s="19">
        <f t="shared" ca="1" si="81"/>
        <v>57.82</v>
      </c>
      <c r="Q448" s="7">
        <f t="shared" ca="1" si="82"/>
        <v>57.241799999999998</v>
      </c>
      <c r="R448" s="8">
        <f ca="1">VLOOKUP(M448,'Payment Method'!$A$8:$B$12,2,0)</f>
        <v>0.02</v>
      </c>
      <c r="S448" s="9">
        <f t="shared" ca="1" si="72"/>
        <v>1.1799999999999997</v>
      </c>
      <c r="T448" s="8">
        <v>0.01</v>
      </c>
      <c r="U448" s="9">
        <f t="shared" ca="1" si="73"/>
        <v>0.57820000000000249</v>
      </c>
      <c r="V448" s="7">
        <f t="shared" ca="1" si="74"/>
        <v>0</v>
      </c>
      <c r="W448" s="7">
        <f t="shared" ca="1" si="75"/>
        <v>0</v>
      </c>
      <c r="X448" s="5" t="str">
        <f t="shared" ca="1" si="83"/>
        <v>Instagram</v>
      </c>
      <c r="Y448" s="78" t="str">
        <f>IF(COUNTIF($C$1:C447,B447)=1,10,"")</f>
        <v/>
      </c>
    </row>
    <row r="449" spans="1:25" x14ac:dyDescent="0.3">
      <c r="A449" s="76">
        <v>448</v>
      </c>
      <c r="B449" s="6">
        <v>46184</v>
      </c>
      <c r="C449" s="6">
        <v>46187</v>
      </c>
      <c r="D449" s="17" t="str">
        <f t="shared" si="76"/>
        <v>June</v>
      </c>
      <c r="E449" s="5" t="str">
        <f t="shared" ca="1" si="77"/>
        <v>STU-745</v>
      </c>
      <c r="F449" s="5" t="str">
        <f ca="1">IF(COUNTIF($E$2:E449,E449)=1,"New Customer","Returning Customer")</f>
        <v>Returning Customer</v>
      </c>
      <c r="G449" s="5" t="str">
        <f t="shared" ca="1" si="78"/>
        <v>Not specified</v>
      </c>
      <c r="H449" s="5" t="s">
        <v>139</v>
      </c>
      <c r="I449" s="5" t="str" cm="1">
        <f t="array" aca="1" ref="I449" ca="1">INDEX(Courses!$B$9:$B$16,RANDBETWEEN(1,8))</f>
        <v>Complete Excel Course</v>
      </c>
      <c r="J449" s="5" t="str">
        <f ca="1">VLOOKUP(I449,Courses!$B$9:$C$16,2,0)</f>
        <v>Microsoft Office</v>
      </c>
      <c r="K449" s="7">
        <f ca="1">VLOOKUP(I449,Courses!$B$9:$D$16,3,0)</f>
        <v>59</v>
      </c>
      <c r="L449" s="5" t="str">
        <f t="shared" ca="1" si="79"/>
        <v>Refunded</v>
      </c>
      <c r="M449" s="8" t="str" cm="1">
        <f t="array" aca="1" ref="M449" ca="1">INDEX('Payment Method'!$A$8:$A$12,RANDBETWEEN(1,5))</f>
        <v>Mastercard Credit</v>
      </c>
      <c r="N449" s="7">
        <f>IFERROR(SUMIF(Holiday!$A$8:$A$11,B449,Holiday!$C$8:$C$11),0)</f>
        <v>0</v>
      </c>
      <c r="O449" s="7">
        <f t="shared" ca="1" si="80"/>
        <v>59</v>
      </c>
      <c r="P449" s="19">
        <f t="shared" ca="1" si="81"/>
        <v>56.935000000000002</v>
      </c>
      <c r="Q449" s="7">
        <f t="shared" ca="1" si="82"/>
        <v>0</v>
      </c>
      <c r="R449" s="8">
        <f ca="1">VLOOKUP(M449,'Payment Method'!$A$8:$B$12,2,0)</f>
        <v>3.5000000000000003E-2</v>
      </c>
      <c r="S449" s="9">
        <f t="shared" ca="1" si="72"/>
        <v>2.0649999999999977</v>
      </c>
      <c r="T449" s="8">
        <v>0.01</v>
      </c>
      <c r="U449" s="9">
        <f t="shared" ca="1" si="73"/>
        <v>0.56935000000000002</v>
      </c>
      <c r="V449" s="7">
        <f t="shared" ca="1" si="74"/>
        <v>56.365650000000002</v>
      </c>
      <c r="W449" s="7">
        <f t="shared" ca="1" si="75"/>
        <v>0</v>
      </c>
      <c r="X449" s="5" t="str">
        <f t="shared" ca="1" si="83"/>
        <v>Tiktok</v>
      </c>
      <c r="Y449" s="78" t="str">
        <f>IF(COUNTIF($C$1:C448,B448)=1,10,"")</f>
        <v/>
      </c>
    </row>
    <row r="450" spans="1:25" x14ac:dyDescent="0.3">
      <c r="A450" s="75">
        <v>449</v>
      </c>
      <c r="B450" s="6">
        <v>46030</v>
      </c>
      <c r="C450" s="6">
        <v>46034</v>
      </c>
      <c r="D450" s="17" t="str">
        <f t="shared" si="76"/>
        <v>January</v>
      </c>
      <c r="E450" s="5" t="str">
        <f t="shared" ca="1" si="77"/>
        <v>STU-393</v>
      </c>
      <c r="F450" s="5" t="str">
        <f ca="1">IF(COUNTIF($E$2:E450,E450)=1,"New Customer","Returning Customer")</f>
        <v>Returning Customer</v>
      </c>
      <c r="G450" s="5" t="str">
        <f t="shared" ca="1" si="78"/>
        <v>Male</v>
      </c>
      <c r="H450" s="5" t="s">
        <v>135</v>
      </c>
      <c r="I450" s="5" t="str" cm="1">
        <f t="array" aca="1" ref="I450" ca="1">INDEX(Courses!$B$9:$B$16,RANDBETWEEN(1,8))</f>
        <v>Excel Basics</v>
      </c>
      <c r="J450" s="5" t="str">
        <f ca="1">VLOOKUP(I450,Courses!$B$9:$C$16,2,0)</f>
        <v>Microsoft Office</v>
      </c>
      <c r="K450" s="7">
        <f ca="1">VLOOKUP(I450,Courses!$B$9:$D$16,3,0)</f>
        <v>29</v>
      </c>
      <c r="L450" s="5" t="str">
        <f t="shared" ca="1" si="79"/>
        <v>Pending</v>
      </c>
      <c r="M450" s="8" t="str" cm="1">
        <f t="array" aca="1" ref="M450" ca="1">INDEX('Payment Method'!$A$8:$A$12,RANDBETWEEN(1,5))</f>
        <v>Visa Debit</v>
      </c>
      <c r="N450" s="7">
        <f>IFERROR(SUMIF(Holiday!$A$8:$A$11,B450,Holiday!$C$8:$C$11),0)</f>
        <v>0</v>
      </c>
      <c r="O450" s="7">
        <f t="shared" ca="1" si="80"/>
        <v>29</v>
      </c>
      <c r="P450" s="19">
        <f t="shared" ca="1" si="81"/>
        <v>28.42</v>
      </c>
      <c r="Q450" s="7">
        <f t="shared" ca="1" si="82"/>
        <v>28.135800000000003</v>
      </c>
      <c r="R450" s="8">
        <f ca="1">VLOOKUP(M450,'Payment Method'!$A$8:$B$12,2,0)</f>
        <v>0.02</v>
      </c>
      <c r="S450" s="9">
        <f t="shared" ref="S450:S513" ca="1" si="84">O450-(O450-O450*R450)</f>
        <v>0.57999999999999829</v>
      </c>
      <c r="T450" s="8">
        <v>0.01</v>
      </c>
      <c r="U450" s="9">
        <f t="shared" ref="U450:U513" ca="1" si="85">O450-S450-((O450-S450)-(O450-S450)*T450)</f>
        <v>0.28419999999999845</v>
      </c>
      <c r="V450" s="7">
        <f t="shared" ref="V450:V513" ca="1" si="86">IF(L450="refunded",(K450-K450*N450)-(K450-K450*N450)*R450-((K450-K450*N450)-(K450-K450*N450)*R450)*T450,0)</f>
        <v>0</v>
      </c>
      <c r="W450" s="7">
        <f t="shared" ref="W450:W513" ca="1" si="87">IF(L450="paid",(K450-K450*N450)-(K450-K450*N450)*R450-((K450-K450*N450)-(K450-K450*N450)*R450)*T450,0)</f>
        <v>0</v>
      </c>
      <c r="X450" s="5" t="str">
        <f t="shared" ca="1" si="83"/>
        <v>Tiktok</v>
      </c>
      <c r="Y450" s="78" t="str">
        <f>IF(COUNTIF($C$1:C449,B449)=1,10,"")</f>
        <v/>
      </c>
    </row>
    <row r="451" spans="1:25" x14ac:dyDescent="0.3">
      <c r="A451" s="76">
        <v>450</v>
      </c>
      <c r="B451" s="6">
        <v>46100</v>
      </c>
      <c r="C451" s="6">
        <v>46105</v>
      </c>
      <c r="D451" s="17" t="str">
        <f t="shared" ref="D451:D514" si="88">TEXT(C451,"mmmm")</f>
        <v>March</v>
      </c>
      <c r="E451" s="5" t="str">
        <f t="shared" ref="E451:E514" ca="1" si="89">"STU-"&amp;RANDBETWEEN(1,1000)</f>
        <v>STU-571</v>
      </c>
      <c r="F451" s="5" t="str">
        <f ca="1">IF(COUNTIF($E$2:E451,E451)=1,"New Customer","Returning Customer")</f>
        <v>New Customer</v>
      </c>
      <c r="G451" s="5" t="str">
        <f t="shared" ref="G451:G514" ca="1" si="90">CHOOSE(RANDBETWEEN(1,3),"Male","Female","Not specified")</f>
        <v>Female</v>
      </c>
      <c r="H451" s="5" t="s">
        <v>142</v>
      </c>
      <c r="I451" s="5" t="str" cm="1">
        <f t="array" aca="1" ref="I451" ca="1">INDEX(Courses!$B$9:$B$16,RANDBETWEEN(1,8))</f>
        <v>Excel Basics</v>
      </c>
      <c r="J451" s="5" t="str">
        <f ca="1">VLOOKUP(I451,Courses!$B$9:$C$16,2,0)</f>
        <v>Microsoft Office</v>
      </c>
      <c r="K451" s="7">
        <f ca="1">VLOOKUP(I451,Courses!$B$9:$D$16,3,0)</f>
        <v>29</v>
      </c>
      <c r="L451" s="5" t="str">
        <f t="shared" ref="L451:L514" ca="1" si="91">IF(RAND()&lt;0.6,"Paid",IF(RAND()&lt;0.75,"Pending","Refunded"))</f>
        <v>Paid</v>
      </c>
      <c r="M451" s="8" t="str" cm="1">
        <f t="array" aca="1" ref="M451" ca="1">INDEX('Payment Method'!$A$8:$A$12,RANDBETWEEN(1,5))</f>
        <v>Bank Transfer</v>
      </c>
      <c r="N451" s="7">
        <f>IFERROR(SUMIF(Holiday!$A$8:$A$11,B451,Holiday!$C$8:$C$11),0)</f>
        <v>0</v>
      </c>
      <c r="O451" s="7">
        <f t="shared" ref="O451:O514" ca="1" si="92">K451-K451*N451</f>
        <v>29</v>
      </c>
      <c r="P451" s="19">
        <f t="shared" ref="P451:P514" ca="1" si="93">O451-S451</f>
        <v>29</v>
      </c>
      <c r="Q451" s="7">
        <f t="shared" ref="Q451:Q514" ca="1" si="94">IF(L451="pending",(K451-K451*N451)-(K451-K451*N451)*R451-((K451-K451*N451)-(K451-K451*N451)*R451)*T451,0)</f>
        <v>0</v>
      </c>
      <c r="R451" s="8">
        <f ca="1">VLOOKUP(M451,'Payment Method'!$A$8:$B$12,2,0)</f>
        <v>0</v>
      </c>
      <c r="S451" s="9">
        <f t="shared" ca="1" si="84"/>
        <v>0</v>
      </c>
      <c r="T451" s="8">
        <v>0.01</v>
      </c>
      <c r="U451" s="9">
        <f t="shared" ca="1" si="85"/>
        <v>0.28999999999999915</v>
      </c>
      <c r="V451" s="7">
        <f t="shared" ca="1" si="86"/>
        <v>0</v>
      </c>
      <c r="W451" s="7">
        <f t="shared" ca="1" si="87"/>
        <v>28.71</v>
      </c>
      <c r="X451" s="5" t="str">
        <f t="shared" ref="X451:X514" ca="1" si="95">CHOOSE(RANDBETWEEN(1,3),"Facebook","Instagram","Tiktok")</f>
        <v>Tiktok</v>
      </c>
      <c r="Y451" s="78" t="str">
        <f>IF(COUNTIF($C$1:C450,B450)=1,10,"")</f>
        <v/>
      </c>
    </row>
    <row r="452" spans="1:25" x14ac:dyDescent="0.3">
      <c r="A452" s="75">
        <v>451</v>
      </c>
      <c r="B452" s="6">
        <v>46103</v>
      </c>
      <c r="C452" s="6">
        <v>46106</v>
      </c>
      <c r="D452" s="17" t="str">
        <f t="shared" si="88"/>
        <v>March</v>
      </c>
      <c r="E452" s="5" t="str">
        <f t="shared" ca="1" si="89"/>
        <v>STU-157</v>
      </c>
      <c r="F452" s="5" t="str">
        <f ca="1">IF(COUNTIF($E$2:E452,E452)=1,"New Customer","Returning Customer")</f>
        <v>Returning Customer</v>
      </c>
      <c r="G452" s="5" t="str">
        <f t="shared" ca="1" si="90"/>
        <v>Female</v>
      </c>
      <c r="H452" s="5" t="s">
        <v>142</v>
      </c>
      <c r="I452" s="5" t="str" cm="1">
        <f t="array" aca="1" ref="I452" ca="1">INDEX(Courses!$B$9:$B$16,RANDBETWEEN(1,8))</f>
        <v>SQL</v>
      </c>
      <c r="J452" s="5" t="str">
        <f ca="1">VLOOKUP(I452,Courses!$B$9:$C$16,2,0)</f>
        <v>Data Analytics</v>
      </c>
      <c r="K452" s="7">
        <f ca="1">VLOOKUP(I452,Courses!$B$9:$D$16,3,0)</f>
        <v>99</v>
      </c>
      <c r="L452" s="5" t="str">
        <f t="shared" ca="1" si="91"/>
        <v>Paid</v>
      </c>
      <c r="M452" s="8" t="str" cm="1">
        <f t="array" aca="1" ref="M452" ca="1">INDEX('Payment Method'!$A$8:$A$12,RANDBETWEEN(1,5))</f>
        <v>Visa Debit</v>
      </c>
      <c r="N452" s="7">
        <f>IFERROR(SUMIF(Holiday!$A$8:$A$11,B452,Holiday!$C$8:$C$11),0)</f>
        <v>0</v>
      </c>
      <c r="O452" s="7">
        <f t="shared" ca="1" si="92"/>
        <v>99</v>
      </c>
      <c r="P452" s="19">
        <f t="shared" ca="1" si="93"/>
        <v>97.02</v>
      </c>
      <c r="Q452" s="7">
        <f t="shared" ca="1" si="94"/>
        <v>0</v>
      </c>
      <c r="R452" s="8">
        <f ca="1">VLOOKUP(M452,'Payment Method'!$A$8:$B$12,2,0)</f>
        <v>0.02</v>
      </c>
      <c r="S452" s="9">
        <f t="shared" ca="1" si="84"/>
        <v>1.980000000000004</v>
      </c>
      <c r="T452" s="8">
        <v>0.01</v>
      </c>
      <c r="U452" s="9">
        <f t="shared" ca="1" si="85"/>
        <v>0.9702000000000055</v>
      </c>
      <c r="V452" s="7">
        <f t="shared" ca="1" si="86"/>
        <v>0</v>
      </c>
      <c r="W452" s="7">
        <f t="shared" ca="1" si="87"/>
        <v>96.049799999999991</v>
      </c>
      <c r="X452" s="5" t="str">
        <f t="shared" ca="1" si="95"/>
        <v>Tiktok</v>
      </c>
      <c r="Y452" s="78" t="str">
        <f>IF(COUNTIF($C$1:C451,B451)=1,10,"")</f>
        <v/>
      </c>
    </row>
    <row r="453" spans="1:25" x14ac:dyDescent="0.3">
      <c r="A453" s="76">
        <v>452</v>
      </c>
      <c r="B453" s="6">
        <v>46173</v>
      </c>
      <c r="C453" s="6">
        <v>46176</v>
      </c>
      <c r="D453" s="17" t="str">
        <f t="shared" si="88"/>
        <v>June</v>
      </c>
      <c r="E453" s="5" t="str">
        <f t="shared" ca="1" si="89"/>
        <v>STU-216</v>
      </c>
      <c r="F453" s="5" t="str">
        <f ca="1">IF(COUNTIF($E$2:E453,E453)=1,"New Customer","Returning Customer")</f>
        <v>Returning Customer</v>
      </c>
      <c r="G453" s="5" t="str">
        <f t="shared" ca="1" si="90"/>
        <v>Male</v>
      </c>
      <c r="H453" s="5" t="s">
        <v>136</v>
      </c>
      <c r="I453" s="5" t="str" cm="1">
        <f t="array" aca="1" ref="I453" ca="1">INDEX(Courses!$B$9:$B$16,RANDBETWEEN(1,8))</f>
        <v>Tax Code</v>
      </c>
      <c r="J453" s="5" t="str">
        <f ca="1">VLOOKUP(I453,Courses!$B$9:$C$16,2,0)</f>
        <v>Finance &amp; Taxation</v>
      </c>
      <c r="K453" s="7">
        <f ca="1">VLOOKUP(I453,Courses!$B$9:$D$16,3,0)</f>
        <v>59</v>
      </c>
      <c r="L453" s="5" t="str">
        <f t="shared" ca="1" si="91"/>
        <v>Pending</v>
      </c>
      <c r="M453" s="8" t="str" cm="1">
        <f t="array" aca="1" ref="M453" ca="1">INDEX('Payment Method'!$A$8:$A$12,RANDBETWEEN(1,5))</f>
        <v>Mastercard Debit</v>
      </c>
      <c r="N453" s="7">
        <f>IFERROR(SUMIF(Holiday!$A$8:$A$11,B453,Holiday!$C$8:$C$11),0)</f>
        <v>0</v>
      </c>
      <c r="O453" s="7">
        <f t="shared" ca="1" si="92"/>
        <v>59</v>
      </c>
      <c r="P453" s="19">
        <f t="shared" ca="1" si="93"/>
        <v>57.82</v>
      </c>
      <c r="Q453" s="7">
        <f t="shared" ca="1" si="94"/>
        <v>57.241799999999998</v>
      </c>
      <c r="R453" s="8">
        <f ca="1">VLOOKUP(M453,'Payment Method'!$A$8:$B$12,2,0)</f>
        <v>0.02</v>
      </c>
      <c r="S453" s="9">
        <f t="shared" ca="1" si="84"/>
        <v>1.1799999999999997</v>
      </c>
      <c r="T453" s="8">
        <v>0.01</v>
      </c>
      <c r="U453" s="9">
        <f t="shared" ca="1" si="85"/>
        <v>0.57820000000000249</v>
      </c>
      <c r="V453" s="7">
        <f t="shared" ca="1" si="86"/>
        <v>0</v>
      </c>
      <c r="W453" s="7">
        <f t="shared" ca="1" si="87"/>
        <v>0</v>
      </c>
      <c r="X453" s="5" t="str">
        <f t="shared" ca="1" si="95"/>
        <v>Instagram</v>
      </c>
      <c r="Y453" s="78" t="str">
        <f>IF(COUNTIF($C$1:C452,B452)=1,10,"")</f>
        <v/>
      </c>
    </row>
    <row r="454" spans="1:25" x14ac:dyDescent="0.3">
      <c r="A454" s="75">
        <v>453</v>
      </c>
      <c r="B454" s="6">
        <v>46156</v>
      </c>
      <c r="C454" s="6">
        <v>46159</v>
      </c>
      <c r="D454" s="17" t="str">
        <f t="shared" si="88"/>
        <v>May</v>
      </c>
      <c r="E454" s="5" t="str">
        <f t="shared" ca="1" si="89"/>
        <v>STU-375</v>
      </c>
      <c r="F454" s="5" t="str">
        <f ca="1">IF(COUNTIF($E$2:E454,E454)=1,"New Customer","Returning Customer")</f>
        <v>Returning Customer</v>
      </c>
      <c r="G454" s="5" t="str">
        <f t="shared" ca="1" si="90"/>
        <v>Female</v>
      </c>
      <c r="H454" s="5" t="s">
        <v>137</v>
      </c>
      <c r="I454" s="5" t="str" cm="1">
        <f t="array" aca="1" ref="I454" ca="1">INDEX(Courses!$B$9:$B$16,RANDBETWEEN(1,8))</f>
        <v>Microsoft Word</v>
      </c>
      <c r="J454" s="5" t="str">
        <f ca="1">VLOOKUP(I454,Courses!$B$9:$C$16,2,0)</f>
        <v>Microsoft Office</v>
      </c>
      <c r="K454" s="7">
        <f ca="1">VLOOKUP(I454,Courses!$B$9:$D$16,3,0)</f>
        <v>29</v>
      </c>
      <c r="L454" s="5" t="str">
        <f t="shared" ca="1" si="91"/>
        <v>Refunded</v>
      </c>
      <c r="M454" s="8" t="str" cm="1">
        <f t="array" aca="1" ref="M454" ca="1">INDEX('Payment Method'!$A$8:$A$12,RANDBETWEEN(1,5))</f>
        <v>Bank Transfer</v>
      </c>
      <c r="N454" s="7">
        <f>IFERROR(SUMIF(Holiday!$A$8:$A$11,B454,Holiday!$C$8:$C$11),0)</f>
        <v>0</v>
      </c>
      <c r="O454" s="7">
        <f t="shared" ca="1" si="92"/>
        <v>29</v>
      </c>
      <c r="P454" s="19">
        <f t="shared" ca="1" si="93"/>
        <v>29</v>
      </c>
      <c r="Q454" s="7">
        <f t="shared" ca="1" si="94"/>
        <v>0</v>
      </c>
      <c r="R454" s="8">
        <f ca="1">VLOOKUP(M454,'Payment Method'!$A$8:$B$12,2,0)</f>
        <v>0</v>
      </c>
      <c r="S454" s="9">
        <f t="shared" ca="1" si="84"/>
        <v>0</v>
      </c>
      <c r="T454" s="8">
        <v>0.01</v>
      </c>
      <c r="U454" s="9">
        <f t="shared" ca="1" si="85"/>
        <v>0.28999999999999915</v>
      </c>
      <c r="V454" s="7">
        <f t="shared" ca="1" si="86"/>
        <v>28.71</v>
      </c>
      <c r="W454" s="7">
        <f t="shared" ca="1" si="87"/>
        <v>0</v>
      </c>
      <c r="X454" s="5" t="str">
        <f t="shared" ca="1" si="95"/>
        <v>Facebook</v>
      </c>
      <c r="Y454" s="78">
        <f>IF(COUNTIF($C$1:C453,B453)=1,10,"")</f>
        <v>10</v>
      </c>
    </row>
    <row r="455" spans="1:25" x14ac:dyDescent="0.3">
      <c r="A455" s="76">
        <v>454</v>
      </c>
      <c r="B455" s="6">
        <v>46080</v>
      </c>
      <c r="C455" s="6">
        <v>46080</v>
      </c>
      <c r="D455" s="17" t="str">
        <f t="shared" si="88"/>
        <v>February</v>
      </c>
      <c r="E455" s="5" t="str">
        <f t="shared" ca="1" si="89"/>
        <v>STU-39</v>
      </c>
      <c r="F455" s="5" t="str">
        <f ca="1">IF(COUNTIF($E$2:E455,E455)=1,"New Customer","Returning Customer")</f>
        <v>New Customer</v>
      </c>
      <c r="G455" s="5" t="str">
        <f t="shared" ca="1" si="90"/>
        <v>Male</v>
      </c>
      <c r="H455" s="5" t="s">
        <v>140</v>
      </c>
      <c r="I455" s="5" t="str" cm="1">
        <f t="array" aca="1" ref="I455" ca="1">INDEX(Courses!$B$9:$B$16,RANDBETWEEN(1,8))</f>
        <v>PowerPoint</v>
      </c>
      <c r="J455" s="5" t="str">
        <f ca="1">VLOOKUP(I455,Courses!$B$9:$C$16,2,0)</f>
        <v>Microsoft Office</v>
      </c>
      <c r="K455" s="7">
        <f ca="1">VLOOKUP(I455,Courses!$B$9:$D$16,3,0)</f>
        <v>29</v>
      </c>
      <c r="L455" s="5" t="str">
        <f t="shared" ca="1" si="91"/>
        <v>Paid</v>
      </c>
      <c r="M455" s="8" t="str" cm="1">
        <f t="array" aca="1" ref="M455" ca="1">INDEX('Payment Method'!$A$8:$A$12,RANDBETWEEN(1,5))</f>
        <v>Visa Credit</v>
      </c>
      <c r="N455" s="7">
        <f>IFERROR(SUMIF(Holiday!$A$8:$A$11,B455,Holiday!$C$8:$C$11),0)</f>
        <v>0</v>
      </c>
      <c r="O455" s="7">
        <f t="shared" ca="1" si="92"/>
        <v>29</v>
      </c>
      <c r="P455" s="19">
        <f t="shared" ca="1" si="93"/>
        <v>27.984999999999999</v>
      </c>
      <c r="Q455" s="7">
        <f t="shared" ca="1" si="94"/>
        <v>0</v>
      </c>
      <c r="R455" s="8">
        <f ca="1">VLOOKUP(M455,'Payment Method'!$A$8:$B$12,2,0)</f>
        <v>3.5000000000000003E-2</v>
      </c>
      <c r="S455" s="9">
        <f t="shared" ca="1" si="84"/>
        <v>1.0150000000000006</v>
      </c>
      <c r="T455" s="8">
        <v>0.01</v>
      </c>
      <c r="U455" s="9">
        <f t="shared" ca="1" si="85"/>
        <v>0.27984999999999971</v>
      </c>
      <c r="V455" s="7">
        <f t="shared" ca="1" si="86"/>
        <v>0</v>
      </c>
      <c r="W455" s="7">
        <f t="shared" ca="1" si="87"/>
        <v>27.70515</v>
      </c>
      <c r="X455" s="5" t="str">
        <f t="shared" ca="1" si="95"/>
        <v>Facebook</v>
      </c>
      <c r="Y455" s="78" t="str">
        <f>IF(COUNTIF($C$1:C454,B454)=1,10,"")</f>
        <v/>
      </c>
    </row>
    <row r="456" spans="1:25" x14ac:dyDescent="0.3">
      <c r="A456" s="75">
        <v>455</v>
      </c>
      <c r="B456" s="6">
        <v>46080</v>
      </c>
      <c r="C456" s="6">
        <v>46084</v>
      </c>
      <c r="D456" s="17" t="str">
        <f t="shared" si="88"/>
        <v>March</v>
      </c>
      <c r="E456" s="5" t="str">
        <f t="shared" ca="1" si="89"/>
        <v>STU-882</v>
      </c>
      <c r="F456" s="5" t="str">
        <f ca="1">IF(COUNTIF($E$2:E456,E456)=1,"New Customer","Returning Customer")</f>
        <v>New Customer</v>
      </c>
      <c r="G456" s="5" t="str">
        <f t="shared" ca="1" si="90"/>
        <v>Not specified</v>
      </c>
      <c r="H456" s="5" t="s">
        <v>138</v>
      </c>
      <c r="I456" s="5" t="str" cm="1">
        <f t="array" aca="1" ref="I456" ca="1">INDEX(Courses!$B$9:$B$16,RANDBETWEEN(1,8))</f>
        <v>Adolescent Psychology</v>
      </c>
      <c r="J456" s="5" t="str">
        <f ca="1">VLOOKUP(I456,Courses!$B$9:$C$16,2,0)</f>
        <v>Psychology</v>
      </c>
      <c r="K456" s="7">
        <f ca="1">VLOOKUP(I456,Courses!$B$9:$D$16,3,0)</f>
        <v>29</v>
      </c>
      <c r="L456" s="5" t="str">
        <f t="shared" ca="1" si="91"/>
        <v>Paid</v>
      </c>
      <c r="M456" s="8" t="str" cm="1">
        <f t="array" aca="1" ref="M456" ca="1">INDEX('Payment Method'!$A$8:$A$12,RANDBETWEEN(1,5))</f>
        <v>Visa Debit</v>
      </c>
      <c r="N456" s="7">
        <f>IFERROR(SUMIF(Holiday!$A$8:$A$11,B456,Holiday!$C$8:$C$11),0)</f>
        <v>0</v>
      </c>
      <c r="O456" s="7">
        <f t="shared" ca="1" si="92"/>
        <v>29</v>
      </c>
      <c r="P456" s="19">
        <f t="shared" ca="1" si="93"/>
        <v>28.42</v>
      </c>
      <c r="Q456" s="7">
        <f t="shared" ca="1" si="94"/>
        <v>0</v>
      </c>
      <c r="R456" s="8">
        <f ca="1">VLOOKUP(M456,'Payment Method'!$A$8:$B$12,2,0)</f>
        <v>0.02</v>
      </c>
      <c r="S456" s="9">
        <f t="shared" ca="1" si="84"/>
        <v>0.57999999999999829</v>
      </c>
      <c r="T456" s="8">
        <v>0.01</v>
      </c>
      <c r="U456" s="9">
        <f t="shared" ca="1" si="85"/>
        <v>0.28419999999999845</v>
      </c>
      <c r="V456" s="7">
        <f t="shared" ca="1" si="86"/>
        <v>0</v>
      </c>
      <c r="W456" s="7">
        <f t="shared" ca="1" si="87"/>
        <v>28.135800000000003</v>
      </c>
      <c r="X456" s="5" t="str">
        <f t="shared" ca="1" si="95"/>
        <v>Tiktok</v>
      </c>
      <c r="Y456" s="78">
        <f>IF(COUNTIF($C$1:C455,B455)=1,10,"")</f>
        <v>10</v>
      </c>
    </row>
    <row r="457" spans="1:25" x14ac:dyDescent="0.3">
      <c r="A457" s="76">
        <v>456</v>
      </c>
      <c r="B457" s="6">
        <v>46183</v>
      </c>
      <c r="C457" s="6">
        <v>46185</v>
      </c>
      <c r="D457" s="17" t="str">
        <f t="shared" si="88"/>
        <v>June</v>
      </c>
      <c r="E457" s="5" t="str">
        <f t="shared" ca="1" si="89"/>
        <v>STU-846</v>
      </c>
      <c r="F457" s="5" t="str">
        <f ca="1">IF(COUNTIF($E$2:E457,E457)=1,"New Customer","Returning Customer")</f>
        <v>New Customer</v>
      </c>
      <c r="G457" s="5" t="str">
        <f t="shared" ca="1" si="90"/>
        <v>Not specified</v>
      </c>
      <c r="H457" s="5" t="s">
        <v>139</v>
      </c>
      <c r="I457" s="5" t="str" cm="1">
        <f t="array" aca="1" ref="I457" ca="1">INDEX(Courses!$B$9:$B$16,RANDBETWEEN(1,8))</f>
        <v>Excel Basics</v>
      </c>
      <c r="J457" s="5" t="str">
        <f ca="1">VLOOKUP(I457,Courses!$B$9:$C$16,2,0)</f>
        <v>Microsoft Office</v>
      </c>
      <c r="K457" s="7">
        <f ca="1">VLOOKUP(I457,Courses!$B$9:$D$16,3,0)</f>
        <v>29</v>
      </c>
      <c r="L457" s="5" t="str">
        <f t="shared" ca="1" si="91"/>
        <v>Pending</v>
      </c>
      <c r="M457" s="8" t="str" cm="1">
        <f t="array" aca="1" ref="M457" ca="1">INDEX('Payment Method'!$A$8:$A$12,RANDBETWEEN(1,5))</f>
        <v>Bank Transfer</v>
      </c>
      <c r="N457" s="7">
        <f>IFERROR(SUMIF(Holiday!$A$8:$A$11,B457,Holiday!$C$8:$C$11),0)</f>
        <v>0</v>
      </c>
      <c r="O457" s="7">
        <f t="shared" ca="1" si="92"/>
        <v>29</v>
      </c>
      <c r="P457" s="19">
        <f t="shared" ca="1" si="93"/>
        <v>29</v>
      </c>
      <c r="Q457" s="7">
        <f t="shared" ca="1" si="94"/>
        <v>28.71</v>
      </c>
      <c r="R457" s="8">
        <f ca="1">VLOOKUP(M457,'Payment Method'!$A$8:$B$12,2,0)</f>
        <v>0</v>
      </c>
      <c r="S457" s="9">
        <f t="shared" ca="1" si="84"/>
        <v>0</v>
      </c>
      <c r="T457" s="8">
        <v>0.01</v>
      </c>
      <c r="U457" s="9">
        <f t="shared" ca="1" si="85"/>
        <v>0.28999999999999915</v>
      </c>
      <c r="V457" s="7">
        <f t="shared" ca="1" si="86"/>
        <v>0</v>
      </c>
      <c r="W457" s="7">
        <f t="shared" ca="1" si="87"/>
        <v>0</v>
      </c>
      <c r="X457" s="5" t="str">
        <f t="shared" ca="1" si="95"/>
        <v>Tiktok</v>
      </c>
      <c r="Y457" s="78">
        <f>IF(COUNTIF($C$1:C456,B456)=1,10,"")</f>
        <v>10</v>
      </c>
    </row>
    <row r="458" spans="1:25" x14ac:dyDescent="0.3">
      <c r="A458" s="75">
        <v>457</v>
      </c>
      <c r="B458" s="6">
        <v>46206</v>
      </c>
      <c r="C458" s="6">
        <v>46208</v>
      </c>
      <c r="D458" s="17" t="str">
        <f t="shared" si="88"/>
        <v>July</v>
      </c>
      <c r="E458" s="5" t="str">
        <f t="shared" ca="1" si="89"/>
        <v>STU-84</v>
      </c>
      <c r="F458" s="5" t="str">
        <f ca="1">IF(COUNTIF($E$2:E458,E458)=1,"New Customer","Returning Customer")</f>
        <v>New Customer</v>
      </c>
      <c r="G458" s="5" t="str">
        <f t="shared" ca="1" si="90"/>
        <v>Not specified</v>
      </c>
      <c r="H458" s="5" t="s">
        <v>138</v>
      </c>
      <c r="I458" s="5" t="str" cm="1">
        <f t="array" aca="1" ref="I458" ca="1">INDEX(Courses!$B$9:$B$16,RANDBETWEEN(1,8))</f>
        <v>PowerPoint</v>
      </c>
      <c r="J458" s="5" t="str">
        <f ca="1">VLOOKUP(I458,Courses!$B$9:$C$16,2,0)</f>
        <v>Microsoft Office</v>
      </c>
      <c r="K458" s="7">
        <f ca="1">VLOOKUP(I458,Courses!$B$9:$D$16,3,0)</f>
        <v>29</v>
      </c>
      <c r="L458" s="5" t="str">
        <f t="shared" ca="1" si="91"/>
        <v>Pending</v>
      </c>
      <c r="M458" s="8" t="str" cm="1">
        <f t="array" aca="1" ref="M458" ca="1">INDEX('Payment Method'!$A$8:$A$12,RANDBETWEEN(1,5))</f>
        <v>Bank Transfer</v>
      </c>
      <c r="N458" s="7">
        <f>IFERROR(SUMIF(Holiday!$A$8:$A$11,B458,Holiday!$C$8:$C$11),0)</f>
        <v>0</v>
      </c>
      <c r="O458" s="7">
        <f t="shared" ca="1" si="92"/>
        <v>29</v>
      </c>
      <c r="P458" s="19">
        <f t="shared" ca="1" si="93"/>
        <v>29</v>
      </c>
      <c r="Q458" s="7">
        <f t="shared" ca="1" si="94"/>
        <v>28.71</v>
      </c>
      <c r="R458" s="8">
        <f ca="1">VLOOKUP(M458,'Payment Method'!$A$8:$B$12,2,0)</f>
        <v>0</v>
      </c>
      <c r="S458" s="9">
        <f t="shared" ca="1" si="84"/>
        <v>0</v>
      </c>
      <c r="T458" s="8">
        <v>0.01</v>
      </c>
      <c r="U458" s="9">
        <f t="shared" ca="1" si="85"/>
        <v>0.28999999999999915</v>
      </c>
      <c r="V458" s="7">
        <f t="shared" ca="1" si="86"/>
        <v>0</v>
      </c>
      <c r="W458" s="7">
        <f t="shared" ca="1" si="87"/>
        <v>0</v>
      </c>
      <c r="X458" s="5" t="str">
        <f t="shared" ca="1" si="95"/>
        <v>Facebook</v>
      </c>
      <c r="Y458" s="78" t="str">
        <f>IF(COUNTIF($C$1:C457,B457)=1,10,"")</f>
        <v/>
      </c>
    </row>
    <row r="459" spans="1:25" x14ac:dyDescent="0.3">
      <c r="A459" s="76">
        <v>458</v>
      </c>
      <c r="B459" s="6">
        <v>46152</v>
      </c>
      <c r="C459" s="6">
        <v>46152</v>
      </c>
      <c r="D459" s="17" t="str">
        <f t="shared" si="88"/>
        <v>May</v>
      </c>
      <c r="E459" s="5" t="str">
        <f t="shared" ca="1" si="89"/>
        <v>STU-780</v>
      </c>
      <c r="F459" s="5" t="str">
        <f ca="1">IF(COUNTIF($E$2:E459,E459)=1,"New Customer","Returning Customer")</f>
        <v>New Customer</v>
      </c>
      <c r="G459" s="5" t="str">
        <f t="shared" ca="1" si="90"/>
        <v>Male</v>
      </c>
      <c r="H459" s="5" t="s">
        <v>140</v>
      </c>
      <c r="I459" s="5" t="str" cm="1">
        <f t="array" aca="1" ref="I459" ca="1">INDEX(Courses!$B$9:$B$16,RANDBETWEEN(1,8))</f>
        <v>Adolescent Psychology</v>
      </c>
      <c r="J459" s="5" t="str">
        <f ca="1">VLOOKUP(I459,Courses!$B$9:$C$16,2,0)</f>
        <v>Psychology</v>
      </c>
      <c r="K459" s="7">
        <f ca="1">VLOOKUP(I459,Courses!$B$9:$D$16,3,0)</f>
        <v>29</v>
      </c>
      <c r="L459" s="5" t="str">
        <f t="shared" ca="1" si="91"/>
        <v>Paid</v>
      </c>
      <c r="M459" s="8" t="str" cm="1">
        <f t="array" aca="1" ref="M459" ca="1">INDEX('Payment Method'!$A$8:$A$12,RANDBETWEEN(1,5))</f>
        <v>Mastercard Debit</v>
      </c>
      <c r="N459" s="7">
        <f>IFERROR(SUMIF(Holiday!$A$8:$A$11,B459,Holiday!$C$8:$C$11),0)</f>
        <v>0</v>
      </c>
      <c r="O459" s="7">
        <f t="shared" ca="1" si="92"/>
        <v>29</v>
      </c>
      <c r="P459" s="19">
        <f t="shared" ca="1" si="93"/>
        <v>28.42</v>
      </c>
      <c r="Q459" s="7">
        <f t="shared" ca="1" si="94"/>
        <v>0</v>
      </c>
      <c r="R459" s="8">
        <f ca="1">VLOOKUP(M459,'Payment Method'!$A$8:$B$12,2,0)</f>
        <v>0.02</v>
      </c>
      <c r="S459" s="9">
        <f t="shared" ca="1" si="84"/>
        <v>0.57999999999999829</v>
      </c>
      <c r="T459" s="8">
        <v>0.01</v>
      </c>
      <c r="U459" s="9">
        <f t="shared" ca="1" si="85"/>
        <v>0.28419999999999845</v>
      </c>
      <c r="V459" s="7">
        <f t="shared" ca="1" si="86"/>
        <v>0</v>
      </c>
      <c r="W459" s="7">
        <f t="shared" ca="1" si="87"/>
        <v>28.135800000000003</v>
      </c>
      <c r="X459" s="5" t="str">
        <f t="shared" ca="1" si="95"/>
        <v>Facebook</v>
      </c>
      <c r="Y459" s="78" t="str">
        <f>IF(COUNTIF($C$1:C458,B458)=1,10,"")</f>
        <v/>
      </c>
    </row>
    <row r="460" spans="1:25" x14ac:dyDescent="0.3">
      <c r="A460" s="75">
        <v>459</v>
      </c>
      <c r="B460" s="6">
        <v>46081</v>
      </c>
      <c r="C460" s="6">
        <v>46081</v>
      </c>
      <c r="D460" s="17" t="str">
        <f t="shared" si="88"/>
        <v>February</v>
      </c>
      <c r="E460" s="5" t="str">
        <f t="shared" ca="1" si="89"/>
        <v>STU-952</v>
      </c>
      <c r="F460" s="5" t="str">
        <f ca="1">IF(COUNTIF($E$2:E460,E460)=1,"New Customer","Returning Customer")</f>
        <v>New Customer</v>
      </c>
      <c r="G460" s="5" t="str">
        <f t="shared" ca="1" si="90"/>
        <v>Female</v>
      </c>
      <c r="H460" s="5" t="s">
        <v>140</v>
      </c>
      <c r="I460" s="5" t="str" cm="1">
        <f t="array" aca="1" ref="I460" ca="1">INDEX(Courses!$B$9:$B$16,RANDBETWEEN(1,8))</f>
        <v>SQL</v>
      </c>
      <c r="J460" s="5" t="str">
        <f ca="1">VLOOKUP(I460,Courses!$B$9:$C$16,2,0)</f>
        <v>Data Analytics</v>
      </c>
      <c r="K460" s="7">
        <f ca="1">VLOOKUP(I460,Courses!$B$9:$D$16,3,0)</f>
        <v>99</v>
      </c>
      <c r="L460" s="5" t="str">
        <f t="shared" ca="1" si="91"/>
        <v>Paid</v>
      </c>
      <c r="M460" s="8" t="str" cm="1">
        <f t="array" aca="1" ref="M460" ca="1">INDEX('Payment Method'!$A$8:$A$12,RANDBETWEEN(1,5))</f>
        <v>Visa Debit</v>
      </c>
      <c r="N460" s="7">
        <f>IFERROR(SUMIF(Holiday!$A$8:$A$11,B460,Holiday!$C$8:$C$11),0)</f>
        <v>0</v>
      </c>
      <c r="O460" s="7">
        <f t="shared" ca="1" si="92"/>
        <v>99</v>
      </c>
      <c r="P460" s="19">
        <f t="shared" ca="1" si="93"/>
        <v>97.02</v>
      </c>
      <c r="Q460" s="7">
        <f t="shared" ca="1" si="94"/>
        <v>0</v>
      </c>
      <c r="R460" s="8">
        <f ca="1">VLOOKUP(M460,'Payment Method'!$A$8:$B$12,2,0)</f>
        <v>0.02</v>
      </c>
      <c r="S460" s="9">
        <f t="shared" ca="1" si="84"/>
        <v>1.980000000000004</v>
      </c>
      <c r="T460" s="8">
        <v>0.01</v>
      </c>
      <c r="U460" s="9">
        <f t="shared" ca="1" si="85"/>
        <v>0.9702000000000055</v>
      </c>
      <c r="V460" s="7">
        <f t="shared" ca="1" si="86"/>
        <v>0</v>
      </c>
      <c r="W460" s="7">
        <f t="shared" ca="1" si="87"/>
        <v>96.049799999999991</v>
      </c>
      <c r="X460" s="5" t="str">
        <f t="shared" ca="1" si="95"/>
        <v>Instagram</v>
      </c>
      <c r="Y460" s="78" t="str">
        <f>IF(COUNTIF($C$1:C459,B459)=1,10,"")</f>
        <v/>
      </c>
    </row>
    <row r="461" spans="1:25" x14ac:dyDescent="0.3">
      <c r="A461" s="76">
        <v>460</v>
      </c>
      <c r="B461" s="6">
        <v>46180</v>
      </c>
      <c r="C461" s="6">
        <v>46182</v>
      </c>
      <c r="D461" s="17" t="str">
        <f t="shared" si="88"/>
        <v>June</v>
      </c>
      <c r="E461" s="5" t="str">
        <f t="shared" ca="1" si="89"/>
        <v>STU-696</v>
      </c>
      <c r="F461" s="5" t="str">
        <f ca="1">IF(COUNTIF($E$2:E461,E461)=1,"New Customer","Returning Customer")</f>
        <v>Returning Customer</v>
      </c>
      <c r="G461" s="5" t="str">
        <f t="shared" ca="1" si="90"/>
        <v>Not specified</v>
      </c>
      <c r="H461" s="5" t="s">
        <v>138</v>
      </c>
      <c r="I461" s="5" t="str" cm="1">
        <f t="array" aca="1" ref="I461" ca="1">INDEX(Courses!$B$9:$B$16,RANDBETWEEN(1,8))</f>
        <v>Excel Basics</v>
      </c>
      <c r="J461" s="5" t="str">
        <f ca="1">VLOOKUP(I461,Courses!$B$9:$C$16,2,0)</f>
        <v>Microsoft Office</v>
      </c>
      <c r="K461" s="7">
        <f ca="1">VLOOKUP(I461,Courses!$B$9:$D$16,3,0)</f>
        <v>29</v>
      </c>
      <c r="L461" s="5" t="str">
        <f t="shared" ca="1" si="91"/>
        <v>Paid</v>
      </c>
      <c r="M461" s="8" t="str" cm="1">
        <f t="array" aca="1" ref="M461" ca="1">INDEX('Payment Method'!$A$8:$A$12,RANDBETWEEN(1,5))</f>
        <v>Visa Debit</v>
      </c>
      <c r="N461" s="7">
        <f>IFERROR(SUMIF(Holiday!$A$8:$A$11,B461,Holiday!$C$8:$C$11),0)</f>
        <v>0</v>
      </c>
      <c r="O461" s="7">
        <f t="shared" ca="1" si="92"/>
        <v>29</v>
      </c>
      <c r="P461" s="19">
        <f t="shared" ca="1" si="93"/>
        <v>28.42</v>
      </c>
      <c r="Q461" s="7">
        <f t="shared" ca="1" si="94"/>
        <v>0</v>
      </c>
      <c r="R461" s="8">
        <f ca="1">VLOOKUP(M461,'Payment Method'!$A$8:$B$12,2,0)</f>
        <v>0.02</v>
      </c>
      <c r="S461" s="9">
        <f t="shared" ca="1" si="84"/>
        <v>0.57999999999999829</v>
      </c>
      <c r="T461" s="8">
        <v>0.01</v>
      </c>
      <c r="U461" s="9">
        <f t="shared" ca="1" si="85"/>
        <v>0.28419999999999845</v>
      </c>
      <c r="V461" s="7">
        <f t="shared" ca="1" si="86"/>
        <v>0</v>
      </c>
      <c r="W461" s="7">
        <f t="shared" ca="1" si="87"/>
        <v>28.135800000000003</v>
      </c>
      <c r="X461" s="5" t="str">
        <f t="shared" ca="1" si="95"/>
        <v>Facebook</v>
      </c>
      <c r="Y461" s="78" t="str">
        <f>IF(COUNTIF($C$1:C460,B460)=1,10,"")</f>
        <v/>
      </c>
    </row>
    <row r="462" spans="1:25" x14ac:dyDescent="0.3">
      <c r="A462" s="75">
        <v>461</v>
      </c>
      <c r="B462" s="6">
        <v>46157</v>
      </c>
      <c r="C462" s="6">
        <v>46157</v>
      </c>
      <c r="D462" s="17" t="str">
        <f t="shared" si="88"/>
        <v>May</v>
      </c>
      <c r="E462" s="5" t="str">
        <f t="shared" ca="1" si="89"/>
        <v>STU-753</v>
      </c>
      <c r="F462" s="5" t="str">
        <f ca="1">IF(COUNTIF($E$2:E462,E462)=1,"New Customer","Returning Customer")</f>
        <v>New Customer</v>
      </c>
      <c r="G462" s="5" t="str">
        <f t="shared" ca="1" si="90"/>
        <v>Female</v>
      </c>
      <c r="H462" s="5" t="s">
        <v>138</v>
      </c>
      <c r="I462" s="5" t="str" cm="1">
        <f t="array" aca="1" ref="I462" ca="1">INDEX(Courses!$B$9:$B$16,RANDBETWEEN(1,8))</f>
        <v>Tax Code</v>
      </c>
      <c r="J462" s="5" t="str">
        <f ca="1">VLOOKUP(I462,Courses!$B$9:$C$16,2,0)</f>
        <v>Finance &amp; Taxation</v>
      </c>
      <c r="K462" s="7">
        <f ca="1">VLOOKUP(I462,Courses!$B$9:$D$16,3,0)</f>
        <v>59</v>
      </c>
      <c r="L462" s="5" t="str">
        <f t="shared" ca="1" si="91"/>
        <v>Paid</v>
      </c>
      <c r="M462" s="8" t="str" cm="1">
        <f t="array" aca="1" ref="M462" ca="1">INDEX('Payment Method'!$A$8:$A$12,RANDBETWEEN(1,5))</f>
        <v>Mastercard Credit</v>
      </c>
      <c r="N462" s="7">
        <f>IFERROR(SUMIF(Holiday!$A$8:$A$11,B462,Holiday!$C$8:$C$11),0)</f>
        <v>0</v>
      </c>
      <c r="O462" s="7">
        <f t="shared" ca="1" si="92"/>
        <v>59</v>
      </c>
      <c r="P462" s="19">
        <f t="shared" ca="1" si="93"/>
        <v>56.935000000000002</v>
      </c>
      <c r="Q462" s="7">
        <f t="shared" ca="1" si="94"/>
        <v>0</v>
      </c>
      <c r="R462" s="8">
        <f ca="1">VLOOKUP(M462,'Payment Method'!$A$8:$B$12,2,0)</f>
        <v>3.5000000000000003E-2</v>
      </c>
      <c r="S462" s="9">
        <f t="shared" ca="1" si="84"/>
        <v>2.0649999999999977</v>
      </c>
      <c r="T462" s="8">
        <v>0.01</v>
      </c>
      <c r="U462" s="9">
        <f t="shared" ca="1" si="85"/>
        <v>0.56935000000000002</v>
      </c>
      <c r="V462" s="7">
        <f t="shared" ca="1" si="86"/>
        <v>0</v>
      </c>
      <c r="W462" s="7">
        <f t="shared" ca="1" si="87"/>
        <v>56.365650000000002</v>
      </c>
      <c r="X462" s="5" t="str">
        <f t="shared" ca="1" si="95"/>
        <v>Instagram</v>
      </c>
      <c r="Y462" s="78" t="str">
        <f>IF(COUNTIF($C$1:C461,B461)=1,10,"")</f>
        <v/>
      </c>
    </row>
    <row r="463" spans="1:25" x14ac:dyDescent="0.3">
      <c r="A463" s="76">
        <v>462</v>
      </c>
      <c r="B463" s="6">
        <v>46053</v>
      </c>
      <c r="C463" s="6">
        <v>46055</v>
      </c>
      <c r="D463" s="17" t="str">
        <f t="shared" si="88"/>
        <v>February</v>
      </c>
      <c r="E463" s="5" t="str">
        <f t="shared" ca="1" si="89"/>
        <v>STU-291</v>
      </c>
      <c r="F463" s="5" t="str">
        <f ca="1">IF(COUNTIF($E$2:E463,E463)=1,"New Customer","Returning Customer")</f>
        <v>Returning Customer</v>
      </c>
      <c r="G463" s="5" t="str">
        <f t="shared" ca="1" si="90"/>
        <v>Not specified</v>
      </c>
      <c r="H463" s="5" t="s">
        <v>138</v>
      </c>
      <c r="I463" s="5" t="str" cm="1">
        <f t="array" aca="1" ref="I463" ca="1">INDEX(Courses!$B$9:$B$16,RANDBETWEEN(1,8))</f>
        <v>PowerPoint</v>
      </c>
      <c r="J463" s="5" t="str">
        <f ca="1">VLOOKUP(I463,Courses!$B$9:$C$16,2,0)</f>
        <v>Microsoft Office</v>
      </c>
      <c r="K463" s="7">
        <f ca="1">VLOOKUP(I463,Courses!$B$9:$D$16,3,0)</f>
        <v>29</v>
      </c>
      <c r="L463" s="5" t="str">
        <f t="shared" ca="1" si="91"/>
        <v>Paid</v>
      </c>
      <c r="M463" s="8" t="str" cm="1">
        <f t="array" aca="1" ref="M463" ca="1">INDEX('Payment Method'!$A$8:$A$12,RANDBETWEEN(1,5))</f>
        <v>Mastercard Debit</v>
      </c>
      <c r="N463" s="7">
        <f>IFERROR(SUMIF(Holiday!$A$8:$A$11,B463,Holiday!$C$8:$C$11),0)</f>
        <v>0</v>
      </c>
      <c r="O463" s="7">
        <f t="shared" ca="1" si="92"/>
        <v>29</v>
      </c>
      <c r="P463" s="19">
        <f t="shared" ca="1" si="93"/>
        <v>28.42</v>
      </c>
      <c r="Q463" s="7">
        <f t="shared" ca="1" si="94"/>
        <v>0</v>
      </c>
      <c r="R463" s="8">
        <f ca="1">VLOOKUP(M463,'Payment Method'!$A$8:$B$12,2,0)</f>
        <v>0.02</v>
      </c>
      <c r="S463" s="9">
        <f t="shared" ca="1" si="84"/>
        <v>0.57999999999999829</v>
      </c>
      <c r="T463" s="8">
        <v>0.01</v>
      </c>
      <c r="U463" s="9">
        <f t="shared" ca="1" si="85"/>
        <v>0.28419999999999845</v>
      </c>
      <c r="V463" s="7">
        <f t="shared" ca="1" si="86"/>
        <v>0</v>
      </c>
      <c r="W463" s="7">
        <f t="shared" ca="1" si="87"/>
        <v>28.135800000000003</v>
      </c>
      <c r="X463" s="5" t="str">
        <f t="shared" ca="1" si="95"/>
        <v>Tiktok</v>
      </c>
      <c r="Y463" s="78" t="str">
        <f>IF(COUNTIF($C$1:C462,B462)=1,10,"")</f>
        <v/>
      </c>
    </row>
    <row r="464" spans="1:25" x14ac:dyDescent="0.3">
      <c r="A464" s="75">
        <v>463</v>
      </c>
      <c r="B464" s="6">
        <v>46043</v>
      </c>
      <c r="C464" s="6">
        <v>46047</v>
      </c>
      <c r="D464" s="17" t="str">
        <f t="shared" si="88"/>
        <v>January</v>
      </c>
      <c r="E464" s="5" t="str">
        <f t="shared" ca="1" si="89"/>
        <v>STU-679</v>
      </c>
      <c r="F464" s="5" t="str">
        <f ca="1">IF(COUNTIF($E$2:E464,E464)=1,"New Customer","Returning Customer")</f>
        <v>Returning Customer</v>
      </c>
      <c r="G464" s="5" t="str">
        <f t="shared" ca="1" si="90"/>
        <v>Male</v>
      </c>
      <c r="H464" s="5" t="s">
        <v>136</v>
      </c>
      <c r="I464" s="5" t="str" cm="1">
        <f t="array" aca="1" ref="I464" ca="1">INDEX(Courses!$B$9:$B$16,RANDBETWEEN(1,8))</f>
        <v>SQL</v>
      </c>
      <c r="J464" s="5" t="str">
        <f ca="1">VLOOKUP(I464,Courses!$B$9:$C$16,2,0)</f>
        <v>Data Analytics</v>
      </c>
      <c r="K464" s="7">
        <f ca="1">VLOOKUP(I464,Courses!$B$9:$D$16,3,0)</f>
        <v>99</v>
      </c>
      <c r="L464" s="5" t="str">
        <f t="shared" ca="1" si="91"/>
        <v>Paid</v>
      </c>
      <c r="M464" s="8" t="str" cm="1">
        <f t="array" aca="1" ref="M464" ca="1">INDEX('Payment Method'!$A$8:$A$12,RANDBETWEEN(1,5))</f>
        <v>Bank Transfer</v>
      </c>
      <c r="N464" s="7">
        <f>IFERROR(SUMIF(Holiday!$A$8:$A$11,B464,Holiday!$C$8:$C$11),0)</f>
        <v>0</v>
      </c>
      <c r="O464" s="7">
        <f t="shared" ca="1" si="92"/>
        <v>99</v>
      </c>
      <c r="P464" s="19">
        <f t="shared" ca="1" si="93"/>
        <v>99</v>
      </c>
      <c r="Q464" s="7">
        <f t="shared" ca="1" si="94"/>
        <v>0</v>
      </c>
      <c r="R464" s="8">
        <f ca="1">VLOOKUP(M464,'Payment Method'!$A$8:$B$12,2,0)</f>
        <v>0</v>
      </c>
      <c r="S464" s="9">
        <f t="shared" ca="1" si="84"/>
        <v>0</v>
      </c>
      <c r="T464" s="8">
        <v>0.01</v>
      </c>
      <c r="U464" s="9">
        <f t="shared" ca="1" si="85"/>
        <v>0.98999999999999488</v>
      </c>
      <c r="V464" s="7">
        <f t="shared" ca="1" si="86"/>
        <v>0</v>
      </c>
      <c r="W464" s="7">
        <f t="shared" ca="1" si="87"/>
        <v>98.01</v>
      </c>
      <c r="X464" s="5" t="str">
        <f t="shared" ca="1" si="95"/>
        <v>Facebook</v>
      </c>
      <c r="Y464" s="78" t="str">
        <f>IF(COUNTIF($C$1:C463,B463)=1,10,"")</f>
        <v/>
      </c>
    </row>
    <row r="465" spans="1:25" x14ac:dyDescent="0.3">
      <c r="A465" s="76">
        <v>464</v>
      </c>
      <c r="B465" s="6">
        <v>46043</v>
      </c>
      <c r="C465" s="6">
        <v>46047</v>
      </c>
      <c r="D465" s="17" t="str">
        <f t="shared" si="88"/>
        <v>January</v>
      </c>
      <c r="E465" s="5" t="str">
        <f t="shared" ca="1" si="89"/>
        <v>STU-289</v>
      </c>
      <c r="F465" s="5" t="str">
        <f ca="1">IF(COUNTIF($E$2:E465,E465)=1,"New Customer","Returning Customer")</f>
        <v>Returning Customer</v>
      </c>
      <c r="G465" s="5" t="str">
        <f t="shared" ca="1" si="90"/>
        <v>Not specified</v>
      </c>
      <c r="H465" s="5" t="s">
        <v>139</v>
      </c>
      <c r="I465" s="5" t="str" cm="1">
        <f t="array" aca="1" ref="I465" ca="1">INDEX(Courses!$B$9:$B$16,RANDBETWEEN(1,8))</f>
        <v>Adolescent Psychology</v>
      </c>
      <c r="J465" s="5" t="str">
        <f ca="1">VLOOKUP(I465,Courses!$B$9:$C$16,2,0)</f>
        <v>Psychology</v>
      </c>
      <c r="K465" s="7">
        <f ca="1">VLOOKUP(I465,Courses!$B$9:$D$16,3,0)</f>
        <v>29</v>
      </c>
      <c r="L465" s="5" t="str">
        <f t="shared" ca="1" si="91"/>
        <v>Paid</v>
      </c>
      <c r="M465" s="8" t="str" cm="1">
        <f t="array" aca="1" ref="M465" ca="1">INDEX('Payment Method'!$A$8:$A$12,RANDBETWEEN(1,5))</f>
        <v>Mastercard Debit</v>
      </c>
      <c r="N465" s="7">
        <f>IFERROR(SUMIF(Holiday!$A$8:$A$11,B465,Holiday!$C$8:$C$11),0)</f>
        <v>0</v>
      </c>
      <c r="O465" s="7">
        <f t="shared" ca="1" si="92"/>
        <v>29</v>
      </c>
      <c r="P465" s="19">
        <f t="shared" ca="1" si="93"/>
        <v>28.42</v>
      </c>
      <c r="Q465" s="7">
        <f t="shared" ca="1" si="94"/>
        <v>0</v>
      </c>
      <c r="R465" s="8">
        <f ca="1">VLOOKUP(M465,'Payment Method'!$A$8:$B$12,2,0)</f>
        <v>0.02</v>
      </c>
      <c r="S465" s="9">
        <f t="shared" ca="1" si="84"/>
        <v>0.57999999999999829</v>
      </c>
      <c r="T465" s="8">
        <v>0.01</v>
      </c>
      <c r="U465" s="9">
        <f t="shared" ca="1" si="85"/>
        <v>0.28419999999999845</v>
      </c>
      <c r="V465" s="7">
        <f t="shared" ca="1" si="86"/>
        <v>0</v>
      </c>
      <c r="W465" s="7">
        <f t="shared" ca="1" si="87"/>
        <v>28.135800000000003</v>
      </c>
      <c r="X465" s="5" t="str">
        <f t="shared" ca="1" si="95"/>
        <v>Instagram</v>
      </c>
      <c r="Y465" s="78" t="str">
        <f>IF(COUNTIF($C$1:C464,B464)=1,10,"")</f>
        <v/>
      </c>
    </row>
    <row r="466" spans="1:25" x14ac:dyDescent="0.3">
      <c r="A466" s="75">
        <v>465</v>
      </c>
      <c r="B466" s="6">
        <v>46158</v>
      </c>
      <c r="C466" s="6">
        <v>46163</v>
      </c>
      <c r="D466" s="17" t="str">
        <f t="shared" si="88"/>
        <v>May</v>
      </c>
      <c r="E466" s="5" t="str">
        <f t="shared" ca="1" si="89"/>
        <v>STU-873</v>
      </c>
      <c r="F466" s="5" t="str">
        <f ca="1">IF(COUNTIF($E$2:E466,E466)=1,"New Customer","Returning Customer")</f>
        <v>New Customer</v>
      </c>
      <c r="G466" s="5" t="str">
        <f t="shared" ca="1" si="90"/>
        <v>Male</v>
      </c>
      <c r="H466" s="5" t="s">
        <v>136</v>
      </c>
      <c r="I466" s="5" t="str" cm="1">
        <f t="array" aca="1" ref="I466" ca="1">INDEX(Courses!$B$9:$B$16,RANDBETWEEN(1,8))</f>
        <v>Excel Basics</v>
      </c>
      <c r="J466" s="5" t="str">
        <f ca="1">VLOOKUP(I466,Courses!$B$9:$C$16,2,0)</f>
        <v>Microsoft Office</v>
      </c>
      <c r="K466" s="7">
        <f ca="1">VLOOKUP(I466,Courses!$B$9:$D$16,3,0)</f>
        <v>29</v>
      </c>
      <c r="L466" s="5" t="str">
        <f t="shared" ca="1" si="91"/>
        <v>Paid</v>
      </c>
      <c r="M466" s="8" t="str" cm="1">
        <f t="array" aca="1" ref="M466" ca="1">INDEX('Payment Method'!$A$8:$A$12,RANDBETWEEN(1,5))</f>
        <v>Visa Credit</v>
      </c>
      <c r="N466" s="7">
        <f>IFERROR(SUMIF(Holiday!$A$8:$A$11,B466,Holiday!$C$8:$C$11),0)</f>
        <v>0</v>
      </c>
      <c r="O466" s="7">
        <f t="shared" ca="1" si="92"/>
        <v>29</v>
      </c>
      <c r="P466" s="19">
        <f t="shared" ca="1" si="93"/>
        <v>27.984999999999999</v>
      </c>
      <c r="Q466" s="7">
        <f t="shared" ca="1" si="94"/>
        <v>0</v>
      </c>
      <c r="R466" s="8">
        <f ca="1">VLOOKUP(M466,'Payment Method'!$A$8:$B$12,2,0)</f>
        <v>3.5000000000000003E-2</v>
      </c>
      <c r="S466" s="9">
        <f t="shared" ca="1" si="84"/>
        <v>1.0150000000000006</v>
      </c>
      <c r="T466" s="8">
        <v>0.01</v>
      </c>
      <c r="U466" s="9">
        <f t="shared" ca="1" si="85"/>
        <v>0.27984999999999971</v>
      </c>
      <c r="V466" s="7">
        <f t="shared" ca="1" si="86"/>
        <v>0</v>
      </c>
      <c r="W466" s="7">
        <f t="shared" ca="1" si="87"/>
        <v>27.70515</v>
      </c>
      <c r="X466" s="5" t="str">
        <f t="shared" ca="1" si="95"/>
        <v>Instagram</v>
      </c>
      <c r="Y466" s="78" t="str">
        <f>IF(COUNTIF($C$1:C465,B465)=1,10,"")</f>
        <v/>
      </c>
    </row>
    <row r="467" spans="1:25" x14ac:dyDescent="0.3">
      <c r="A467" s="76">
        <v>466</v>
      </c>
      <c r="B467" s="6">
        <v>46140</v>
      </c>
      <c r="C467" s="6">
        <v>46142</v>
      </c>
      <c r="D467" s="17" t="str">
        <f t="shared" si="88"/>
        <v>April</v>
      </c>
      <c r="E467" s="5" t="str">
        <f t="shared" ca="1" si="89"/>
        <v>STU-174</v>
      </c>
      <c r="F467" s="5" t="str">
        <f ca="1">IF(COUNTIF($E$2:E467,E467)=1,"New Customer","Returning Customer")</f>
        <v>Returning Customer</v>
      </c>
      <c r="G467" s="5" t="str">
        <f t="shared" ca="1" si="90"/>
        <v>Not specified</v>
      </c>
      <c r="H467" s="5" t="s">
        <v>140</v>
      </c>
      <c r="I467" s="5" t="str" cm="1">
        <f t="array" aca="1" ref="I467" ca="1">INDEX(Courses!$B$9:$B$16,RANDBETWEEN(1,8))</f>
        <v>Microsoft Word</v>
      </c>
      <c r="J467" s="5" t="str">
        <f ca="1">VLOOKUP(I467,Courses!$B$9:$C$16,2,0)</f>
        <v>Microsoft Office</v>
      </c>
      <c r="K467" s="7">
        <f ca="1">VLOOKUP(I467,Courses!$B$9:$D$16,3,0)</f>
        <v>29</v>
      </c>
      <c r="L467" s="5" t="str">
        <f t="shared" ca="1" si="91"/>
        <v>Paid</v>
      </c>
      <c r="M467" s="8" t="str" cm="1">
        <f t="array" aca="1" ref="M467" ca="1">INDEX('Payment Method'!$A$8:$A$12,RANDBETWEEN(1,5))</f>
        <v>Mastercard Debit</v>
      </c>
      <c r="N467" s="7">
        <f>IFERROR(SUMIF(Holiday!$A$8:$A$11,B467,Holiday!$C$8:$C$11),0)</f>
        <v>0</v>
      </c>
      <c r="O467" s="7">
        <f t="shared" ca="1" si="92"/>
        <v>29</v>
      </c>
      <c r="P467" s="19">
        <f t="shared" ca="1" si="93"/>
        <v>28.42</v>
      </c>
      <c r="Q467" s="7">
        <f t="shared" ca="1" si="94"/>
        <v>0</v>
      </c>
      <c r="R467" s="8">
        <f ca="1">VLOOKUP(M467,'Payment Method'!$A$8:$B$12,2,0)</f>
        <v>0.02</v>
      </c>
      <c r="S467" s="9">
        <f t="shared" ca="1" si="84"/>
        <v>0.57999999999999829</v>
      </c>
      <c r="T467" s="8">
        <v>0.01</v>
      </c>
      <c r="U467" s="9">
        <f t="shared" ca="1" si="85"/>
        <v>0.28419999999999845</v>
      </c>
      <c r="V467" s="7">
        <f t="shared" ca="1" si="86"/>
        <v>0</v>
      </c>
      <c r="W467" s="7">
        <f t="shared" ca="1" si="87"/>
        <v>28.135800000000003</v>
      </c>
      <c r="X467" s="5" t="str">
        <f t="shared" ca="1" si="95"/>
        <v>Tiktok</v>
      </c>
      <c r="Y467" s="78">
        <f>IF(COUNTIF($C$1:C466,B466)=1,10,"")</f>
        <v>10</v>
      </c>
    </row>
    <row r="468" spans="1:25" x14ac:dyDescent="0.3">
      <c r="A468" s="75">
        <v>467</v>
      </c>
      <c r="B468" s="6">
        <v>46034</v>
      </c>
      <c r="C468" s="6">
        <v>46038</v>
      </c>
      <c r="D468" s="17" t="str">
        <f t="shared" si="88"/>
        <v>January</v>
      </c>
      <c r="E468" s="5" t="str">
        <f t="shared" ca="1" si="89"/>
        <v>STU-31</v>
      </c>
      <c r="F468" s="5" t="str">
        <f ca="1">IF(COUNTIF($E$2:E468,E468)=1,"New Customer","Returning Customer")</f>
        <v>New Customer</v>
      </c>
      <c r="G468" s="5" t="str">
        <f t="shared" ca="1" si="90"/>
        <v>Female</v>
      </c>
      <c r="H468" s="5" t="s">
        <v>137</v>
      </c>
      <c r="I468" s="5" t="str" cm="1">
        <f t="array" aca="1" ref="I468" ca="1">INDEX(Courses!$B$9:$B$16,RANDBETWEEN(1,8))</f>
        <v>Microsoft Word</v>
      </c>
      <c r="J468" s="5" t="str">
        <f ca="1">VLOOKUP(I468,Courses!$B$9:$C$16,2,0)</f>
        <v>Microsoft Office</v>
      </c>
      <c r="K468" s="7">
        <f ca="1">VLOOKUP(I468,Courses!$B$9:$D$16,3,0)</f>
        <v>29</v>
      </c>
      <c r="L468" s="5" t="str">
        <f t="shared" ca="1" si="91"/>
        <v>Paid</v>
      </c>
      <c r="M468" s="8" t="str" cm="1">
        <f t="array" aca="1" ref="M468" ca="1">INDEX('Payment Method'!$A$8:$A$12,RANDBETWEEN(1,5))</f>
        <v>Visa Credit</v>
      </c>
      <c r="N468" s="7">
        <f>IFERROR(SUMIF(Holiday!$A$8:$A$11,B468,Holiday!$C$8:$C$11),0)</f>
        <v>0</v>
      </c>
      <c r="O468" s="7">
        <f t="shared" ca="1" si="92"/>
        <v>29</v>
      </c>
      <c r="P468" s="19">
        <f t="shared" ca="1" si="93"/>
        <v>27.984999999999999</v>
      </c>
      <c r="Q468" s="7">
        <f t="shared" ca="1" si="94"/>
        <v>0</v>
      </c>
      <c r="R468" s="8">
        <f ca="1">VLOOKUP(M468,'Payment Method'!$A$8:$B$12,2,0)</f>
        <v>3.5000000000000003E-2</v>
      </c>
      <c r="S468" s="9">
        <f t="shared" ca="1" si="84"/>
        <v>1.0150000000000006</v>
      </c>
      <c r="T468" s="8">
        <v>0.01</v>
      </c>
      <c r="U468" s="9">
        <f t="shared" ca="1" si="85"/>
        <v>0.27984999999999971</v>
      </c>
      <c r="V468" s="7">
        <f t="shared" ca="1" si="86"/>
        <v>0</v>
      </c>
      <c r="W468" s="7">
        <f t="shared" ca="1" si="87"/>
        <v>27.70515</v>
      </c>
      <c r="X468" s="5" t="str">
        <f t="shared" ca="1" si="95"/>
        <v>Facebook</v>
      </c>
      <c r="Y468" s="78">
        <f>IF(COUNTIF($C$1:C467,B467)=1,10,"")</f>
        <v>10</v>
      </c>
    </row>
    <row r="469" spans="1:25" x14ac:dyDescent="0.3">
      <c r="A469" s="76">
        <v>468</v>
      </c>
      <c r="B469" s="6">
        <v>46208</v>
      </c>
      <c r="C469" s="6">
        <v>46211</v>
      </c>
      <c r="D469" s="17" t="str">
        <f t="shared" si="88"/>
        <v>July</v>
      </c>
      <c r="E469" s="5" t="str">
        <f t="shared" ca="1" si="89"/>
        <v>STU-364</v>
      </c>
      <c r="F469" s="5" t="str">
        <f ca="1">IF(COUNTIF($E$2:E469,E469)=1,"New Customer","Returning Customer")</f>
        <v>New Customer</v>
      </c>
      <c r="G469" s="5" t="str">
        <f t="shared" ca="1" si="90"/>
        <v>Male</v>
      </c>
      <c r="H469" s="5" t="s">
        <v>137</v>
      </c>
      <c r="I469" s="5" t="str" cm="1">
        <f t="array" aca="1" ref="I469" ca="1">INDEX(Courses!$B$9:$B$16,RANDBETWEEN(1,8))</f>
        <v>Adolescent Psychology</v>
      </c>
      <c r="J469" s="5" t="str">
        <f ca="1">VLOOKUP(I469,Courses!$B$9:$C$16,2,0)</f>
        <v>Psychology</v>
      </c>
      <c r="K469" s="7">
        <f ca="1">VLOOKUP(I469,Courses!$B$9:$D$16,3,0)</f>
        <v>29</v>
      </c>
      <c r="L469" s="5" t="str">
        <f t="shared" ca="1" si="91"/>
        <v>Paid</v>
      </c>
      <c r="M469" s="8" t="str" cm="1">
        <f t="array" aca="1" ref="M469" ca="1">INDEX('Payment Method'!$A$8:$A$12,RANDBETWEEN(1,5))</f>
        <v>Mastercard Debit</v>
      </c>
      <c r="N469" s="7">
        <f>IFERROR(SUMIF(Holiday!$A$8:$A$11,B469,Holiday!$C$8:$C$11),0)</f>
        <v>0</v>
      </c>
      <c r="O469" s="7">
        <f t="shared" ca="1" si="92"/>
        <v>29</v>
      </c>
      <c r="P469" s="19">
        <f t="shared" ca="1" si="93"/>
        <v>28.42</v>
      </c>
      <c r="Q469" s="7">
        <f t="shared" ca="1" si="94"/>
        <v>0</v>
      </c>
      <c r="R469" s="8">
        <f ca="1">VLOOKUP(M469,'Payment Method'!$A$8:$B$12,2,0)</f>
        <v>0.02</v>
      </c>
      <c r="S469" s="9">
        <f t="shared" ca="1" si="84"/>
        <v>0.57999999999999829</v>
      </c>
      <c r="T469" s="8">
        <v>0.01</v>
      </c>
      <c r="U469" s="9">
        <f t="shared" ca="1" si="85"/>
        <v>0.28419999999999845</v>
      </c>
      <c r="V469" s="7">
        <f t="shared" ca="1" si="86"/>
        <v>0</v>
      </c>
      <c r="W469" s="7">
        <f t="shared" ca="1" si="87"/>
        <v>28.135800000000003</v>
      </c>
      <c r="X469" s="5" t="str">
        <f t="shared" ca="1" si="95"/>
        <v>Facebook</v>
      </c>
      <c r="Y469" s="78" t="str">
        <f>IF(COUNTIF($C$1:C468,B468)=1,10,"")</f>
        <v/>
      </c>
    </row>
    <row r="470" spans="1:25" x14ac:dyDescent="0.3">
      <c r="A470" s="75">
        <v>469</v>
      </c>
      <c r="B470" s="6">
        <v>46121</v>
      </c>
      <c r="C470" s="6">
        <v>46125</v>
      </c>
      <c r="D470" s="17" t="str">
        <f t="shared" si="88"/>
        <v>April</v>
      </c>
      <c r="E470" s="5" t="str">
        <f t="shared" ca="1" si="89"/>
        <v>STU-459</v>
      </c>
      <c r="F470" s="5" t="str">
        <f ca="1">IF(COUNTIF($E$2:E470,E470)=1,"New Customer","Returning Customer")</f>
        <v>New Customer</v>
      </c>
      <c r="G470" s="5" t="str">
        <f t="shared" ca="1" si="90"/>
        <v>Female</v>
      </c>
      <c r="H470" s="5" t="s">
        <v>136</v>
      </c>
      <c r="I470" s="5" t="str" cm="1">
        <f t="array" aca="1" ref="I470" ca="1">INDEX(Courses!$B$9:$B$16,RANDBETWEEN(1,8))</f>
        <v>SQL</v>
      </c>
      <c r="J470" s="5" t="str">
        <f ca="1">VLOOKUP(I470,Courses!$B$9:$C$16,2,0)</f>
        <v>Data Analytics</v>
      </c>
      <c r="K470" s="7">
        <f ca="1">VLOOKUP(I470,Courses!$B$9:$D$16,3,0)</f>
        <v>99</v>
      </c>
      <c r="L470" s="5" t="str">
        <f t="shared" ca="1" si="91"/>
        <v>Pending</v>
      </c>
      <c r="M470" s="8" t="str" cm="1">
        <f t="array" aca="1" ref="M470" ca="1">INDEX('Payment Method'!$A$8:$A$12,RANDBETWEEN(1,5))</f>
        <v>Visa Credit</v>
      </c>
      <c r="N470" s="7">
        <f>IFERROR(SUMIF(Holiday!$A$8:$A$11,B470,Holiday!$C$8:$C$11),0)</f>
        <v>0</v>
      </c>
      <c r="O470" s="7">
        <f t="shared" ca="1" si="92"/>
        <v>99</v>
      </c>
      <c r="P470" s="19">
        <f t="shared" ca="1" si="93"/>
        <v>95.534999999999997</v>
      </c>
      <c r="Q470" s="7">
        <f t="shared" ca="1" si="94"/>
        <v>94.579650000000001</v>
      </c>
      <c r="R470" s="8">
        <f ca="1">VLOOKUP(M470,'Payment Method'!$A$8:$B$12,2,0)</f>
        <v>3.5000000000000003E-2</v>
      </c>
      <c r="S470" s="9">
        <f t="shared" ca="1" si="84"/>
        <v>3.4650000000000034</v>
      </c>
      <c r="T470" s="8">
        <v>0.01</v>
      </c>
      <c r="U470" s="9">
        <f t="shared" ca="1" si="85"/>
        <v>0.9553499999999957</v>
      </c>
      <c r="V470" s="7">
        <f t="shared" ca="1" si="86"/>
        <v>0</v>
      </c>
      <c r="W470" s="7">
        <f t="shared" ca="1" si="87"/>
        <v>0</v>
      </c>
      <c r="X470" s="5" t="str">
        <f t="shared" ca="1" si="95"/>
        <v>Tiktok</v>
      </c>
      <c r="Y470" s="78" t="str">
        <f>IF(COUNTIF($C$1:C469,B469)=1,10,"")</f>
        <v/>
      </c>
    </row>
    <row r="471" spans="1:25" x14ac:dyDescent="0.3">
      <c r="A471" s="76">
        <v>470</v>
      </c>
      <c r="B471" s="6">
        <v>46117</v>
      </c>
      <c r="C471" s="6">
        <v>46122</v>
      </c>
      <c r="D471" s="17" t="str">
        <f t="shared" si="88"/>
        <v>April</v>
      </c>
      <c r="E471" s="5" t="str">
        <f t="shared" ca="1" si="89"/>
        <v>STU-296</v>
      </c>
      <c r="F471" s="5" t="str">
        <f ca="1">IF(COUNTIF($E$2:E471,E471)=1,"New Customer","Returning Customer")</f>
        <v>Returning Customer</v>
      </c>
      <c r="G471" s="5" t="str">
        <f t="shared" ca="1" si="90"/>
        <v>Male</v>
      </c>
      <c r="H471" s="5" t="s">
        <v>139</v>
      </c>
      <c r="I471" s="5" t="str" cm="1">
        <f t="array" aca="1" ref="I471" ca="1">INDEX(Courses!$B$9:$B$16,RANDBETWEEN(1,8))</f>
        <v>Excel Basics</v>
      </c>
      <c r="J471" s="5" t="str">
        <f ca="1">VLOOKUP(I471,Courses!$B$9:$C$16,2,0)</f>
        <v>Microsoft Office</v>
      </c>
      <c r="K471" s="7">
        <f ca="1">VLOOKUP(I471,Courses!$B$9:$D$16,3,0)</f>
        <v>29</v>
      </c>
      <c r="L471" s="5" t="str">
        <f t="shared" ca="1" si="91"/>
        <v>Paid</v>
      </c>
      <c r="M471" s="8" t="str" cm="1">
        <f t="array" aca="1" ref="M471" ca="1">INDEX('Payment Method'!$A$8:$A$12,RANDBETWEEN(1,5))</f>
        <v>Visa Credit</v>
      </c>
      <c r="N471" s="7">
        <f>IFERROR(SUMIF(Holiday!$A$8:$A$11,B471,Holiday!$C$8:$C$11),0)</f>
        <v>0</v>
      </c>
      <c r="O471" s="7">
        <f t="shared" ca="1" si="92"/>
        <v>29</v>
      </c>
      <c r="P471" s="19">
        <f t="shared" ca="1" si="93"/>
        <v>27.984999999999999</v>
      </c>
      <c r="Q471" s="7">
        <f t="shared" ca="1" si="94"/>
        <v>0</v>
      </c>
      <c r="R471" s="8">
        <f ca="1">VLOOKUP(M471,'Payment Method'!$A$8:$B$12,2,0)</f>
        <v>3.5000000000000003E-2</v>
      </c>
      <c r="S471" s="9">
        <f t="shared" ca="1" si="84"/>
        <v>1.0150000000000006</v>
      </c>
      <c r="T471" s="8">
        <v>0.01</v>
      </c>
      <c r="U471" s="9">
        <f t="shared" ca="1" si="85"/>
        <v>0.27984999999999971</v>
      </c>
      <c r="V471" s="7">
        <f t="shared" ca="1" si="86"/>
        <v>0</v>
      </c>
      <c r="W471" s="7">
        <f t="shared" ca="1" si="87"/>
        <v>27.70515</v>
      </c>
      <c r="X471" s="5" t="str">
        <f t="shared" ca="1" si="95"/>
        <v>Instagram</v>
      </c>
      <c r="Y471" s="78" t="str">
        <f>IF(COUNTIF($C$1:C470,B470)=1,10,"")</f>
        <v/>
      </c>
    </row>
    <row r="472" spans="1:25" x14ac:dyDescent="0.3">
      <c r="A472" s="75">
        <v>471</v>
      </c>
      <c r="B472" s="6">
        <v>46135</v>
      </c>
      <c r="C472" s="6">
        <v>46140</v>
      </c>
      <c r="D472" s="17" t="str">
        <f t="shared" si="88"/>
        <v>April</v>
      </c>
      <c r="E472" s="5" t="str">
        <f t="shared" ca="1" si="89"/>
        <v>STU-306</v>
      </c>
      <c r="F472" s="5" t="str">
        <f ca="1">IF(COUNTIF($E$2:E472,E472)=1,"New Customer","Returning Customer")</f>
        <v>New Customer</v>
      </c>
      <c r="G472" s="5" t="str">
        <f t="shared" ca="1" si="90"/>
        <v>Male</v>
      </c>
      <c r="H472" s="5" t="s">
        <v>136</v>
      </c>
      <c r="I472" s="5" t="str" cm="1">
        <f t="array" aca="1" ref="I472" ca="1">INDEX(Courses!$B$9:$B$16,RANDBETWEEN(1,8))</f>
        <v>Excel Basics</v>
      </c>
      <c r="J472" s="5" t="str">
        <f ca="1">VLOOKUP(I472,Courses!$B$9:$C$16,2,0)</f>
        <v>Microsoft Office</v>
      </c>
      <c r="K472" s="7">
        <f ca="1">VLOOKUP(I472,Courses!$B$9:$D$16,3,0)</f>
        <v>29</v>
      </c>
      <c r="L472" s="5" t="str">
        <f t="shared" ca="1" si="91"/>
        <v>Paid</v>
      </c>
      <c r="M472" s="8" t="str" cm="1">
        <f t="array" aca="1" ref="M472" ca="1">INDEX('Payment Method'!$A$8:$A$12,RANDBETWEEN(1,5))</f>
        <v>Mastercard Debit</v>
      </c>
      <c r="N472" s="7">
        <f>IFERROR(SUMIF(Holiday!$A$8:$A$11,B472,Holiday!$C$8:$C$11),0)</f>
        <v>0</v>
      </c>
      <c r="O472" s="7">
        <f t="shared" ca="1" si="92"/>
        <v>29</v>
      </c>
      <c r="P472" s="19">
        <f t="shared" ca="1" si="93"/>
        <v>28.42</v>
      </c>
      <c r="Q472" s="7">
        <f t="shared" ca="1" si="94"/>
        <v>0</v>
      </c>
      <c r="R472" s="8">
        <f ca="1">VLOOKUP(M472,'Payment Method'!$A$8:$B$12,2,0)</f>
        <v>0.02</v>
      </c>
      <c r="S472" s="9">
        <f t="shared" ca="1" si="84"/>
        <v>0.57999999999999829</v>
      </c>
      <c r="T472" s="8">
        <v>0.01</v>
      </c>
      <c r="U472" s="9">
        <f t="shared" ca="1" si="85"/>
        <v>0.28419999999999845</v>
      </c>
      <c r="V472" s="7">
        <f t="shared" ca="1" si="86"/>
        <v>0</v>
      </c>
      <c r="W472" s="7">
        <f t="shared" ca="1" si="87"/>
        <v>28.135800000000003</v>
      </c>
      <c r="X472" s="5" t="str">
        <f t="shared" ca="1" si="95"/>
        <v>Facebook</v>
      </c>
      <c r="Y472" s="78" t="str">
        <f>IF(COUNTIF($C$1:C471,B471)=1,10,"")</f>
        <v/>
      </c>
    </row>
    <row r="473" spans="1:25" x14ac:dyDescent="0.3">
      <c r="A473" s="76">
        <v>472</v>
      </c>
      <c r="B473" s="6">
        <v>46149</v>
      </c>
      <c r="C473" s="6">
        <v>46153</v>
      </c>
      <c r="D473" s="17" t="str">
        <f t="shared" si="88"/>
        <v>May</v>
      </c>
      <c r="E473" s="5" t="str">
        <f t="shared" ca="1" si="89"/>
        <v>STU-945</v>
      </c>
      <c r="F473" s="5" t="str">
        <f ca="1">IF(COUNTIF($E$2:E473,E473)=1,"New Customer","Returning Customer")</f>
        <v>Returning Customer</v>
      </c>
      <c r="G473" s="5" t="str">
        <f t="shared" ca="1" si="90"/>
        <v>Not specified</v>
      </c>
      <c r="H473" s="5" t="s">
        <v>135</v>
      </c>
      <c r="I473" s="5" t="str" cm="1">
        <f t="array" aca="1" ref="I473" ca="1">INDEX(Courses!$B$9:$B$16,RANDBETWEEN(1,8))</f>
        <v>PowerPoint</v>
      </c>
      <c r="J473" s="5" t="str">
        <f ca="1">VLOOKUP(I473,Courses!$B$9:$C$16,2,0)</f>
        <v>Microsoft Office</v>
      </c>
      <c r="K473" s="7">
        <f ca="1">VLOOKUP(I473,Courses!$B$9:$D$16,3,0)</f>
        <v>29</v>
      </c>
      <c r="L473" s="5" t="str">
        <f t="shared" ca="1" si="91"/>
        <v>Paid</v>
      </c>
      <c r="M473" s="8" t="str" cm="1">
        <f t="array" aca="1" ref="M473" ca="1">INDEX('Payment Method'!$A$8:$A$12,RANDBETWEEN(1,5))</f>
        <v>Bank Transfer</v>
      </c>
      <c r="N473" s="7">
        <f>IFERROR(SUMIF(Holiday!$A$8:$A$11,B473,Holiday!$C$8:$C$11),0)</f>
        <v>0</v>
      </c>
      <c r="O473" s="7">
        <f t="shared" ca="1" si="92"/>
        <v>29</v>
      </c>
      <c r="P473" s="19">
        <f t="shared" ca="1" si="93"/>
        <v>29</v>
      </c>
      <c r="Q473" s="7">
        <f t="shared" ca="1" si="94"/>
        <v>0</v>
      </c>
      <c r="R473" s="8">
        <f ca="1">VLOOKUP(M473,'Payment Method'!$A$8:$B$12,2,0)</f>
        <v>0</v>
      </c>
      <c r="S473" s="9">
        <f t="shared" ca="1" si="84"/>
        <v>0</v>
      </c>
      <c r="T473" s="8">
        <v>0.01</v>
      </c>
      <c r="U473" s="9">
        <f t="shared" ca="1" si="85"/>
        <v>0.28999999999999915</v>
      </c>
      <c r="V473" s="7">
        <f t="shared" ca="1" si="86"/>
        <v>0</v>
      </c>
      <c r="W473" s="7">
        <f t="shared" ca="1" si="87"/>
        <v>28.71</v>
      </c>
      <c r="X473" s="5" t="str">
        <f t="shared" ca="1" si="95"/>
        <v>Facebook</v>
      </c>
      <c r="Y473" s="78" t="str">
        <f>IF(COUNTIF($C$1:C472,B472)=1,10,"")</f>
        <v/>
      </c>
    </row>
    <row r="474" spans="1:25" x14ac:dyDescent="0.3">
      <c r="A474" s="75">
        <v>473</v>
      </c>
      <c r="B474" s="6">
        <v>46089</v>
      </c>
      <c r="C474" s="6">
        <v>46092</v>
      </c>
      <c r="D474" s="17" t="str">
        <f t="shared" si="88"/>
        <v>March</v>
      </c>
      <c r="E474" s="5" t="str">
        <f t="shared" ca="1" si="89"/>
        <v>STU-675</v>
      </c>
      <c r="F474" s="5" t="str">
        <f ca="1">IF(COUNTIF($E$2:E474,E474)=1,"New Customer","Returning Customer")</f>
        <v>Returning Customer</v>
      </c>
      <c r="G474" s="5" t="str">
        <f t="shared" ca="1" si="90"/>
        <v>Female</v>
      </c>
      <c r="H474" s="5" t="s">
        <v>136</v>
      </c>
      <c r="I474" s="5" t="str" cm="1">
        <f t="array" aca="1" ref="I474" ca="1">INDEX(Courses!$B$9:$B$16,RANDBETWEEN(1,8))</f>
        <v>SQL</v>
      </c>
      <c r="J474" s="5" t="str">
        <f ca="1">VLOOKUP(I474,Courses!$B$9:$C$16,2,0)</f>
        <v>Data Analytics</v>
      </c>
      <c r="K474" s="7">
        <f ca="1">VLOOKUP(I474,Courses!$B$9:$D$16,3,0)</f>
        <v>99</v>
      </c>
      <c r="L474" s="5" t="str">
        <f t="shared" ca="1" si="91"/>
        <v>Paid</v>
      </c>
      <c r="M474" s="8" t="str" cm="1">
        <f t="array" aca="1" ref="M474" ca="1">INDEX('Payment Method'!$A$8:$A$12,RANDBETWEEN(1,5))</f>
        <v>Mastercard Credit</v>
      </c>
      <c r="N474" s="7">
        <f>IFERROR(SUMIF(Holiday!$A$8:$A$11,B474,Holiday!$C$8:$C$11),0)</f>
        <v>0</v>
      </c>
      <c r="O474" s="7">
        <f t="shared" ca="1" si="92"/>
        <v>99</v>
      </c>
      <c r="P474" s="19">
        <f t="shared" ca="1" si="93"/>
        <v>95.534999999999997</v>
      </c>
      <c r="Q474" s="7">
        <f t="shared" ca="1" si="94"/>
        <v>0</v>
      </c>
      <c r="R474" s="8">
        <f ca="1">VLOOKUP(M474,'Payment Method'!$A$8:$B$12,2,0)</f>
        <v>3.5000000000000003E-2</v>
      </c>
      <c r="S474" s="9">
        <f t="shared" ca="1" si="84"/>
        <v>3.4650000000000034</v>
      </c>
      <c r="T474" s="8">
        <v>0.01</v>
      </c>
      <c r="U474" s="9">
        <f t="shared" ca="1" si="85"/>
        <v>0.9553499999999957</v>
      </c>
      <c r="V474" s="7">
        <f t="shared" ca="1" si="86"/>
        <v>0</v>
      </c>
      <c r="W474" s="7">
        <f t="shared" ca="1" si="87"/>
        <v>94.579650000000001</v>
      </c>
      <c r="X474" s="5" t="str">
        <f t="shared" ca="1" si="95"/>
        <v>Facebook</v>
      </c>
      <c r="Y474" s="78" t="str">
        <f>IF(COUNTIF($C$1:C473,B473)=1,10,"")</f>
        <v/>
      </c>
    </row>
    <row r="475" spans="1:25" x14ac:dyDescent="0.3">
      <c r="A475" s="76">
        <v>474</v>
      </c>
      <c r="B475" s="6">
        <v>46104</v>
      </c>
      <c r="C475" s="6">
        <v>46106</v>
      </c>
      <c r="D475" s="17" t="str">
        <f t="shared" si="88"/>
        <v>March</v>
      </c>
      <c r="E475" s="5" t="str">
        <f t="shared" ca="1" si="89"/>
        <v>STU-742</v>
      </c>
      <c r="F475" s="5" t="str">
        <f ca="1">IF(COUNTIF($E$2:E475,E475)=1,"New Customer","Returning Customer")</f>
        <v>New Customer</v>
      </c>
      <c r="G475" s="5" t="str">
        <f t="shared" ca="1" si="90"/>
        <v>Male</v>
      </c>
      <c r="H475" s="5" t="s">
        <v>138</v>
      </c>
      <c r="I475" s="5" t="str" cm="1">
        <f t="array" aca="1" ref="I475" ca="1">INDEX(Courses!$B$9:$B$16,RANDBETWEEN(1,8))</f>
        <v>Microsoft Word</v>
      </c>
      <c r="J475" s="5" t="str">
        <f ca="1">VLOOKUP(I475,Courses!$B$9:$C$16,2,0)</f>
        <v>Microsoft Office</v>
      </c>
      <c r="K475" s="7">
        <f ca="1">VLOOKUP(I475,Courses!$B$9:$D$16,3,0)</f>
        <v>29</v>
      </c>
      <c r="L475" s="5" t="str">
        <f t="shared" ca="1" si="91"/>
        <v>Refunded</v>
      </c>
      <c r="M475" s="8" t="str" cm="1">
        <f t="array" aca="1" ref="M475" ca="1">INDEX('Payment Method'!$A$8:$A$12,RANDBETWEEN(1,5))</f>
        <v>Visa Credit</v>
      </c>
      <c r="N475" s="7">
        <f>IFERROR(SUMIF(Holiday!$A$8:$A$11,B475,Holiday!$C$8:$C$11),0)</f>
        <v>0</v>
      </c>
      <c r="O475" s="7">
        <f t="shared" ca="1" si="92"/>
        <v>29</v>
      </c>
      <c r="P475" s="19">
        <f t="shared" ca="1" si="93"/>
        <v>27.984999999999999</v>
      </c>
      <c r="Q475" s="7">
        <f t="shared" ca="1" si="94"/>
        <v>0</v>
      </c>
      <c r="R475" s="8">
        <f ca="1">VLOOKUP(M475,'Payment Method'!$A$8:$B$12,2,0)</f>
        <v>3.5000000000000003E-2</v>
      </c>
      <c r="S475" s="9">
        <f t="shared" ca="1" si="84"/>
        <v>1.0150000000000006</v>
      </c>
      <c r="T475" s="8">
        <v>0.01</v>
      </c>
      <c r="U475" s="9">
        <f t="shared" ca="1" si="85"/>
        <v>0.27984999999999971</v>
      </c>
      <c r="V475" s="7">
        <f t="shared" ca="1" si="86"/>
        <v>27.70515</v>
      </c>
      <c r="W475" s="7">
        <f t="shared" ca="1" si="87"/>
        <v>0</v>
      </c>
      <c r="X475" s="5" t="str">
        <f t="shared" ca="1" si="95"/>
        <v>Tiktok</v>
      </c>
      <c r="Y475" s="78" t="str">
        <f>IF(COUNTIF($C$1:C474,B474)=1,10,"")</f>
        <v/>
      </c>
    </row>
    <row r="476" spans="1:25" x14ac:dyDescent="0.3">
      <c r="A476" s="75">
        <v>475</v>
      </c>
      <c r="B476" s="6">
        <v>46216</v>
      </c>
      <c r="C476" s="6">
        <v>46218</v>
      </c>
      <c r="D476" s="17" t="str">
        <f t="shared" si="88"/>
        <v>July</v>
      </c>
      <c r="E476" s="5" t="str">
        <f t="shared" ca="1" si="89"/>
        <v>STU-646</v>
      </c>
      <c r="F476" s="5" t="str">
        <f ca="1">IF(COUNTIF($E$2:E476,E476)=1,"New Customer","Returning Customer")</f>
        <v>New Customer</v>
      </c>
      <c r="G476" s="5" t="str">
        <f t="shared" ca="1" si="90"/>
        <v>Female</v>
      </c>
      <c r="H476" s="5" t="s">
        <v>135</v>
      </c>
      <c r="I476" s="5" t="str" cm="1">
        <f t="array" aca="1" ref="I476" ca="1">INDEX(Courses!$B$9:$B$16,RANDBETWEEN(1,8))</f>
        <v>Complete Excel Course</v>
      </c>
      <c r="J476" s="5" t="str">
        <f ca="1">VLOOKUP(I476,Courses!$B$9:$C$16,2,0)</f>
        <v>Microsoft Office</v>
      </c>
      <c r="K476" s="7">
        <f ca="1">VLOOKUP(I476,Courses!$B$9:$D$16,3,0)</f>
        <v>59</v>
      </c>
      <c r="L476" s="5" t="str">
        <f t="shared" ca="1" si="91"/>
        <v>Paid</v>
      </c>
      <c r="M476" s="8" t="str" cm="1">
        <f t="array" aca="1" ref="M476" ca="1">INDEX('Payment Method'!$A$8:$A$12,RANDBETWEEN(1,5))</f>
        <v>Mastercard Credit</v>
      </c>
      <c r="N476" s="7">
        <f>IFERROR(SUMIF(Holiday!$A$8:$A$11,B476,Holiday!$C$8:$C$11),0)</f>
        <v>0</v>
      </c>
      <c r="O476" s="7">
        <f t="shared" ca="1" si="92"/>
        <v>59</v>
      </c>
      <c r="P476" s="19">
        <f t="shared" ca="1" si="93"/>
        <v>56.935000000000002</v>
      </c>
      <c r="Q476" s="7">
        <f t="shared" ca="1" si="94"/>
        <v>0</v>
      </c>
      <c r="R476" s="8">
        <f ca="1">VLOOKUP(M476,'Payment Method'!$A$8:$B$12,2,0)</f>
        <v>3.5000000000000003E-2</v>
      </c>
      <c r="S476" s="9">
        <f t="shared" ca="1" si="84"/>
        <v>2.0649999999999977</v>
      </c>
      <c r="T476" s="8">
        <v>0.01</v>
      </c>
      <c r="U476" s="9">
        <f t="shared" ca="1" si="85"/>
        <v>0.56935000000000002</v>
      </c>
      <c r="V476" s="7">
        <f t="shared" ca="1" si="86"/>
        <v>0</v>
      </c>
      <c r="W476" s="7">
        <f t="shared" ca="1" si="87"/>
        <v>56.365650000000002</v>
      </c>
      <c r="X476" s="5" t="str">
        <f t="shared" ca="1" si="95"/>
        <v>Instagram</v>
      </c>
      <c r="Y476" s="78" t="str">
        <f>IF(COUNTIF($C$1:C475,B475)=1,10,"")</f>
        <v/>
      </c>
    </row>
    <row r="477" spans="1:25" x14ac:dyDescent="0.3">
      <c r="A477" s="76">
        <v>476</v>
      </c>
      <c r="B477" s="6">
        <v>46051</v>
      </c>
      <c r="C477" s="6">
        <v>46056</v>
      </c>
      <c r="D477" s="17" t="str">
        <f t="shared" si="88"/>
        <v>February</v>
      </c>
      <c r="E477" s="5" t="str">
        <f t="shared" ca="1" si="89"/>
        <v>STU-376</v>
      </c>
      <c r="F477" s="5" t="str">
        <f ca="1">IF(COUNTIF($E$2:E477,E477)=1,"New Customer","Returning Customer")</f>
        <v>Returning Customer</v>
      </c>
      <c r="G477" s="5" t="str">
        <f t="shared" ca="1" si="90"/>
        <v>Not specified</v>
      </c>
      <c r="H477" s="5" t="s">
        <v>138</v>
      </c>
      <c r="I477" s="5" t="str" cm="1">
        <f t="array" aca="1" ref="I477" ca="1">INDEX(Courses!$B$9:$B$16,RANDBETWEEN(1,8))</f>
        <v>Tax Code</v>
      </c>
      <c r="J477" s="5" t="str">
        <f ca="1">VLOOKUP(I477,Courses!$B$9:$C$16,2,0)</f>
        <v>Finance &amp; Taxation</v>
      </c>
      <c r="K477" s="7">
        <f ca="1">VLOOKUP(I477,Courses!$B$9:$D$16,3,0)</f>
        <v>59</v>
      </c>
      <c r="L477" s="5" t="str">
        <f t="shared" ca="1" si="91"/>
        <v>Paid</v>
      </c>
      <c r="M477" s="8" t="str" cm="1">
        <f t="array" aca="1" ref="M477" ca="1">INDEX('Payment Method'!$A$8:$A$12,RANDBETWEEN(1,5))</f>
        <v>Visa Credit</v>
      </c>
      <c r="N477" s="7">
        <f>IFERROR(SUMIF(Holiday!$A$8:$A$11,B477,Holiday!$C$8:$C$11),0)</f>
        <v>0</v>
      </c>
      <c r="O477" s="7">
        <f t="shared" ca="1" si="92"/>
        <v>59</v>
      </c>
      <c r="P477" s="19">
        <f t="shared" ca="1" si="93"/>
        <v>56.935000000000002</v>
      </c>
      <c r="Q477" s="7">
        <f t="shared" ca="1" si="94"/>
        <v>0</v>
      </c>
      <c r="R477" s="8">
        <f ca="1">VLOOKUP(M477,'Payment Method'!$A$8:$B$12,2,0)</f>
        <v>3.5000000000000003E-2</v>
      </c>
      <c r="S477" s="9">
        <f t="shared" ca="1" si="84"/>
        <v>2.0649999999999977</v>
      </c>
      <c r="T477" s="8">
        <v>0.01</v>
      </c>
      <c r="U477" s="9">
        <f t="shared" ca="1" si="85"/>
        <v>0.56935000000000002</v>
      </c>
      <c r="V477" s="7">
        <f t="shared" ca="1" si="86"/>
        <v>0</v>
      </c>
      <c r="W477" s="7">
        <f t="shared" ca="1" si="87"/>
        <v>56.365650000000002</v>
      </c>
      <c r="X477" s="5" t="str">
        <f t="shared" ca="1" si="95"/>
        <v>Instagram</v>
      </c>
      <c r="Y477" s="78" t="str">
        <f>IF(COUNTIF($C$1:C476,B476)=1,10,"")</f>
        <v/>
      </c>
    </row>
    <row r="478" spans="1:25" x14ac:dyDescent="0.3">
      <c r="A478" s="75">
        <v>477</v>
      </c>
      <c r="B478" s="6">
        <v>46081</v>
      </c>
      <c r="C478" s="6">
        <v>46081</v>
      </c>
      <c r="D478" s="17" t="str">
        <f t="shared" si="88"/>
        <v>February</v>
      </c>
      <c r="E478" s="5" t="str">
        <f t="shared" ca="1" si="89"/>
        <v>STU-314</v>
      </c>
      <c r="F478" s="5" t="str">
        <f ca="1">IF(COUNTIF($E$2:E478,E478)=1,"New Customer","Returning Customer")</f>
        <v>New Customer</v>
      </c>
      <c r="G478" s="5" t="str">
        <f t="shared" ca="1" si="90"/>
        <v>Female</v>
      </c>
      <c r="H478" s="5" t="s">
        <v>137</v>
      </c>
      <c r="I478" s="5" t="str" cm="1">
        <f t="array" aca="1" ref="I478" ca="1">INDEX(Courses!$B$9:$B$16,RANDBETWEEN(1,8))</f>
        <v>Complete Excel Course</v>
      </c>
      <c r="J478" s="5" t="str">
        <f ca="1">VLOOKUP(I478,Courses!$B$9:$C$16,2,0)</f>
        <v>Microsoft Office</v>
      </c>
      <c r="K478" s="7">
        <f ca="1">VLOOKUP(I478,Courses!$B$9:$D$16,3,0)</f>
        <v>59</v>
      </c>
      <c r="L478" s="5" t="str">
        <f t="shared" ca="1" si="91"/>
        <v>Paid</v>
      </c>
      <c r="M478" s="8" t="str" cm="1">
        <f t="array" aca="1" ref="M478" ca="1">INDEX('Payment Method'!$A$8:$A$12,RANDBETWEEN(1,5))</f>
        <v>Bank Transfer</v>
      </c>
      <c r="N478" s="7">
        <f>IFERROR(SUMIF(Holiday!$A$8:$A$11,B478,Holiday!$C$8:$C$11),0)</f>
        <v>0</v>
      </c>
      <c r="O478" s="7">
        <f t="shared" ca="1" si="92"/>
        <v>59</v>
      </c>
      <c r="P478" s="19">
        <f t="shared" ca="1" si="93"/>
        <v>59</v>
      </c>
      <c r="Q478" s="7">
        <f t="shared" ca="1" si="94"/>
        <v>0</v>
      </c>
      <c r="R478" s="8">
        <f ca="1">VLOOKUP(M478,'Payment Method'!$A$8:$B$12,2,0)</f>
        <v>0</v>
      </c>
      <c r="S478" s="9">
        <f t="shared" ca="1" si="84"/>
        <v>0</v>
      </c>
      <c r="T478" s="8">
        <v>0.01</v>
      </c>
      <c r="U478" s="9">
        <f t="shared" ca="1" si="85"/>
        <v>0.59000000000000341</v>
      </c>
      <c r="V478" s="7">
        <f t="shared" ca="1" si="86"/>
        <v>0</v>
      </c>
      <c r="W478" s="7">
        <f t="shared" ca="1" si="87"/>
        <v>58.41</v>
      </c>
      <c r="X478" s="5" t="str">
        <f t="shared" ca="1" si="95"/>
        <v>Instagram</v>
      </c>
      <c r="Y478" s="78" t="str">
        <f>IF(COUNTIF($C$1:C477,B477)=1,10,"")</f>
        <v/>
      </c>
    </row>
    <row r="479" spans="1:25" x14ac:dyDescent="0.3">
      <c r="A479" s="76">
        <v>478</v>
      </c>
      <c r="B479" s="6">
        <v>46228</v>
      </c>
      <c r="C479" s="6">
        <v>46232</v>
      </c>
      <c r="D479" s="17" t="str">
        <f t="shared" si="88"/>
        <v>July</v>
      </c>
      <c r="E479" s="5" t="str">
        <f t="shared" ca="1" si="89"/>
        <v>STU-763</v>
      </c>
      <c r="F479" s="5" t="str">
        <f ca="1">IF(COUNTIF($E$2:E479,E479)=1,"New Customer","Returning Customer")</f>
        <v>New Customer</v>
      </c>
      <c r="G479" s="5" t="str">
        <f t="shared" ca="1" si="90"/>
        <v>Female</v>
      </c>
      <c r="H479" s="5" t="s">
        <v>140</v>
      </c>
      <c r="I479" s="5" t="str" cm="1">
        <f t="array" aca="1" ref="I479" ca="1">INDEX(Courses!$B$9:$B$16,RANDBETWEEN(1,8))</f>
        <v>Complete Excel Course</v>
      </c>
      <c r="J479" s="5" t="str">
        <f ca="1">VLOOKUP(I479,Courses!$B$9:$C$16,2,0)</f>
        <v>Microsoft Office</v>
      </c>
      <c r="K479" s="7">
        <f ca="1">VLOOKUP(I479,Courses!$B$9:$D$16,3,0)</f>
        <v>59</v>
      </c>
      <c r="L479" s="5" t="str">
        <f t="shared" ca="1" si="91"/>
        <v>Pending</v>
      </c>
      <c r="M479" s="8" t="str" cm="1">
        <f t="array" aca="1" ref="M479" ca="1">INDEX('Payment Method'!$A$8:$A$12,RANDBETWEEN(1,5))</f>
        <v>Visa Debit</v>
      </c>
      <c r="N479" s="7">
        <f>IFERROR(SUMIF(Holiday!$A$8:$A$11,B479,Holiday!$C$8:$C$11),0)</f>
        <v>0</v>
      </c>
      <c r="O479" s="7">
        <f t="shared" ca="1" si="92"/>
        <v>59</v>
      </c>
      <c r="P479" s="19">
        <f t="shared" ca="1" si="93"/>
        <v>57.82</v>
      </c>
      <c r="Q479" s="7">
        <f t="shared" ca="1" si="94"/>
        <v>57.241799999999998</v>
      </c>
      <c r="R479" s="8">
        <f ca="1">VLOOKUP(M479,'Payment Method'!$A$8:$B$12,2,0)</f>
        <v>0.02</v>
      </c>
      <c r="S479" s="9">
        <f t="shared" ca="1" si="84"/>
        <v>1.1799999999999997</v>
      </c>
      <c r="T479" s="8">
        <v>0.01</v>
      </c>
      <c r="U479" s="9">
        <f t="shared" ca="1" si="85"/>
        <v>0.57820000000000249</v>
      </c>
      <c r="V479" s="7">
        <f t="shared" ca="1" si="86"/>
        <v>0</v>
      </c>
      <c r="W479" s="7">
        <f t="shared" ca="1" si="87"/>
        <v>0</v>
      </c>
      <c r="X479" s="5" t="str">
        <f t="shared" ca="1" si="95"/>
        <v>Tiktok</v>
      </c>
      <c r="Y479" s="78" t="str">
        <f>IF(COUNTIF($C$1:C478,B478)=1,10,"")</f>
        <v/>
      </c>
    </row>
    <row r="480" spans="1:25" x14ac:dyDescent="0.3">
      <c r="A480" s="75">
        <v>479</v>
      </c>
      <c r="B480" s="6">
        <v>46157</v>
      </c>
      <c r="C480" s="6">
        <v>46161</v>
      </c>
      <c r="D480" s="17" t="str">
        <f t="shared" si="88"/>
        <v>May</v>
      </c>
      <c r="E480" s="5" t="str">
        <f t="shared" ca="1" si="89"/>
        <v>STU-199</v>
      </c>
      <c r="F480" s="5" t="str">
        <f ca="1">IF(COUNTIF($E$2:E480,E480)=1,"New Customer","Returning Customer")</f>
        <v>New Customer</v>
      </c>
      <c r="G480" s="5" t="str">
        <f t="shared" ca="1" si="90"/>
        <v>Not specified</v>
      </c>
      <c r="H480" s="5" t="s">
        <v>135</v>
      </c>
      <c r="I480" s="5" t="str" cm="1">
        <f t="array" aca="1" ref="I480" ca="1">INDEX(Courses!$B$9:$B$16,RANDBETWEEN(1,8))</f>
        <v>Excel Basics</v>
      </c>
      <c r="J480" s="5" t="str">
        <f ca="1">VLOOKUP(I480,Courses!$B$9:$C$16,2,0)</f>
        <v>Microsoft Office</v>
      </c>
      <c r="K480" s="7">
        <f ca="1">VLOOKUP(I480,Courses!$B$9:$D$16,3,0)</f>
        <v>29</v>
      </c>
      <c r="L480" s="5" t="str">
        <f t="shared" ca="1" si="91"/>
        <v>Pending</v>
      </c>
      <c r="M480" s="8" t="str" cm="1">
        <f t="array" aca="1" ref="M480" ca="1">INDEX('Payment Method'!$A$8:$A$12,RANDBETWEEN(1,5))</f>
        <v>Mastercard Credit</v>
      </c>
      <c r="N480" s="7">
        <f>IFERROR(SUMIF(Holiday!$A$8:$A$11,B480,Holiday!$C$8:$C$11),0)</f>
        <v>0</v>
      </c>
      <c r="O480" s="7">
        <f t="shared" ca="1" si="92"/>
        <v>29</v>
      </c>
      <c r="P480" s="19">
        <f t="shared" ca="1" si="93"/>
        <v>27.984999999999999</v>
      </c>
      <c r="Q480" s="7">
        <f t="shared" ca="1" si="94"/>
        <v>27.70515</v>
      </c>
      <c r="R480" s="8">
        <f ca="1">VLOOKUP(M480,'Payment Method'!$A$8:$B$12,2,0)</f>
        <v>3.5000000000000003E-2</v>
      </c>
      <c r="S480" s="9">
        <f t="shared" ca="1" si="84"/>
        <v>1.0150000000000006</v>
      </c>
      <c r="T480" s="8">
        <v>0.01</v>
      </c>
      <c r="U480" s="9">
        <f t="shared" ca="1" si="85"/>
        <v>0.27984999999999971</v>
      </c>
      <c r="V480" s="7">
        <f t="shared" ca="1" si="86"/>
        <v>0</v>
      </c>
      <c r="W480" s="7">
        <f t="shared" ca="1" si="87"/>
        <v>0</v>
      </c>
      <c r="X480" s="5" t="str">
        <f t="shared" ca="1" si="95"/>
        <v>Instagram</v>
      </c>
      <c r="Y480" s="78" t="str">
        <f>IF(COUNTIF($C$1:C479,B479)=1,10,"")</f>
        <v/>
      </c>
    </row>
    <row r="481" spans="1:25" x14ac:dyDescent="0.3">
      <c r="A481" s="76">
        <v>480</v>
      </c>
      <c r="B481" s="6">
        <v>46064</v>
      </c>
      <c r="C481" s="6">
        <v>46065</v>
      </c>
      <c r="D481" s="17" t="str">
        <f t="shared" si="88"/>
        <v>February</v>
      </c>
      <c r="E481" s="5" t="str">
        <f t="shared" ca="1" si="89"/>
        <v>STU-138</v>
      </c>
      <c r="F481" s="5" t="str">
        <f ca="1">IF(COUNTIF($E$2:E481,E481)=1,"New Customer","Returning Customer")</f>
        <v>Returning Customer</v>
      </c>
      <c r="G481" s="5" t="str">
        <f t="shared" ca="1" si="90"/>
        <v>Male</v>
      </c>
      <c r="H481" s="5" t="s">
        <v>142</v>
      </c>
      <c r="I481" s="5" t="str" cm="1">
        <f t="array" aca="1" ref="I481" ca="1">INDEX(Courses!$B$9:$B$16,RANDBETWEEN(1,8))</f>
        <v>Adolescent Psychology</v>
      </c>
      <c r="J481" s="5" t="str">
        <f ca="1">VLOOKUP(I481,Courses!$B$9:$C$16,2,0)</f>
        <v>Psychology</v>
      </c>
      <c r="K481" s="7">
        <f ca="1">VLOOKUP(I481,Courses!$B$9:$D$16,3,0)</f>
        <v>29</v>
      </c>
      <c r="L481" s="5" t="str">
        <f t="shared" ca="1" si="91"/>
        <v>Paid</v>
      </c>
      <c r="M481" s="8" t="str" cm="1">
        <f t="array" aca="1" ref="M481" ca="1">INDEX('Payment Method'!$A$8:$A$12,RANDBETWEEN(1,5))</f>
        <v>Mastercard Credit</v>
      </c>
      <c r="N481" s="7">
        <f>IFERROR(SUMIF(Holiday!$A$8:$A$11,B481,Holiday!$C$8:$C$11),0)</f>
        <v>0</v>
      </c>
      <c r="O481" s="7">
        <f t="shared" ca="1" si="92"/>
        <v>29</v>
      </c>
      <c r="P481" s="19">
        <f t="shared" ca="1" si="93"/>
        <v>27.984999999999999</v>
      </c>
      <c r="Q481" s="7">
        <f t="shared" ca="1" si="94"/>
        <v>0</v>
      </c>
      <c r="R481" s="8">
        <f ca="1">VLOOKUP(M481,'Payment Method'!$A$8:$B$12,2,0)</f>
        <v>3.5000000000000003E-2</v>
      </c>
      <c r="S481" s="9">
        <f t="shared" ca="1" si="84"/>
        <v>1.0150000000000006</v>
      </c>
      <c r="T481" s="8">
        <v>0.01</v>
      </c>
      <c r="U481" s="9">
        <f t="shared" ca="1" si="85"/>
        <v>0.27984999999999971</v>
      </c>
      <c r="V481" s="7">
        <f t="shared" ca="1" si="86"/>
        <v>0</v>
      </c>
      <c r="W481" s="7">
        <f t="shared" ca="1" si="87"/>
        <v>27.70515</v>
      </c>
      <c r="X481" s="5" t="str">
        <f t="shared" ca="1" si="95"/>
        <v>Instagram</v>
      </c>
      <c r="Y481" s="78" t="str">
        <f>IF(COUNTIF($C$1:C480,B480)=1,10,"")</f>
        <v/>
      </c>
    </row>
    <row r="482" spans="1:25" x14ac:dyDescent="0.3">
      <c r="A482" s="75">
        <v>481</v>
      </c>
      <c r="B482" s="6">
        <v>46175</v>
      </c>
      <c r="C482" s="6">
        <v>46180</v>
      </c>
      <c r="D482" s="17" t="str">
        <f t="shared" si="88"/>
        <v>June</v>
      </c>
      <c r="E482" s="5" t="str">
        <f t="shared" ca="1" si="89"/>
        <v>STU-17</v>
      </c>
      <c r="F482" s="5" t="str">
        <f ca="1">IF(COUNTIF($E$2:E482,E482)=1,"New Customer","Returning Customer")</f>
        <v>New Customer</v>
      </c>
      <c r="G482" s="5" t="str">
        <f t="shared" ca="1" si="90"/>
        <v>Not specified</v>
      </c>
      <c r="H482" s="5" t="s">
        <v>140</v>
      </c>
      <c r="I482" s="5" t="str" cm="1">
        <f t="array" aca="1" ref="I482" ca="1">INDEX(Courses!$B$9:$B$16,RANDBETWEEN(1,8))</f>
        <v>Microsoft Word</v>
      </c>
      <c r="J482" s="5" t="str">
        <f ca="1">VLOOKUP(I482,Courses!$B$9:$C$16,2,0)</f>
        <v>Microsoft Office</v>
      </c>
      <c r="K482" s="7">
        <f ca="1">VLOOKUP(I482,Courses!$B$9:$D$16,3,0)</f>
        <v>29</v>
      </c>
      <c r="L482" s="5" t="str">
        <f t="shared" ca="1" si="91"/>
        <v>Pending</v>
      </c>
      <c r="M482" s="8" t="str" cm="1">
        <f t="array" aca="1" ref="M482" ca="1">INDEX('Payment Method'!$A$8:$A$12,RANDBETWEEN(1,5))</f>
        <v>Visa Debit</v>
      </c>
      <c r="N482" s="7">
        <f>IFERROR(SUMIF(Holiday!$A$8:$A$11,B482,Holiday!$C$8:$C$11),0)</f>
        <v>0</v>
      </c>
      <c r="O482" s="7">
        <f t="shared" ca="1" si="92"/>
        <v>29</v>
      </c>
      <c r="P482" s="19">
        <f t="shared" ca="1" si="93"/>
        <v>28.42</v>
      </c>
      <c r="Q482" s="7">
        <f t="shared" ca="1" si="94"/>
        <v>28.135800000000003</v>
      </c>
      <c r="R482" s="8">
        <f ca="1">VLOOKUP(M482,'Payment Method'!$A$8:$B$12,2,0)</f>
        <v>0.02</v>
      </c>
      <c r="S482" s="9">
        <f t="shared" ca="1" si="84"/>
        <v>0.57999999999999829</v>
      </c>
      <c r="T482" s="8">
        <v>0.01</v>
      </c>
      <c r="U482" s="9">
        <f t="shared" ca="1" si="85"/>
        <v>0.28419999999999845</v>
      </c>
      <c r="V482" s="7">
        <f t="shared" ca="1" si="86"/>
        <v>0</v>
      </c>
      <c r="W482" s="7">
        <f t="shared" ca="1" si="87"/>
        <v>0</v>
      </c>
      <c r="X482" s="5" t="str">
        <f t="shared" ca="1" si="95"/>
        <v>Facebook</v>
      </c>
      <c r="Y482" s="78" t="str">
        <f>IF(COUNTIF($C$1:C481,B481)=1,10,"")</f>
        <v/>
      </c>
    </row>
    <row r="483" spans="1:25" x14ac:dyDescent="0.3">
      <c r="A483" s="76">
        <v>482</v>
      </c>
      <c r="B483" s="6">
        <v>46222</v>
      </c>
      <c r="C483" s="6">
        <v>46225</v>
      </c>
      <c r="D483" s="17" t="str">
        <f t="shared" si="88"/>
        <v>July</v>
      </c>
      <c r="E483" s="5" t="str">
        <f t="shared" ca="1" si="89"/>
        <v>STU-770</v>
      </c>
      <c r="F483" s="5" t="str">
        <f ca="1">IF(COUNTIF($E$2:E483,E483)=1,"New Customer","Returning Customer")</f>
        <v>New Customer</v>
      </c>
      <c r="G483" s="5" t="str">
        <f t="shared" ca="1" si="90"/>
        <v>Male</v>
      </c>
      <c r="H483" s="5" t="s">
        <v>140</v>
      </c>
      <c r="I483" s="5" t="str" cm="1">
        <f t="array" aca="1" ref="I483" ca="1">INDEX(Courses!$B$9:$B$16,RANDBETWEEN(1,8))</f>
        <v>Power BI</v>
      </c>
      <c r="J483" s="5" t="str">
        <f ca="1">VLOOKUP(I483,Courses!$B$9:$C$16,2,0)</f>
        <v>Data Analytics</v>
      </c>
      <c r="K483" s="7">
        <f ca="1">VLOOKUP(I483,Courses!$B$9:$D$16,3,0)</f>
        <v>59</v>
      </c>
      <c r="L483" s="5" t="str">
        <f t="shared" ca="1" si="91"/>
        <v>Paid</v>
      </c>
      <c r="M483" s="8" t="str" cm="1">
        <f t="array" aca="1" ref="M483" ca="1">INDEX('Payment Method'!$A$8:$A$12,RANDBETWEEN(1,5))</f>
        <v>Visa Debit</v>
      </c>
      <c r="N483" s="7">
        <f>IFERROR(SUMIF(Holiday!$A$8:$A$11,B483,Holiday!$C$8:$C$11),0)</f>
        <v>0</v>
      </c>
      <c r="O483" s="7">
        <f t="shared" ca="1" si="92"/>
        <v>59</v>
      </c>
      <c r="P483" s="19">
        <f t="shared" ca="1" si="93"/>
        <v>57.82</v>
      </c>
      <c r="Q483" s="7">
        <f t="shared" ca="1" si="94"/>
        <v>0</v>
      </c>
      <c r="R483" s="8">
        <f ca="1">VLOOKUP(M483,'Payment Method'!$A$8:$B$12,2,0)</f>
        <v>0.02</v>
      </c>
      <c r="S483" s="9">
        <f t="shared" ca="1" si="84"/>
        <v>1.1799999999999997</v>
      </c>
      <c r="T483" s="8">
        <v>0.01</v>
      </c>
      <c r="U483" s="9">
        <f t="shared" ca="1" si="85"/>
        <v>0.57820000000000249</v>
      </c>
      <c r="V483" s="7">
        <f t="shared" ca="1" si="86"/>
        <v>0</v>
      </c>
      <c r="W483" s="7">
        <f t="shared" ca="1" si="87"/>
        <v>57.241799999999998</v>
      </c>
      <c r="X483" s="5" t="str">
        <f t="shared" ca="1" si="95"/>
        <v>Tiktok</v>
      </c>
      <c r="Y483" s="78" t="str">
        <f>IF(COUNTIF($C$1:C482,B482)=1,10,"")</f>
        <v/>
      </c>
    </row>
    <row r="484" spans="1:25" x14ac:dyDescent="0.3">
      <c r="A484" s="75">
        <v>483</v>
      </c>
      <c r="B484" s="6">
        <v>46185</v>
      </c>
      <c r="C484" s="6">
        <v>46187</v>
      </c>
      <c r="D484" s="17" t="str">
        <f t="shared" si="88"/>
        <v>June</v>
      </c>
      <c r="E484" s="5" t="str">
        <f t="shared" ca="1" si="89"/>
        <v>STU-76</v>
      </c>
      <c r="F484" s="5" t="str">
        <f ca="1">IF(COUNTIF($E$2:E484,E484)=1,"New Customer","Returning Customer")</f>
        <v>New Customer</v>
      </c>
      <c r="G484" s="5" t="str">
        <f t="shared" ca="1" si="90"/>
        <v>Male</v>
      </c>
      <c r="H484" s="5" t="s">
        <v>135</v>
      </c>
      <c r="I484" s="5" t="str" cm="1">
        <f t="array" aca="1" ref="I484" ca="1">INDEX(Courses!$B$9:$B$16,RANDBETWEEN(1,8))</f>
        <v>Microsoft Word</v>
      </c>
      <c r="J484" s="5" t="str">
        <f ca="1">VLOOKUP(I484,Courses!$B$9:$C$16,2,0)</f>
        <v>Microsoft Office</v>
      </c>
      <c r="K484" s="7">
        <f ca="1">VLOOKUP(I484,Courses!$B$9:$D$16,3,0)</f>
        <v>29</v>
      </c>
      <c r="L484" s="5" t="str">
        <f t="shared" ca="1" si="91"/>
        <v>Paid</v>
      </c>
      <c r="M484" s="8" t="str" cm="1">
        <f t="array" aca="1" ref="M484" ca="1">INDEX('Payment Method'!$A$8:$A$12,RANDBETWEEN(1,5))</f>
        <v>Bank Transfer</v>
      </c>
      <c r="N484" s="7">
        <f>IFERROR(SUMIF(Holiday!$A$8:$A$11,B484,Holiday!$C$8:$C$11),0)</f>
        <v>0</v>
      </c>
      <c r="O484" s="7">
        <f t="shared" ca="1" si="92"/>
        <v>29</v>
      </c>
      <c r="P484" s="19">
        <f t="shared" ca="1" si="93"/>
        <v>29</v>
      </c>
      <c r="Q484" s="7">
        <f t="shared" ca="1" si="94"/>
        <v>0</v>
      </c>
      <c r="R484" s="8">
        <f ca="1">VLOOKUP(M484,'Payment Method'!$A$8:$B$12,2,0)</f>
        <v>0</v>
      </c>
      <c r="S484" s="9">
        <f t="shared" ca="1" si="84"/>
        <v>0</v>
      </c>
      <c r="T484" s="8">
        <v>0.01</v>
      </c>
      <c r="U484" s="9">
        <f t="shared" ca="1" si="85"/>
        <v>0.28999999999999915</v>
      </c>
      <c r="V484" s="7">
        <f t="shared" ca="1" si="86"/>
        <v>0</v>
      </c>
      <c r="W484" s="7">
        <f t="shared" ca="1" si="87"/>
        <v>28.71</v>
      </c>
      <c r="X484" s="5" t="str">
        <f t="shared" ca="1" si="95"/>
        <v>Tiktok</v>
      </c>
      <c r="Y484" s="78" t="str">
        <f>IF(COUNTIF($C$1:C483,B483)=1,10,"")</f>
        <v/>
      </c>
    </row>
    <row r="485" spans="1:25" x14ac:dyDescent="0.3">
      <c r="A485" s="76">
        <v>484</v>
      </c>
      <c r="B485" s="6">
        <v>46101</v>
      </c>
      <c r="C485" s="6">
        <v>46104</v>
      </c>
      <c r="D485" s="17" t="str">
        <f t="shared" si="88"/>
        <v>March</v>
      </c>
      <c r="E485" s="5" t="str">
        <f t="shared" ca="1" si="89"/>
        <v>STU-272</v>
      </c>
      <c r="F485" s="5" t="str">
        <f ca="1">IF(COUNTIF($E$2:E485,E485)=1,"New Customer","Returning Customer")</f>
        <v>Returning Customer</v>
      </c>
      <c r="G485" s="5" t="str">
        <f t="shared" ca="1" si="90"/>
        <v>Not specified</v>
      </c>
      <c r="H485" s="5" t="s">
        <v>138</v>
      </c>
      <c r="I485" s="5" t="str" cm="1">
        <f t="array" aca="1" ref="I485" ca="1">INDEX(Courses!$B$9:$B$16,RANDBETWEEN(1,8))</f>
        <v>Complete Excel Course</v>
      </c>
      <c r="J485" s="5" t="str">
        <f ca="1">VLOOKUP(I485,Courses!$B$9:$C$16,2,0)</f>
        <v>Microsoft Office</v>
      </c>
      <c r="K485" s="7">
        <f ca="1">VLOOKUP(I485,Courses!$B$9:$D$16,3,0)</f>
        <v>59</v>
      </c>
      <c r="L485" s="5" t="str">
        <f t="shared" ca="1" si="91"/>
        <v>Paid</v>
      </c>
      <c r="M485" s="8" t="str" cm="1">
        <f t="array" aca="1" ref="M485" ca="1">INDEX('Payment Method'!$A$8:$A$12,RANDBETWEEN(1,5))</f>
        <v>Mastercard Credit</v>
      </c>
      <c r="N485" s="7">
        <f>IFERROR(SUMIF(Holiday!$A$8:$A$11,B485,Holiday!$C$8:$C$11),0)</f>
        <v>0</v>
      </c>
      <c r="O485" s="7">
        <f t="shared" ca="1" si="92"/>
        <v>59</v>
      </c>
      <c r="P485" s="19">
        <f t="shared" ca="1" si="93"/>
        <v>56.935000000000002</v>
      </c>
      <c r="Q485" s="7">
        <f t="shared" ca="1" si="94"/>
        <v>0</v>
      </c>
      <c r="R485" s="8">
        <f ca="1">VLOOKUP(M485,'Payment Method'!$A$8:$B$12,2,0)</f>
        <v>3.5000000000000003E-2</v>
      </c>
      <c r="S485" s="9">
        <f t="shared" ca="1" si="84"/>
        <v>2.0649999999999977</v>
      </c>
      <c r="T485" s="8">
        <v>0.01</v>
      </c>
      <c r="U485" s="9">
        <f t="shared" ca="1" si="85"/>
        <v>0.56935000000000002</v>
      </c>
      <c r="V485" s="7">
        <f t="shared" ca="1" si="86"/>
        <v>0</v>
      </c>
      <c r="W485" s="7">
        <f t="shared" ca="1" si="87"/>
        <v>56.365650000000002</v>
      </c>
      <c r="X485" s="5" t="str">
        <f t="shared" ca="1" si="95"/>
        <v>Facebook</v>
      </c>
      <c r="Y485" s="78" t="str">
        <f>IF(COUNTIF($C$1:C484,B484)=1,10,"")</f>
        <v/>
      </c>
    </row>
    <row r="486" spans="1:25" x14ac:dyDescent="0.3">
      <c r="A486" s="75">
        <v>485</v>
      </c>
      <c r="B486" s="6">
        <v>46103</v>
      </c>
      <c r="C486" s="6">
        <v>46105</v>
      </c>
      <c r="D486" s="17" t="str">
        <f t="shared" si="88"/>
        <v>March</v>
      </c>
      <c r="E486" s="5" t="str">
        <f t="shared" ca="1" si="89"/>
        <v>STU-940</v>
      </c>
      <c r="F486" s="5" t="str">
        <f ca="1">IF(COUNTIF($E$2:E486,E486)=1,"New Customer","Returning Customer")</f>
        <v>New Customer</v>
      </c>
      <c r="G486" s="5" t="str">
        <f t="shared" ca="1" si="90"/>
        <v>Male</v>
      </c>
      <c r="H486" s="5" t="s">
        <v>141</v>
      </c>
      <c r="I486" s="5" t="str" cm="1">
        <f t="array" aca="1" ref="I486" ca="1">INDEX(Courses!$B$9:$B$16,RANDBETWEEN(1,8))</f>
        <v>Power BI</v>
      </c>
      <c r="J486" s="5" t="str">
        <f ca="1">VLOOKUP(I486,Courses!$B$9:$C$16,2,0)</f>
        <v>Data Analytics</v>
      </c>
      <c r="K486" s="7">
        <f ca="1">VLOOKUP(I486,Courses!$B$9:$D$16,3,0)</f>
        <v>59</v>
      </c>
      <c r="L486" s="5" t="str">
        <f t="shared" ca="1" si="91"/>
        <v>Paid</v>
      </c>
      <c r="M486" s="8" t="str" cm="1">
        <f t="array" aca="1" ref="M486" ca="1">INDEX('Payment Method'!$A$8:$A$12,RANDBETWEEN(1,5))</f>
        <v>Bank Transfer</v>
      </c>
      <c r="N486" s="7">
        <f>IFERROR(SUMIF(Holiday!$A$8:$A$11,B486,Holiday!$C$8:$C$11),0)</f>
        <v>0</v>
      </c>
      <c r="O486" s="7">
        <f t="shared" ca="1" si="92"/>
        <v>59</v>
      </c>
      <c r="P486" s="19">
        <f t="shared" ca="1" si="93"/>
        <v>59</v>
      </c>
      <c r="Q486" s="7">
        <f t="shared" ca="1" si="94"/>
        <v>0</v>
      </c>
      <c r="R486" s="8">
        <f ca="1">VLOOKUP(M486,'Payment Method'!$A$8:$B$12,2,0)</f>
        <v>0</v>
      </c>
      <c r="S486" s="9">
        <f t="shared" ca="1" si="84"/>
        <v>0</v>
      </c>
      <c r="T486" s="8">
        <v>0.01</v>
      </c>
      <c r="U486" s="9">
        <f t="shared" ca="1" si="85"/>
        <v>0.59000000000000341</v>
      </c>
      <c r="V486" s="7">
        <f t="shared" ca="1" si="86"/>
        <v>0</v>
      </c>
      <c r="W486" s="7">
        <f t="shared" ca="1" si="87"/>
        <v>58.41</v>
      </c>
      <c r="X486" s="5" t="str">
        <f t="shared" ca="1" si="95"/>
        <v>Tiktok</v>
      </c>
      <c r="Y486" s="78">
        <f>IF(COUNTIF($C$1:C485,B485)=1,10,"")</f>
        <v>10</v>
      </c>
    </row>
    <row r="487" spans="1:25" x14ac:dyDescent="0.3">
      <c r="A487" s="76">
        <v>486</v>
      </c>
      <c r="B487" s="6">
        <v>46038</v>
      </c>
      <c r="C487" s="6">
        <v>46038</v>
      </c>
      <c r="D487" s="17" t="str">
        <f t="shared" si="88"/>
        <v>January</v>
      </c>
      <c r="E487" s="5" t="str">
        <f t="shared" ca="1" si="89"/>
        <v>STU-330</v>
      </c>
      <c r="F487" s="5" t="str">
        <f ca="1">IF(COUNTIF($E$2:E487,E487)=1,"New Customer","Returning Customer")</f>
        <v>Returning Customer</v>
      </c>
      <c r="G487" s="5" t="str">
        <f t="shared" ca="1" si="90"/>
        <v>Not specified</v>
      </c>
      <c r="H487" s="5" t="s">
        <v>142</v>
      </c>
      <c r="I487" s="5" t="str" cm="1">
        <f t="array" aca="1" ref="I487" ca="1">INDEX(Courses!$B$9:$B$16,RANDBETWEEN(1,8))</f>
        <v>PowerPoint</v>
      </c>
      <c r="J487" s="5" t="str">
        <f ca="1">VLOOKUP(I487,Courses!$B$9:$C$16,2,0)</f>
        <v>Microsoft Office</v>
      </c>
      <c r="K487" s="7">
        <f ca="1">VLOOKUP(I487,Courses!$B$9:$D$16,3,0)</f>
        <v>29</v>
      </c>
      <c r="L487" s="5" t="str">
        <f t="shared" ca="1" si="91"/>
        <v>Paid</v>
      </c>
      <c r="M487" s="8" t="str" cm="1">
        <f t="array" aca="1" ref="M487" ca="1">INDEX('Payment Method'!$A$8:$A$12,RANDBETWEEN(1,5))</f>
        <v>Mastercard Debit</v>
      </c>
      <c r="N487" s="7">
        <f>IFERROR(SUMIF(Holiday!$A$8:$A$11,B487,Holiday!$C$8:$C$11),0)</f>
        <v>0</v>
      </c>
      <c r="O487" s="7">
        <f t="shared" ca="1" si="92"/>
        <v>29</v>
      </c>
      <c r="P487" s="19">
        <f t="shared" ca="1" si="93"/>
        <v>28.42</v>
      </c>
      <c r="Q487" s="7">
        <f t="shared" ca="1" si="94"/>
        <v>0</v>
      </c>
      <c r="R487" s="8">
        <f ca="1">VLOOKUP(M487,'Payment Method'!$A$8:$B$12,2,0)</f>
        <v>0.02</v>
      </c>
      <c r="S487" s="9">
        <f t="shared" ca="1" si="84"/>
        <v>0.57999999999999829</v>
      </c>
      <c r="T487" s="8">
        <v>0.01</v>
      </c>
      <c r="U487" s="9">
        <f t="shared" ca="1" si="85"/>
        <v>0.28419999999999845</v>
      </c>
      <c r="V487" s="7">
        <f t="shared" ca="1" si="86"/>
        <v>0</v>
      </c>
      <c r="W487" s="7">
        <f t="shared" ca="1" si="87"/>
        <v>28.135800000000003</v>
      </c>
      <c r="X487" s="5" t="str">
        <f t="shared" ca="1" si="95"/>
        <v>Instagram</v>
      </c>
      <c r="Y487" s="78" t="str">
        <f>IF(COUNTIF($C$1:C486,B486)=1,10,"")</f>
        <v/>
      </c>
    </row>
    <row r="488" spans="1:25" x14ac:dyDescent="0.3">
      <c r="A488" s="75">
        <v>487</v>
      </c>
      <c r="B488" s="6">
        <v>46027</v>
      </c>
      <c r="C488" s="6">
        <v>46031</v>
      </c>
      <c r="D488" s="17" t="str">
        <f t="shared" si="88"/>
        <v>January</v>
      </c>
      <c r="E488" s="5" t="str">
        <f t="shared" ca="1" si="89"/>
        <v>STU-348</v>
      </c>
      <c r="F488" s="5" t="str">
        <f ca="1">IF(COUNTIF($E$2:E488,E488)=1,"New Customer","Returning Customer")</f>
        <v>Returning Customer</v>
      </c>
      <c r="G488" s="5" t="str">
        <f t="shared" ca="1" si="90"/>
        <v>Male</v>
      </c>
      <c r="H488" s="5" t="s">
        <v>141</v>
      </c>
      <c r="I488" s="5" t="str" cm="1">
        <f t="array" aca="1" ref="I488" ca="1">INDEX(Courses!$B$9:$B$16,RANDBETWEEN(1,8))</f>
        <v>Power BI</v>
      </c>
      <c r="J488" s="5" t="str">
        <f ca="1">VLOOKUP(I488,Courses!$B$9:$C$16,2,0)</f>
        <v>Data Analytics</v>
      </c>
      <c r="K488" s="7">
        <f ca="1">VLOOKUP(I488,Courses!$B$9:$D$16,3,0)</f>
        <v>59</v>
      </c>
      <c r="L488" s="5" t="str">
        <f t="shared" ca="1" si="91"/>
        <v>Paid</v>
      </c>
      <c r="M488" s="8" t="str" cm="1">
        <f t="array" aca="1" ref="M488" ca="1">INDEX('Payment Method'!$A$8:$A$12,RANDBETWEEN(1,5))</f>
        <v>Mastercard Credit</v>
      </c>
      <c r="N488" s="7">
        <f>IFERROR(SUMIF(Holiday!$A$8:$A$11,B488,Holiday!$C$8:$C$11),0)</f>
        <v>0</v>
      </c>
      <c r="O488" s="7">
        <f t="shared" ca="1" si="92"/>
        <v>59</v>
      </c>
      <c r="P488" s="19">
        <f t="shared" ca="1" si="93"/>
        <v>56.935000000000002</v>
      </c>
      <c r="Q488" s="7">
        <f t="shared" ca="1" si="94"/>
        <v>0</v>
      </c>
      <c r="R488" s="8">
        <f ca="1">VLOOKUP(M488,'Payment Method'!$A$8:$B$12,2,0)</f>
        <v>3.5000000000000003E-2</v>
      </c>
      <c r="S488" s="9">
        <f t="shared" ca="1" si="84"/>
        <v>2.0649999999999977</v>
      </c>
      <c r="T488" s="8">
        <v>0.01</v>
      </c>
      <c r="U488" s="9">
        <f t="shared" ca="1" si="85"/>
        <v>0.56935000000000002</v>
      </c>
      <c r="V488" s="7">
        <f t="shared" ca="1" si="86"/>
        <v>0</v>
      </c>
      <c r="W488" s="7">
        <f t="shared" ca="1" si="87"/>
        <v>56.365650000000002</v>
      </c>
      <c r="X488" s="5" t="str">
        <f t="shared" ca="1" si="95"/>
        <v>Instagram</v>
      </c>
      <c r="Y488" s="78" t="str">
        <f>IF(COUNTIF($C$1:C487,B487)=1,10,"")</f>
        <v/>
      </c>
    </row>
    <row r="489" spans="1:25" x14ac:dyDescent="0.3">
      <c r="A489" s="76">
        <v>488</v>
      </c>
      <c r="B489" s="6">
        <v>46135</v>
      </c>
      <c r="C489" s="6">
        <v>46140</v>
      </c>
      <c r="D489" s="17" t="str">
        <f t="shared" si="88"/>
        <v>April</v>
      </c>
      <c r="E489" s="5" t="str">
        <f t="shared" ca="1" si="89"/>
        <v>STU-194</v>
      </c>
      <c r="F489" s="5" t="str">
        <f ca="1">IF(COUNTIF($E$2:E489,E489)=1,"New Customer","Returning Customer")</f>
        <v>Returning Customer</v>
      </c>
      <c r="G489" s="5" t="str">
        <f t="shared" ca="1" si="90"/>
        <v>Male</v>
      </c>
      <c r="H489" s="5" t="s">
        <v>138</v>
      </c>
      <c r="I489" s="5" t="str" cm="1">
        <f t="array" aca="1" ref="I489" ca="1">INDEX(Courses!$B$9:$B$16,RANDBETWEEN(1,8))</f>
        <v>Power BI</v>
      </c>
      <c r="J489" s="5" t="str">
        <f ca="1">VLOOKUP(I489,Courses!$B$9:$C$16,2,0)</f>
        <v>Data Analytics</v>
      </c>
      <c r="K489" s="7">
        <f ca="1">VLOOKUP(I489,Courses!$B$9:$D$16,3,0)</f>
        <v>59</v>
      </c>
      <c r="L489" s="5" t="str">
        <f t="shared" ca="1" si="91"/>
        <v>Refunded</v>
      </c>
      <c r="M489" s="8" t="str" cm="1">
        <f t="array" aca="1" ref="M489" ca="1">INDEX('Payment Method'!$A$8:$A$12,RANDBETWEEN(1,5))</f>
        <v>Visa Debit</v>
      </c>
      <c r="N489" s="7">
        <f>IFERROR(SUMIF(Holiday!$A$8:$A$11,B489,Holiday!$C$8:$C$11),0)</f>
        <v>0</v>
      </c>
      <c r="O489" s="7">
        <f t="shared" ca="1" si="92"/>
        <v>59</v>
      </c>
      <c r="P489" s="19">
        <f t="shared" ca="1" si="93"/>
        <v>57.82</v>
      </c>
      <c r="Q489" s="7">
        <f t="shared" ca="1" si="94"/>
        <v>0</v>
      </c>
      <c r="R489" s="8">
        <f ca="1">VLOOKUP(M489,'Payment Method'!$A$8:$B$12,2,0)</f>
        <v>0.02</v>
      </c>
      <c r="S489" s="9">
        <f t="shared" ca="1" si="84"/>
        <v>1.1799999999999997</v>
      </c>
      <c r="T489" s="8">
        <v>0.01</v>
      </c>
      <c r="U489" s="9">
        <f t="shared" ca="1" si="85"/>
        <v>0.57820000000000249</v>
      </c>
      <c r="V489" s="7">
        <f t="shared" ca="1" si="86"/>
        <v>57.241799999999998</v>
      </c>
      <c r="W489" s="7">
        <f t="shared" ca="1" si="87"/>
        <v>0</v>
      </c>
      <c r="X489" s="5" t="str">
        <f t="shared" ca="1" si="95"/>
        <v>Tiktok</v>
      </c>
      <c r="Y489" s="78" t="str">
        <f>IF(COUNTIF($C$1:C488,B488)=1,10,"")</f>
        <v/>
      </c>
    </row>
    <row r="490" spans="1:25" x14ac:dyDescent="0.3">
      <c r="A490" s="75">
        <v>489</v>
      </c>
      <c r="B490" s="6">
        <v>46032</v>
      </c>
      <c r="C490" s="6">
        <v>46034</v>
      </c>
      <c r="D490" s="17" t="str">
        <f t="shared" si="88"/>
        <v>January</v>
      </c>
      <c r="E490" s="5" t="str">
        <f t="shared" ca="1" si="89"/>
        <v>STU-222</v>
      </c>
      <c r="F490" s="5" t="str">
        <f ca="1">IF(COUNTIF($E$2:E490,E490)=1,"New Customer","Returning Customer")</f>
        <v>New Customer</v>
      </c>
      <c r="G490" s="5" t="str">
        <f t="shared" ca="1" si="90"/>
        <v>Female</v>
      </c>
      <c r="H490" s="5" t="s">
        <v>140</v>
      </c>
      <c r="I490" s="5" t="str" cm="1">
        <f t="array" aca="1" ref="I490" ca="1">INDEX(Courses!$B$9:$B$16,RANDBETWEEN(1,8))</f>
        <v>SQL</v>
      </c>
      <c r="J490" s="5" t="str">
        <f ca="1">VLOOKUP(I490,Courses!$B$9:$C$16,2,0)</f>
        <v>Data Analytics</v>
      </c>
      <c r="K490" s="7">
        <f ca="1">VLOOKUP(I490,Courses!$B$9:$D$16,3,0)</f>
        <v>99</v>
      </c>
      <c r="L490" s="5" t="str">
        <f t="shared" ca="1" si="91"/>
        <v>Pending</v>
      </c>
      <c r="M490" s="8" t="str" cm="1">
        <f t="array" aca="1" ref="M490" ca="1">INDEX('Payment Method'!$A$8:$A$12,RANDBETWEEN(1,5))</f>
        <v>Bank Transfer</v>
      </c>
      <c r="N490" s="7">
        <f>IFERROR(SUMIF(Holiday!$A$8:$A$11,B490,Holiday!$C$8:$C$11),0)</f>
        <v>0</v>
      </c>
      <c r="O490" s="7">
        <f t="shared" ca="1" si="92"/>
        <v>99</v>
      </c>
      <c r="P490" s="19">
        <f t="shared" ca="1" si="93"/>
        <v>99</v>
      </c>
      <c r="Q490" s="7">
        <f t="shared" ca="1" si="94"/>
        <v>98.01</v>
      </c>
      <c r="R490" s="8">
        <f ca="1">VLOOKUP(M490,'Payment Method'!$A$8:$B$12,2,0)</f>
        <v>0</v>
      </c>
      <c r="S490" s="9">
        <f t="shared" ca="1" si="84"/>
        <v>0</v>
      </c>
      <c r="T490" s="8">
        <v>0.01</v>
      </c>
      <c r="U490" s="9">
        <f t="shared" ca="1" si="85"/>
        <v>0.98999999999999488</v>
      </c>
      <c r="V490" s="7">
        <f t="shared" ca="1" si="86"/>
        <v>0</v>
      </c>
      <c r="W490" s="7">
        <f t="shared" ca="1" si="87"/>
        <v>0</v>
      </c>
      <c r="X490" s="5" t="str">
        <f t="shared" ca="1" si="95"/>
        <v>Facebook</v>
      </c>
      <c r="Y490" s="78" t="str">
        <f>IF(COUNTIF($C$1:C489,B489)=1,10,"")</f>
        <v/>
      </c>
    </row>
    <row r="491" spans="1:25" x14ac:dyDescent="0.3">
      <c r="A491" s="76">
        <v>490</v>
      </c>
      <c r="B491" s="6">
        <v>46132</v>
      </c>
      <c r="C491" s="6">
        <v>46134</v>
      </c>
      <c r="D491" s="17" t="str">
        <f t="shared" si="88"/>
        <v>April</v>
      </c>
      <c r="E491" s="5" t="str">
        <f t="shared" ca="1" si="89"/>
        <v>STU-864</v>
      </c>
      <c r="F491" s="5" t="str">
        <f ca="1">IF(COUNTIF($E$2:E491,E491)=1,"New Customer","Returning Customer")</f>
        <v>New Customer</v>
      </c>
      <c r="G491" s="5" t="str">
        <f t="shared" ca="1" si="90"/>
        <v>Female</v>
      </c>
      <c r="H491" s="5" t="s">
        <v>140</v>
      </c>
      <c r="I491" s="5" t="str" cm="1">
        <f t="array" aca="1" ref="I491" ca="1">INDEX(Courses!$B$9:$B$16,RANDBETWEEN(1,8))</f>
        <v>PowerPoint</v>
      </c>
      <c r="J491" s="5" t="str">
        <f ca="1">VLOOKUP(I491,Courses!$B$9:$C$16,2,0)</f>
        <v>Microsoft Office</v>
      </c>
      <c r="K491" s="7">
        <f ca="1">VLOOKUP(I491,Courses!$B$9:$D$16,3,0)</f>
        <v>29</v>
      </c>
      <c r="L491" s="5" t="str">
        <f t="shared" ca="1" si="91"/>
        <v>Paid</v>
      </c>
      <c r="M491" s="8" t="str" cm="1">
        <f t="array" aca="1" ref="M491" ca="1">INDEX('Payment Method'!$A$8:$A$12,RANDBETWEEN(1,5))</f>
        <v>Bank Transfer</v>
      </c>
      <c r="N491" s="7">
        <f>IFERROR(SUMIF(Holiday!$A$8:$A$11,B491,Holiday!$C$8:$C$11),0)</f>
        <v>0</v>
      </c>
      <c r="O491" s="7">
        <f t="shared" ca="1" si="92"/>
        <v>29</v>
      </c>
      <c r="P491" s="19">
        <f t="shared" ca="1" si="93"/>
        <v>29</v>
      </c>
      <c r="Q491" s="7">
        <f t="shared" ca="1" si="94"/>
        <v>0</v>
      </c>
      <c r="R491" s="8">
        <f ca="1">VLOOKUP(M491,'Payment Method'!$A$8:$B$12,2,0)</f>
        <v>0</v>
      </c>
      <c r="S491" s="9">
        <f t="shared" ca="1" si="84"/>
        <v>0</v>
      </c>
      <c r="T491" s="8">
        <v>0.01</v>
      </c>
      <c r="U491" s="9">
        <f t="shared" ca="1" si="85"/>
        <v>0.28999999999999915</v>
      </c>
      <c r="V491" s="7">
        <f t="shared" ca="1" si="86"/>
        <v>0</v>
      </c>
      <c r="W491" s="7">
        <f t="shared" ca="1" si="87"/>
        <v>28.71</v>
      </c>
      <c r="X491" s="5" t="str">
        <f t="shared" ca="1" si="95"/>
        <v>Facebook</v>
      </c>
      <c r="Y491" s="78" t="str">
        <f>IF(COUNTIF($C$1:C490,B490)=1,10,"")</f>
        <v/>
      </c>
    </row>
    <row r="492" spans="1:25" x14ac:dyDescent="0.3">
      <c r="A492" s="75">
        <v>491</v>
      </c>
      <c r="B492" s="6">
        <v>46156</v>
      </c>
      <c r="C492" s="6">
        <v>46158</v>
      </c>
      <c r="D492" s="17" t="str">
        <f t="shared" si="88"/>
        <v>May</v>
      </c>
      <c r="E492" s="5" t="str">
        <f t="shared" ca="1" si="89"/>
        <v>STU-590</v>
      </c>
      <c r="F492" s="5" t="str">
        <f ca="1">IF(COUNTIF($E$2:E492,E492)=1,"New Customer","Returning Customer")</f>
        <v>New Customer</v>
      </c>
      <c r="G492" s="5" t="str">
        <f t="shared" ca="1" si="90"/>
        <v>Female</v>
      </c>
      <c r="H492" s="5" t="s">
        <v>142</v>
      </c>
      <c r="I492" s="5" t="str" cm="1">
        <f t="array" aca="1" ref="I492" ca="1">INDEX(Courses!$B$9:$B$16,RANDBETWEEN(1,8))</f>
        <v>Complete Excel Course</v>
      </c>
      <c r="J492" s="5" t="str">
        <f ca="1">VLOOKUP(I492,Courses!$B$9:$C$16,2,0)</f>
        <v>Microsoft Office</v>
      </c>
      <c r="K492" s="7">
        <f ca="1">VLOOKUP(I492,Courses!$B$9:$D$16,3,0)</f>
        <v>59</v>
      </c>
      <c r="L492" s="5" t="str">
        <f t="shared" ca="1" si="91"/>
        <v>Paid</v>
      </c>
      <c r="M492" s="8" t="str" cm="1">
        <f t="array" aca="1" ref="M492" ca="1">INDEX('Payment Method'!$A$8:$A$12,RANDBETWEEN(1,5))</f>
        <v>Visa Debit</v>
      </c>
      <c r="N492" s="7">
        <f>IFERROR(SUMIF(Holiday!$A$8:$A$11,B492,Holiday!$C$8:$C$11),0)</f>
        <v>0</v>
      </c>
      <c r="O492" s="7">
        <f t="shared" ca="1" si="92"/>
        <v>59</v>
      </c>
      <c r="P492" s="19">
        <f t="shared" ca="1" si="93"/>
        <v>57.82</v>
      </c>
      <c r="Q492" s="7">
        <f t="shared" ca="1" si="94"/>
        <v>0</v>
      </c>
      <c r="R492" s="8">
        <f ca="1">VLOOKUP(M492,'Payment Method'!$A$8:$B$12,2,0)</f>
        <v>0.02</v>
      </c>
      <c r="S492" s="9">
        <f t="shared" ca="1" si="84"/>
        <v>1.1799999999999997</v>
      </c>
      <c r="T492" s="8">
        <v>0.01</v>
      </c>
      <c r="U492" s="9">
        <f t="shared" ca="1" si="85"/>
        <v>0.57820000000000249</v>
      </c>
      <c r="V492" s="7">
        <f t="shared" ca="1" si="86"/>
        <v>0</v>
      </c>
      <c r="W492" s="7">
        <f t="shared" ca="1" si="87"/>
        <v>57.241799999999998</v>
      </c>
      <c r="X492" s="5" t="str">
        <f t="shared" ca="1" si="95"/>
        <v>Instagram</v>
      </c>
      <c r="Y492" s="78" t="str">
        <f>IF(COUNTIF($C$1:C491,B491)=1,10,"")</f>
        <v/>
      </c>
    </row>
    <row r="493" spans="1:25" x14ac:dyDescent="0.3">
      <c r="A493" s="76">
        <v>492</v>
      </c>
      <c r="B493" s="6">
        <v>46178</v>
      </c>
      <c r="C493" s="6">
        <v>46179</v>
      </c>
      <c r="D493" s="17" t="str">
        <f t="shared" si="88"/>
        <v>June</v>
      </c>
      <c r="E493" s="5" t="str">
        <f t="shared" ca="1" si="89"/>
        <v>STU-360</v>
      </c>
      <c r="F493" s="5" t="str">
        <f ca="1">IF(COUNTIF($E$2:E493,E493)=1,"New Customer","Returning Customer")</f>
        <v>Returning Customer</v>
      </c>
      <c r="G493" s="5" t="str">
        <f t="shared" ca="1" si="90"/>
        <v>Female</v>
      </c>
      <c r="H493" s="5" t="s">
        <v>135</v>
      </c>
      <c r="I493" s="5" t="str" cm="1">
        <f t="array" aca="1" ref="I493" ca="1">INDEX(Courses!$B$9:$B$16,RANDBETWEEN(1,8))</f>
        <v>Microsoft Word</v>
      </c>
      <c r="J493" s="5" t="str">
        <f ca="1">VLOOKUP(I493,Courses!$B$9:$C$16,2,0)</f>
        <v>Microsoft Office</v>
      </c>
      <c r="K493" s="7">
        <f ca="1">VLOOKUP(I493,Courses!$B$9:$D$16,3,0)</f>
        <v>29</v>
      </c>
      <c r="L493" s="5" t="str">
        <f t="shared" ca="1" si="91"/>
        <v>Paid</v>
      </c>
      <c r="M493" s="8" t="str" cm="1">
        <f t="array" aca="1" ref="M493" ca="1">INDEX('Payment Method'!$A$8:$A$12,RANDBETWEEN(1,5))</f>
        <v>Visa Debit</v>
      </c>
      <c r="N493" s="7">
        <f>IFERROR(SUMIF(Holiday!$A$8:$A$11,B493,Holiday!$C$8:$C$11),0)</f>
        <v>0</v>
      </c>
      <c r="O493" s="7">
        <f t="shared" ca="1" si="92"/>
        <v>29</v>
      </c>
      <c r="P493" s="19">
        <f t="shared" ca="1" si="93"/>
        <v>28.42</v>
      </c>
      <c r="Q493" s="7">
        <f t="shared" ca="1" si="94"/>
        <v>0</v>
      </c>
      <c r="R493" s="8">
        <f ca="1">VLOOKUP(M493,'Payment Method'!$A$8:$B$12,2,0)</f>
        <v>0.02</v>
      </c>
      <c r="S493" s="9">
        <f t="shared" ca="1" si="84"/>
        <v>0.57999999999999829</v>
      </c>
      <c r="T493" s="8">
        <v>0.01</v>
      </c>
      <c r="U493" s="9">
        <f t="shared" ca="1" si="85"/>
        <v>0.28419999999999845</v>
      </c>
      <c r="V493" s="7">
        <f t="shared" ca="1" si="86"/>
        <v>0</v>
      </c>
      <c r="W493" s="7">
        <f t="shared" ca="1" si="87"/>
        <v>28.135800000000003</v>
      </c>
      <c r="X493" s="5" t="str">
        <f t="shared" ca="1" si="95"/>
        <v>Facebook</v>
      </c>
      <c r="Y493" s="78" t="str">
        <f>IF(COUNTIF($C$1:C492,B492)=1,10,"")</f>
        <v/>
      </c>
    </row>
    <row r="494" spans="1:25" x14ac:dyDescent="0.3">
      <c r="A494" s="75">
        <v>493</v>
      </c>
      <c r="B494" s="6">
        <v>46059</v>
      </c>
      <c r="C494" s="6">
        <v>46059</v>
      </c>
      <c r="D494" s="17" t="str">
        <f t="shared" si="88"/>
        <v>February</v>
      </c>
      <c r="E494" s="5" t="str">
        <f t="shared" ca="1" si="89"/>
        <v>STU-833</v>
      </c>
      <c r="F494" s="5" t="str">
        <f ca="1">IF(COUNTIF($E$2:E494,E494)=1,"New Customer","Returning Customer")</f>
        <v>New Customer</v>
      </c>
      <c r="G494" s="5" t="str">
        <f t="shared" ca="1" si="90"/>
        <v>Not specified</v>
      </c>
      <c r="H494" s="5" t="s">
        <v>137</v>
      </c>
      <c r="I494" s="5" t="str" cm="1">
        <f t="array" aca="1" ref="I494" ca="1">INDEX(Courses!$B$9:$B$16,RANDBETWEEN(1,8))</f>
        <v>Adolescent Psychology</v>
      </c>
      <c r="J494" s="5" t="str">
        <f ca="1">VLOOKUP(I494,Courses!$B$9:$C$16,2,0)</f>
        <v>Psychology</v>
      </c>
      <c r="K494" s="7">
        <f ca="1">VLOOKUP(I494,Courses!$B$9:$D$16,3,0)</f>
        <v>29</v>
      </c>
      <c r="L494" s="5" t="str">
        <f t="shared" ca="1" si="91"/>
        <v>Paid</v>
      </c>
      <c r="M494" s="8" t="str" cm="1">
        <f t="array" aca="1" ref="M494" ca="1">INDEX('Payment Method'!$A$8:$A$12,RANDBETWEEN(1,5))</f>
        <v>Mastercard Credit</v>
      </c>
      <c r="N494" s="7">
        <f>IFERROR(SUMIF(Holiday!$A$8:$A$11,B494,Holiday!$C$8:$C$11),0)</f>
        <v>0</v>
      </c>
      <c r="O494" s="7">
        <f t="shared" ca="1" si="92"/>
        <v>29</v>
      </c>
      <c r="P494" s="19">
        <f t="shared" ca="1" si="93"/>
        <v>27.984999999999999</v>
      </c>
      <c r="Q494" s="7">
        <f t="shared" ca="1" si="94"/>
        <v>0</v>
      </c>
      <c r="R494" s="8">
        <f ca="1">VLOOKUP(M494,'Payment Method'!$A$8:$B$12,2,0)</f>
        <v>3.5000000000000003E-2</v>
      </c>
      <c r="S494" s="9">
        <f t="shared" ca="1" si="84"/>
        <v>1.0150000000000006</v>
      </c>
      <c r="T494" s="8">
        <v>0.01</v>
      </c>
      <c r="U494" s="9">
        <f t="shared" ca="1" si="85"/>
        <v>0.27984999999999971</v>
      </c>
      <c r="V494" s="7">
        <f t="shared" ca="1" si="86"/>
        <v>0</v>
      </c>
      <c r="W494" s="7">
        <f t="shared" ca="1" si="87"/>
        <v>27.70515</v>
      </c>
      <c r="X494" s="5" t="str">
        <f t="shared" ca="1" si="95"/>
        <v>Instagram</v>
      </c>
      <c r="Y494" s="78" t="str">
        <f>IF(COUNTIF($C$1:C493,B493)=1,10,"")</f>
        <v/>
      </c>
    </row>
    <row r="495" spans="1:25" x14ac:dyDescent="0.3">
      <c r="A495" s="76">
        <v>494</v>
      </c>
      <c r="B495" s="6">
        <v>46080</v>
      </c>
      <c r="C495" s="6">
        <v>46085</v>
      </c>
      <c r="D495" s="17" t="str">
        <f t="shared" si="88"/>
        <v>March</v>
      </c>
      <c r="E495" s="5" t="str">
        <f t="shared" ca="1" si="89"/>
        <v>STU-964</v>
      </c>
      <c r="F495" s="5" t="str">
        <f ca="1">IF(COUNTIF($E$2:E495,E495)=1,"New Customer","Returning Customer")</f>
        <v>Returning Customer</v>
      </c>
      <c r="G495" s="5" t="str">
        <f t="shared" ca="1" si="90"/>
        <v>Female</v>
      </c>
      <c r="H495" s="5" t="s">
        <v>135</v>
      </c>
      <c r="I495" s="5" t="str" cm="1">
        <f t="array" aca="1" ref="I495" ca="1">INDEX(Courses!$B$9:$B$16,RANDBETWEEN(1,8))</f>
        <v>Adolescent Psychology</v>
      </c>
      <c r="J495" s="5" t="str">
        <f ca="1">VLOOKUP(I495,Courses!$B$9:$C$16,2,0)</f>
        <v>Psychology</v>
      </c>
      <c r="K495" s="7">
        <f ca="1">VLOOKUP(I495,Courses!$B$9:$D$16,3,0)</f>
        <v>29</v>
      </c>
      <c r="L495" s="5" t="str">
        <f t="shared" ca="1" si="91"/>
        <v>Pending</v>
      </c>
      <c r="M495" s="8" t="str" cm="1">
        <f t="array" aca="1" ref="M495" ca="1">INDEX('Payment Method'!$A$8:$A$12,RANDBETWEEN(1,5))</f>
        <v>Visa Debit</v>
      </c>
      <c r="N495" s="7">
        <f>IFERROR(SUMIF(Holiday!$A$8:$A$11,B495,Holiday!$C$8:$C$11),0)</f>
        <v>0</v>
      </c>
      <c r="O495" s="7">
        <f t="shared" ca="1" si="92"/>
        <v>29</v>
      </c>
      <c r="P495" s="19">
        <f t="shared" ca="1" si="93"/>
        <v>28.42</v>
      </c>
      <c r="Q495" s="7">
        <f t="shared" ca="1" si="94"/>
        <v>28.135800000000003</v>
      </c>
      <c r="R495" s="8">
        <f ca="1">VLOOKUP(M495,'Payment Method'!$A$8:$B$12,2,0)</f>
        <v>0.02</v>
      </c>
      <c r="S495" s="9">
        <f t="shared" ca="1" si="84"/>
        <v>0.57999999999999829</v>
      </c>
      <c r="T495" s="8">
        <v>0.01</v>
      </c>
      <c r="U495" s="9">
        <f t="shared" ca="1" si="85"/>
        <v>0.28419999999999845</v>
      </c>
      <c r="V495" s="7">
        <f t="shared" ca="1" si="86"/>
        <v>0</v>
      </c>
      <c r="W495" s="7">
        <f t="shared" ca="1" si="87"/>
        <v>0</v>
      </c>
      <c r="X495" s="5" t="str">
        <f t="shared" ca="1" si="95"/>
        <v>Facebook</v>
      </c>
      <c r="Y495" s="78" t="str">
        <f>IF(COUNTIF($C$1:C494,B494)=1,10,"")</f>
        <v/>
      </c>
    </row>
    <row r="496" spans="1:25" x14ac:dyDescent="0.3">
      <c r="A496" s="75">
        <v>495</v>
      </c>
      <c r="B496" s="6">
        <v>46132</v>
      </c>
      <c r="C496" s="6">
        <v>46136</v>
      </c>
      <c r="D496" s="17" t="str">
        <f t="shared" si="88"/>
        <v>April</v>
      </c>
      <c r="E496" s="5" t="str">
        <f t="shared" ca="1" si="89"/>
        <v>STU-158</v>
      </c>
      <c r="F496" s="5" t="str">
        <f ca="1">IF(COUNTIF($E$2:E496,E496)=1,"New Customer","Returning Customer")</f>
        <v>New Customer</v>
      </c>
      <c r="G496" s="5" t="str">
        <f t="shared" ca="1" si="90"/>
        <v>Male</v>
      </c>
      <c r="H496" s="5" t="s">
        <v>140</v>
      </c>
      <c r="I496" s="5" t="str" cm="1">
        <f t="array" aca="1" ref="I496" ca="1">INDEX(Courses!$B$9:$B$16,RANDBETWEEN(1,8))</f>
        <v>Microsoft Word</v>
      </c>
      <c r="J496" s="5" t="str">
        <f ca="1">VLOOKUP(I496,Courses!$B$9:$C$16,2,0)</f>
        <v>Microsoft Office</v>
      </c>
      <c r="K496" s="7">
        <f ca="1">VLOOKUP(I496,Courses!$B$9:$D$16,3,0)</f>
        <v>29</v>
      </c>
      <c r="L496" s="5" t="str">
        <f t="shared" ca="1" si="91"/>
        <v>Paid</v>
      </c>
      <c r="M496" s="8" t="str" cm="1">
        <f t="array" aca="1" ref="M496" ca="1">INDEX('Payment Method'!$A$8:$A$12,RANDBETWEEN(1,5))</f>
        <v>Mastercard Debit</v>
      </c>
      <c r="N496" s="7">
        <f>IFERROR(SUMIF(Holiday!$A$8:$A$11,B496,Holiday!$C$8:$C$11),0)</f>
        <v>0</v>
      </c>
      <c r="O496" s="7">
        <f t="shared" ca="1" si="92"/>
        <v>29</v>
      </c>
      <c r="P496" s="19">
        <f t="shared" ca="1" si="93"/>
        <v>28.42</v>
      </c>
      <c r="Q496" s="7">
        <f t="shared" ca="1" si="94"/>
        <v>0</v>
      </c>
      <c r="R496" s="8">
        <f ca="1">VLOOKUP(M496,'Payment Method'!$A$8:$B$12,2,0)</f>
        <v>0.02</v>
      </c>
      <c r="S496" s="9">
        <f t="shared" ca="1" si="84"/>
        <v>0.57999999999999829</v>
      </c>
      <c r="T496" s="8">
        <v>0.01</v>
      </c>
      <c r="U496" s="9">
        <f t="shared" ca="1" si="85"/>
        <v>0.28419999999999845</v>
      </c>
      <c r="V496" s="7">
        <f t="shared" ca="1" si="86"/>
        <v>0</v>
      </c>
      <c r="W496" s="7">
        <f t="shared" ca="1" si="87"/>
        <v>28.135800000000003</v>
      </c>
      <c r="X496" s="5" t="str">
        <f t="shared" ca="1" si="95"/>
        <v>Tiktok</v>
      </c>
      <c r="Y496" s="78">
        <f>IF(COUNTIF($C$1:C495,B495)=1,10,"")</f>
        <v>10</v>
      </c>
    </row>
    <row r="497" spans="1:25" x14ac:dyDescent="0.3">
      <c r="A497" s="76">
        <v>496</v>
      </c>
      <c r="B497" s="6">
        <v>46107</v>
      </c>
      <c r="C497" s="6">
        <v>46108</v>
      </c>
      <c r="D497" s="17" t="str">
        <f t="shared" si="88"/>
        <v>March</v>
      </c>
      <c r="E497" s="5" t="str">
        <f t="shared" ca="1" si="89"/>
        <v>STU-251</v>
      </c>
      <c r="F497" s="5" t="str">
        <f ca="1">IF(COUNTIF($E$2:E497,E497)=1,"New Customer","Returning Customer")</f>
        <v>New Customer</v>
      </c>
      <c r="G497" s="5" t="str">
        <f t="shared" ca="1" si="90"/>
        <v>Not specified</v>
      </c>
      <c r="H497" s="5" t="s">
        <v>137</v>
      </c>
      <c r="I497" s="5" t="str" cm="1">
        <f t="array" aca="1" ref="I497" ca="1">INDEX(Courses!$B$9:$B$16,RANDBETWEEN(1,8))</f>
        <v>Excel Basics</v>
      </c>
      <c r="J497" s="5" t="str">
        <f ca="1">VLOOKUP(I497,Courses!$B$9:$C$16,2,0)</f>
        <v>Microsoft Office</v>
      </c>
      <c r="K497" s="7">
        <f ca="1">VLOOKUP(I497,Courses!$B$9:$D$16,3,0)</f>
        <v>29</v>
      </c>
      <c r="L497" s="5" t="str">
        <f t="shared" ca="1" si="91"/>
        <v>Paid</v>
      </c>
      <c r="M497" s="8" t="str" cm="1">
        <f t="array" aca="1" ref="M497" ca="1">INDEX('Payment Method'!$A$8:$A$12,RANDBETWEEN(1,5))</f>
        <v>Visa Debit</v>
      </c>
      <c r="N497" s="7">
        <f>IFERROR(SUMIF(Holiday!$A$8:$A$11,B497,Holiday!$C$8:$C$11),0)</f>
        <v>0</v>
      </c>
      <c r="O497" s="7">
        <f t="shared" ca="1" si="92"/>
        <v>29</v>
      </c>
      <c r="P497" s="19">
        <f t="shared" ca="1" si="93"/>
        <v>28.42</v>
      </c>
      <c r="Q497" s="7">
        <f t="shared" ca="1" si="94"/>
        <v>0</v>
      </c>
      <c r="R497" s="8">
        <f ca="1">VLOOKUP(M497,'Payment Method'!$A$8:$B$12,2,0)</f>
        <v>0.02</v>
      </c>
      <c r="S497" s="9">
        <f t="shared" ca="1" si="84"/>
        <v>0.57999999999999829</v>
      </c>
      <c r="T497" s="8">
        <v>0.01</v>
      </c>
      <c r="U497" s="9">
        <f t="shared" ca="1" si="85"/>
        <v>0.28419999999999845</v>
      </c>
      <c r="V497" s="7">
        <f t="shared" ca="1" si="86"/>
        <v>0</v>
      </c>
      <c r="W497" s="7">
        <f t="shared" ca="1" si="87"/>
        <v>28.135800000000003</v>
      </c>
      <c r="X497" s="5" t="str">
        <f t="shared" ca="1" si="95"/>
        <v>Instagram</v>
      </c>
      <c r="Y497" s="78" t="str">
        <f>IF(COUNTIF($C$1:C496,B496)=1,10,"")</f>
        <v/>
      </c>
    </row>
    <row r="498" spans="1:25" x14ac:dyDescent="0.3">
      <c r="A498" s="75">
        <v>497</v>
      </c>
      <c r="B498" s="6">
        <v>46159</v>
      </c>
      <c r="C498" s="6">
        <v>46164</v>
      </c>
      <c r="D498" s="17" t="str">
        <f t="shared" si="88"/>
        <v>May</v>
      </c>
      <c r="E498" s="5" t="str">
        <f t="shared" ca="1" si="89"/>
        <v>STU-217</v>
      </c>
      <c r="F498" s="5" t="str">
        <f ca="1">IF(COUNTIF($E$2:E498,E498)=1,"New Customer","Returning Customer")</f>
        <v>Returning Customer</v>
      </c>
      <c r="G498" s="5" t="str">
        <f t="shared" ca="1" si="90"/>
        <v>Female</v>
      </c>
      <c r="H498" s="5" t="s">
        <v>139</v>
      </c>
      <c r="I498" s="5" t="str" cm="1">
        <f t="array" aca="1" ref="I498" ca="1">INDEX(Courses!$B$9:$B$16,RANDBETWEEN(1,8))</f>
        <v>Adolescent Psychology</v>
      </c>
      <c r="J498" s="5" t="str">
        <f ca="1">VLOOKUP(I498,Courses!$B$9:$C$16,2,0)</f>
        <v>Psychology</v>
      </c>
      <c r="K498" s="7">
        <f ca="1">VLOOKUP(I498,Courses!$B$9:$D$16,3,0)</f>
        <v>29</v>
      </c>
      <c r="L498" s="5" t="str">
        <f t="shared" ca="1" si="91"/>
        <v>Pending</v>
      </c>
      <c r="M498" s="8" t="str" cm="1">
        <f t="array" aca="1" ref="M498" ca="1">INDEX('Payment Method'!$A$8:$A$12,RANDBETWEEN(1,5))</f>
        <v>Mastercard Credit</v>
      </c>
      <c r="N498" s="7">
        <f>IFERROR(SUMIF(Holiday!$A$8:$A$11,B498,Holiday!$C$8:$C$11),0)</f>
        <v>0</v>
      </c>
      <c r="O498" s="7">
        <f t="shared" ca="1" si="92"/>
        <v>29</v>
      </c>
      <c r="P498" s="19">
        <f t="shared" ca="1" si="93"/>
        <v>27.984999999999999</v>
      </c>
      <c r="Q498" s="7">
        <f t="shared" ca="1" si="94"/>
        <v>27.70515</v>
      </c>
      <c r="R498" s="8">
        <f ca="1">VLOOKUP(M498,'Payment Method'!$A$8:$B$12,2,0)</f>
        <v>3.5000000000000003E-2</v>
      </c>
      <c r="S498" s="9">
        <f t="shared" ca="1" si="84"/>
        <v>1.0150000000000006</v>
      </c>
      <c r="T498" s="8">
        <v>0.01</v>
      </c>
      <c r="U498" s="9">
        <f t="shared" ca="1" si="85"/>
        <v>0.27984999999999971</v>
      </c>
      <c r="V498" s="7">
        <f t="shared" ca="1" si="86"/>
        <v>0</v>
      </c>
      <c r="W498" s="7">
        <f t="shared" ca="1" si="87"/>
        <v>0</v>
      </c>
      <c r="X498" s="5" t="str">
        <f t="shared" ca="1" si="95"/>
        <v>Tiktok</v>
      </c>
      <c r="Y498" s="78" t="str">
        <f>IF(COUNTIF($C$1:C497,B497)=1,10,"")</f>
        <v/>
      </c>
    </row>
    <row r="499" spans="1:25" x14ac:dyDescent="0.3">
      <c r="A499" s="76">
        <v>498</v>
      </c>
      <c r="B499" s="6">
        <v>46062</v>
      </c>
      <c r="C499" s="6">
        <v>46063</v>
      </c>
      <c r="D499" s="17" t="str">
        <f t="shared" si="88"/>
        <v>February</v>
      </c>
      <c r="E499" s="5" t="str">
        <f t="shared" ca="1" si="89"/>
        <v>STU-426</v>
      </c>
      <c r="F499" s="5" t="str">
        <f ca="1">IF(COUNTIF($E$2:E499,E499)=1,"New Customer","Returning Customer")</f>
        <v>Returning Customer</v>
      </c>
      <c r="G499" s="5" t="str">
        <f t="shared" ca="1" si="90"/>
        <v>Female</v>
      </c>
      <c r="H499" s="5" t="s">
        <v>137</v>
      </c>
      <c r="I499" s="5" t="str" cm="1">
        <f t="array" aca="1" ref="I499" ca="1">INDEX(Courses!$B$9:$B$16,RANDBETWEEN(1,8))</f>
        <v>Power BI</v>
      </c>
      <c r="J499" s="5" t="str">
        <f ca="1">VLOOKUP(I499,Courses!$B$9:$C$16,2,0)</f>
        <v>Data Analytics</v>
      </c>
      <c r="K499" s="7">
        <f ca="1">VLOOKUP(I499,Courses!$B$9:$D$16,3,0)</f>
        <v>59</v>
      </c>
      <c r="L499" s="5" t="str">
        <f t="shared" ca="1" si="91"/>
        <v>Paid</v>
      </c>
      <c r="M499" s="8" t="str" cm="1">
        <f t="array" aca="1" ref="M499" ca="1">INDEX('Payment Method'!$A$8:$A$12,RANDBETWEEN(1,5))</f>
        <v>Mastercard Credit</v>
      </c>
      <c r="N499" s="7">
        <f>IFERROR(SUMIF(Holiday!$A$8:$A$11,B499,Holiday!$C$8:$C$11),0)</f>
        <v>0</v>
      </c>
      <c r="O499" s="7">
        <f t="shared" ca="1" si="92"/>
        <v>59</v>
      </c>
      <c r="P499" s="19">
        <f t="shared" ca="1" si="93"/>
        <v>56.935000000000002</v>
      </c>
      <c r="Q499" s="7">
        <f t="shared" ca="1" si="94"/>
        <v>0</v>
      </c>
      <c r="R499" s="8">
        <f ca="1">VLOOKUP(M499,'Payment Method'!$A$8:$B$12,2,0)</f>
        <v>3.5000000000000003E-2</v>
      </c>
      <c r="S499" s="9">
        <f t="shared" ca="1" si="84"/>
        <v>2.0649999999999977</v>
      </c>
      <c r="T499" s="8">
        <v>0.01</v>
      </c>
      <c r="U499" s="9">
        <f t="shared" ca="1" si="85"/>
        <v>0.56935000000000002</v>
      </c>
      <c r="V499" s="7">
        <f t="shared" ca="1" si="86"/>
        <v>0</v>
      </c>
      <c r="W499" s="7">
        <f t="shared" ca="1" si="87"/>
        <v>56.365650000000002</v>
      </c>
      <c r="X499" s="5" t="str">
        <f t="shared" ca="1" si="95"/>
        <v>Instagram</v>
      </c>
      <c r="Y499" s="78" t="str">
        <f>IF(COUNTIF($C$1:C498,B498)=1,10,"")</f>
        <v/>
      </c>
    </row>
    <row r="500" spans="1:25" x14ac:dyDescent="0.3">
      <c r="A500" s="75">
        <v>499</v>
      </c>
      <c r="B500" s="6">
        <v>46140</v>
      </c>
      <c r="C500" s="6">
        <v>46140</v>
      </c>
      <c r="D500" s="17" t="str">
        <f t="shared" si="88"/>
        <v>April</v>
      </c>
      <c r="E500" s="5" t="str">
        <f t="shared" ca="1" si="89"/>
        <v>STU-344</v>
      </c>
      <c r="F500" s="5" t="str">
        <f ca="1">IF(COUNTIF($E$2:E500,E500)=1,"New Customer","Returning Customer")</f>
        <v>New Customer</v>
      </c>
      <c r="G500" s="5" t="str">
        <f t="shared" ca="1" si="90"/>
        <v>Male</v>
      </c>
      <c r="H500" s="5" t="s">
        <v>142</v>
      </c>
      <c r="I500" s="5" t="str" cm="1">
        <f t="array" aca="1" ref="I500" ca="1">INDEX(Courses!$B$9:$B$16,RANDBETWEEN(1,8))</f>
        <v>SQL</v>
      </c>
      <c r="J500" s="5" t="str">
        <f ca="1">VLOOKUP(I500,Courses!$B$9:$C$16,2,0)</f>
        <v>Data Analytics</v>
      </c>
      <c r="K500" s="7">
        <f ca="1">VLOOKUP(I500,Courses!$B$9:$D$16,3,0)</f>
        <v>99</v>
      </c>
      <c r="L500" s="5" t="str">
        <f t="shared" ca="1" si="91"/>
        <v>Paid</v>
      </c>
      <c r="M500" s="8" t="str" cm="1">
        <f t="array" aca="1" ref="M500" ca="1">INDEX('Payment Method'!$A$8:$A$12,RANDBETWEEN(1,5))</f>
        <v>Visa Debit</v>
      </c>
      <c r="N500" s="7">
        <f>IFERROR(SUMIF(Holiday!$A$8:$A$11,B500,Holiday!$C$8:$C$11),0)</f>
        <v>0</v>
      </c>
      <c r="O500" s="7">
        <f t="shared" ca="1" si="92"/>
        <v>99</v>
      </c>
      <c r="P500" s="19">
        <f t="shared" ca="1" si="93"/>
        <v>97.02</v>
      </c>
      <c r="Q500" s="7">
        <f t="shared" ca="1" si="94"/>
        <v>0</v>
      </c>
      <c r="R500" s="8">
        <f ca="1">VLOOKUP(M500,'Payment Method'!$A$8:$B$12,2,0)</f>
        <v>0.02</v>
      </c>
      <c r="S500" s="9">
        <f t="shared" ca="1" si="84"/>
        <v>1.980000000000004</v>
      </c>
      <c r="T500" s="8">
        <v>0.01</v>
      </c>
      <c r="U500" s="9">
        <f t="shared" ca="1" si="85"/>
        <v>0.9702000000000055</v>
      </c>
      <c r="V500" s="7">
        <f t="shared" ca="1" si="86"/>
        <v>0</v>
      </c>
      <c r="W500" s="7">
        <f t="shared" ca="1" si="87"/>
        <v>96.049799999999991</v>
      </c>
      <c r="X500" s="5" t="str">
        <f t="shared" ca="1" si="95"/>
        <v>Tiktok</v>
      </c>
      <c r="Y500" s="78" t="str">
        <f>IF(COUNTIF($C$1:C499,B499)=1,10,"")</f>
        <v/>
      </c>
    </row>
    <row r="501" spans="1:25" x14ac:dyDescent="0.3">
      <c r="A501" s="76">
        <v>500</v>
      </c>
      <c r="B501" s="6">
        <v>46208</v>
      </c>
      <c r="C501" s="6">
        <v>46208</v>
      </c>
      <c r="D501" s="17" t="str">
        <f t="shared" si="88"/>
        <v>July</v>
      </c>
      <c r="E501" s="5" t="str">
        <f t="shared" ca="1" si="89"/>
        <v>STU-141</v>
      </c>
      <c r="F501" s="5" t="str">
        <f ca="1">IF(COUNTIF($E$2:E501,E501)=1,"New Customer","Returning Customer")</f>
        <v>Returning Customer</v>
      </c>
      <c r="G501" s="5" t="str">
        <f t="shared" ca="1" si="90"/>
        <v>Not specified</v>
      </c>
      <c r="H501" s="5" t="s">
        <v>137</v>
      </c>
      <c r="I501" s="5" t="str" cm="1">
        <f t="array" aca="1" ref="I501" ca="1">INDEX(Courses!$B$9:$B$16,RANDBETWEEN(1,8))</f>
        <v>SQL</v>
      </c>
      <c r="J501" s="5" t="str">
        <f ca="1">VLOOKUP(I501,Courses!$B$9:$C$16,2,0)</f>
        <v>Data Analytics</v>
      </c>
      <c r="K501" s="7">
        <f ca="1">VLOOKUP(I501,Courses!$B$9:$D$16,3,0)</f>
        <v>99</v>
      </c>
      <c r="L501" s="5" t="str">
        <f t="shared" ca="1" si="91"/>
        <v>Paid</v>
      </c>
      <c r="M501" s="8" t="str" cm="1">
        <f t="array" aca="1" ref="M501" ca="1">INDEX('Payment Method'!$A$8:$A$12,RANDBETWEEN(1,5))</f>
        <v>Mastercard Debit</v>
      </c>
      <c r="N501" s="7">
        <f>IFERROR(SUMIF(Holiday!$A$8:$A$11,B501,Holiday!$C$8:$C$11),0)</f>
        <v>0</v>
      </c>
      <c r="O501" s="7">
        <f t="shared" ca="1" si="92"/>
        <v>99</v>
      </c>
      <c r="P501" s="19">
        <f t="shared" ca="1" si="93"/>
        <v>97.02</v>
      </c>
      <c r="Q501" s="7">
        <f t="shared" ca="1" si="94"/>
        <v>0</v>
      </c>
      <c r="R501" s="8">
        <f ca="1">VLOOKUP(M501,'Payment Method'!$A$8:$B$12,2,0)</f>
        <v>0.02</v>
      </c>
      <c r="S501" s="9">
        <f t="shared" ca="1" si="84"/>
        <v>1.980000000000004</v>
      </c>
      <c r="T501" s="8">
        <v>0.01</v>
      </c>
      <c r="U501" s="9">
        <f t="shared" ca="1" si="85"/>
        <v>0.9702000000000055</v>
      </c>
      <c r="V501" s="7">
        <f t="shared" ca="1" si="86"/>
        <v>0</v>
      </c>
      <c r="W501" s="7">
        <f t="shared" ca="1" si="87"/>
        <v>96.049799999999991</v>
      </c>
      <c r="X501" s="5" t="str">
        <f t="shared" ca="1" si="95"/>
        <v>Tiktok</v>
      </c>
      <c r="Y501" s="78" t="str">
        <f>IF(COUNTIF($C$1:C500,B500)=1,10,"")</f>
        <v/>
      </c>
    </row>
    <row r="502" spans="1:25" x14ac:dyDescent="0.3">
      <c r="A502" s="75">
        <v>501</v>
      </c>
      <c r="B502" s="6">
        <v>46177</v>
      </c>
      <c r="C502" s="6">
        <v>46177</v>
      </c>
      <c r="D502" s="17" t="str">
        <f t="shared" si="88"/>
        <v>June</v>
      </c>
      <c r="E502" s="5" t="str">
        <f t="shared" ca="1" si="89"/>
        <v>STU-172</v>
      </c>
      <c r="F502" s="5" t="str">
        <f ca="1">IF(COUNTIF($E$2:E502,E502)=1,"New Customer","Returning Customer")</f>
        <v>New Customer</v>
      </c>
      <c r="G502" s="5" t="str">
        <f t="shared" ca="1" si="90"/>
        <v>Female</v>
      </c>
      <c r="H502" s="5" t="s">
        <v>140</v>
      </c>
      <c r="I502" s="5" t="str" cm="1">
        <f t="array" aca="1" ref="I502" ca="1">INDEX(Courses!$B$9:$B$16,RANDBETWEEN(1,8))</f>
        <v>Microsoft Word</v>
      </c>
      <c r="J502" s="5" t="str">
        <f ca="1">VLOOKUP(I502,Courses!$B$9:$C$16,2,0)</f>
        <v>Microsoft Office</v>
      </c>
      <c r="K502" s="7">
        <f ca="1">VLOOKUP(I502,Courses!$B$9:$D$16,3,0)</f>
        <v>29</v>
      </c>
      <c r="L502" s="5" t="str">
        <f t="shared" ca="1" si="91"/>
        <v>Pending</v>
      </c>
      <c r="M502" s="8" t="str" cm="1">
        <f t="array" aca="1" ref="M502" ca="1">INDEX('Payment Method'!$A$8:$A$12,RANDBETWEEN(1,5))</f>
        <v>Mastercard Credit</v>
      </c>
      <c r="N502" s="7">
        <f>IFERROR(SUMIF(Holiday!$A$8:$A$11,B502,Holiday!$C$8:$C$11),0)</f>
        <v>0</v>
      </c>
      <c r="O502" s="7">
        <f t="shared" ca="1" si="92"/>
        <v>29</v>
      </c>
      <c r="P502" s="19">
        <f t="shared" ca="1" si="93"/>
        <v>27.984999999999999</v>
      </c>
      <c r="Q502" s="7">
        <f t="shared" ca="1" si="94"/>
        <v>27.70515</v>
      </c>
      <c r="R502" s="8">
        <f ca="1">VLOOKUP(M502,'Payment Method'!$A$8:$B$12,2,0)</f>
        <v>3.5000000000000003E-2</v>
      </c>
      <c r="S502" s="9">
        <f t="shared" ca="1" si="84"/>
        <v>1.0150000000000006</v>
      </c>
      <c r="T502" s="8">
        <v>0.01</v>
      </c>
      <c r="U502" s="9">
        <f t="shared" ca="1" si="85"/>
        <v>0.27984999999999971</v>
      </c>
      <c r="V502" s="7">
        <f t="shared" ca="1" si="86"/>
        <v>0</v>
      </c>
      <c r="W502" s="7">
        <f t="shared" ca="1" si="87"/>
        <v>0</v>
      </c>
      <c r="X502" s="5" t="str">
        <f t="shared" ca="1" si="95"/>
        <v>Facebook</v>
      </c>
      <c r="Y502" s="78" t="str">
        <f>IF(COUNTIF($C$1:C501,B501)=1,10,"")</f>
        <v/>
      </c>
    </row>
    <row r="503" spans="1:25" x14ac:dyDescent="0.3">
      <c r="A503" s="76">
        <v>502</v>
      </c>
      <c r="B503" s="6">
        <v>46168</v>
      </c>
      <c r="C503" s="6">
        <v>46168</v>
      </c>
      <c r="D503" s="17" t="str">
        <f t="shared" si="88"/>
        <v>May</v>
      </c>
      <c r="E503" s="5" t="str">
        <f t="shared" ca="1" si="89"/>
        <v>STU-795</v>
      </c>
      <c r="F503" s="5" t="str">
        <f ca="1">IF(COUNTIF($E$2:E503,E503)=1,"New Customer","Returning Customer")</f>
        <v>Returning Customer</v>
      </c>
      <c r="G503" s="5" t="str">
        <f t="shared" ca="1" si="90"/>
        <v>Female</v>
      </c>
      <c r="H503" s="5" t="s">
        <v>139</v>
      </c>
      <c r="I503" s="5" t="str" cm="1">
        <f t="array" aca="1" ref="I503" ca="1">INDEX(Courses!$B$9:$B$16,RANDBETWEEN(1,8))</f>
        <v>Power BI</v>
      </c>
      <c r="J503" s="5" t="str">
        <f ca="1">VLOOKUP(I503,Courses!$B$9:$C$16,2,0)</f>
        <v>Data Analytics</v>
      </c>
      <c r="K503" s="7">
        <f ca="1">VLOOKUP(I503,Courses!$B$9:$D$16,3,0)</f>
        <v>59</v>
      </c>
      <c r="L503" s="5" t="str">
        <f t="shared" ca="1" si="91"/>
        <v>Refunded</v>
      </c>
      <c r="M503" s="8" t="str" cm="1">
        <f t="array" aca="1" ref="M503" ca="1">INDEX('Payment Method'!$A$8:$A$12,RANDBETWEEN(1,5))</f>
        <v>Bank Transfer</v>
      </c>
      <c r="N503" s="7">
        <f>IFERROR(SUMIF(Holiday!$A$8:$A$11,B503,Holiday!$C$8:$C$11),0)</f>
        <v>0</v>
      </c>
      <c r="O503" s="7">
        <f t="shared" ca="1" si="92"/>
        <v>59</v>
      </c>
      <c r="P503" s="19">
        <f t="shared" ca="1" si="93"/>
        <v>59</v>
      </c>
      <c r="Q503" s="7">
        <f t="shared" ca="1" si="94"/>
        <v>0</v>
      </c>
      <c r="R503" s="8">
        <f ca="1">VLOOKUP(M503,'Payment Method'!$A$8:$B$12,2,0)</f>
        <v>0</v>
      </c>
      <c r="S503" s="9">
        <f t="shared" ca="1" si="84"/>
        <v>0</v>
      </c>
      <c r="T503" s="8">
        <v>0.01</v>
      </c>
      <c r="U503" s="9">
        <f t="shared" ca="1" si="85"/>
        <v>0.59000000000000341</v>
      </c>
      <c r="V503" s="7">
        <f t="shared" ca="1" si="86"/>
        <v>58.41</v>
      </c>
      <c r="W503" s="7">
        <f t="shared" ca="1" si="87"/>
        <v>0</v>
      </c>
      <c r="X503" s="5" t="str">
        <f t="shared" ca="1" si="95"/>
        <v>Facebook</v>
      </c>
      <c r="Y503" s="78" t="str">
        <f>IF(COUNTIF($C$1:C502,B502)=1,10,"")</f>
        <v/>
      </c>
    </row>
    <row r="504" spans="1:25" x14ac:dyDescent="0.3">
      <c r="A504" s="75">
        <v>503</v>
      </c>
      <c r="B504" s="6">
        <v>46045</v>
      </c>
      <c r="C504" s="6">
        <v>46045</v>
      </c>
      <c r="D504" s="17" t="str">
        <f t="shared" si="88"/>
        <v>January</v>
      </c>
      <c r="E504" s="5" t="str">
        <f t="shared" ca="1" si="89"/>
        <v>STU-766</v>
      </c>
      <c r="F504" s="5" t="str">
        <f ca="1">IF(COUNTIF($E$2:E504,E504)=1,"New Customer","Returning Customer")</f>
        <v>New Customer</v>
      </c>
      <c r="G504" s="5" t="str">
        <f t="shared" ca="1" si="90"/>
        <v>Male</v>
      </c>
      <c r="H504" s="5" t="s">
        <v>137</v>
      </c>
      <c r="I504" s="5" t="str" cm="1">
        <f t="array" aca="1" ref="I504" ca="1">INDEX(Courses!$B$9:$B$16,RANDBETWEEN(1,8))</f>
        <v>SQL</v>
      </c>
      <c r="J504" s="5" t="str">
        <f ca="1">VLOOKUP(I504,Courses!$B$9:$C$16,2,0)</f>
        <v>Data Analytics</v>
      </c>
      <c r="K504" s="7">
        <f ca="1">VLOOKUP(I504,Courses!$B$9:$D$16,3,0)</f>
        <v>99</v>
      </c>
      <c r="L504" s="5" t="str">
        <f t="shared" ca="1" si="91"/>
        <v>Paid</v>
      </c>
      <c r="M504" s="8" t="str" cm="1">
        <f t="array" aca="1" ref="M504" ca="1">INDEX('Payment Method'!$A$8:$A$12,RANDBETWEEN(1,5))</f>
        <v>Visa Credit</v>
      </c>
      <c r="N504" s="7">
        <f>IFERROR(SUMIF(Holiday!$A$8:$A$11,B504,Holiday!$C$8:$C$11),0)</f>
        <v>0</v>
      </c>
      <c r="O504" s="7">
        <f t="shared" ca="1" si="92"/>
        <v>99</v>
      </c>
      <c r="P504" s="19">
        <f t="shared" ca="1" si="93"/>
        <v>95.534999999999997</v>
      </c>
      <c r="Q504" s="7">
        <f t="shared" ca="1" si="94"/>
        <v>0</v>
      </c>
      <c r="R504" s="8">
        <f ca="1">VLOOKUP(M504,'Payment Method'!$A$8:$B$12,2,0)</f>
        <v>3.5000000000000003E-2</v>
      </c>
      <c r="S504" s="9">
        <f t="shared" ca="1" si="84"/>
        <v>3.4650000000000034</v>
      </c>
      <c r="T504" s="8">
        <v>0.01</v>
      </c>
      <c r="U504" s="9">
        <f t="shared" ca="1" si="85"/>
        <v>0.9553499999999957</v>
      </c>
      <c r="V504" s="7">
        <f t="shared" ca="1" si="86"/>
        <v>0</v>
      </c>
      <c r="W504" s="7">
        <f t="shared" ca="1" si="87"/>
        <v>94.579650000000001</v>
      </c>
      <c r="X504" s="5" t="str">
        <f t="shared" ca="1" si="95"/>
        <v>Tiktok</v>
      </c>
      <c r="Y504" s="78">
        <f>IF(COUNTIF($C$1:C503,B503)=1,10,"")</f>
        <v>10</v>
      </c>
    </row>
    <row r="505" spans="1:25" x14ac:dyDescent="0.3">
      <c r="A505" s="76">
        <v>504</v>
      </c>
      <c r="B505" s="6">
        <v>46025</v>
      </c>
      <c r="C505" s="6">
        <v>46026</v>
      </c>
      <c r="D505" s="17" t="str">
        <f t="shared" si="88"/>
        <v>January</v>
      </c>
      <c r="E505" s="5" t="str">
        <f t="shared" ca="1" si="89"/>
        <v>STU-571</v>
      </c>
      <c r="F505" s="5" t="str">
        <f ca="1">IF(COUNTIF($E$2:E505,E505)=1,"New Customer","Returning Customer")</f>
        <v>Returning Customer</v>
      </c>
      <c r="G505" s="5" t="str">
        <f t="shared" ca="1" si="90"/>
        <v>Female</v>
      </c>
      <c r="H505" s="5" t="s">
        <v>142</v>
      </c>
      <c r="I505" s="5" t="str" cm="1">
        <f t="array" aca="1" ref="I505" ca="1">INDEX(Courses!$B$9:$B$16,RANDBETWEEN(1,8))</f>
        <v>Power BI</v>
      </c>
      <c r="J505" s="5" t="str">
        <f ca="1">VLOOKUP(I505,Courses!$B$9:$C$16,2,0)</f>
        <v>Data Analytics</v>
      </c>
      <c r="K505" s="7">
        <f ca="1">VLOOKUP(I505,Courses!$B$9:$D$16,3,0)</f>
        <v>59</v>
      </c>
      <c r="L505" s="5" t="str">
        <f t="shared" ca="1" si="91"/>
        <v>Paid</v>
      </c>
      <c r="M505" s="8" t="str" cm="1">
        <f t="array" aca="1" ref="M505" ca="1">INDEX('Payment Method'!$A$8:$A$12,RANDBETWEEN(1,5))</f>
        <v>Bank Transfer</v>
      </c>
      <c r="N505" s="7">
        <f>IFERROR(SUMIF(Holiday!$A$8:$A$11,B505,Holiday!$C$8:$C$11),0)</f>
        <v>0</v>
      </c>
      <c r="O505" s="7">
        <f t="shared" ca="1" si="92"/>
        <v>59</v>
      </c>
      <c r="P505" s="19">
        <f t="shared" ca="1" si="93"/>
        <v>59</v>
      </c>
      <c r="Q505" s="7">
        <f t="shared" ca="1" si="94"/>
        <v>0</v>
      </c>
      <c r="R505" s="8">
        <f ca="1">VLOOKUP(M505,'Payment Method'!$A$8:$B$12,2,0)</f>
        <v>0</v>
      </c>
      <c r="S505" s="9">
        <f t="shared" ca="1" si="84"/>
        <v>0</v>
      </c>
      <c r="T505" s="8">
        <v>0.01</v>
      </c>
      <c r="U505" s="9">
        <f t="shared" ca="1" si="85"/>
        <v>0.59000000000000341</v>
      </c>
      <c r="V505" s="7">
        <f t="shared" ca="1" si="86"/>
        <v>0</v>
      </c>
      <c r="W505" s="7">
        <f t="shared" ca="1" si="87"/>
        <v>58.41</v>
      </c>
      <c r="X505" s="5" t="str">
        <f t="shared" ca="1" si="95"/>
        <v>Facebook</v>
      </c>
      <c r="Y505" s="78" t="str">
        <f>IF(COUNTIF($C$1:C504,B504)=1,10,"")</f>
        <v/>
      </c>
    </row>
    <row r="506" spans="1:25" x14ac:dyDescent="0.3">
      <c r="A506" s="75">
        <v>505</v>
      </c>
      <c r="B506" s="6">
        <v>46189</v>
      </c>
      <c r="C506" s="6">
        <v>46190</v>
      </c>
      <c r="D506" s="17" t="str">
        <f t="shared" si="88"/>
        <v>June</v>
      </c>
      <c r="E506" s="5" t="str">
        <f t="shared" ca="1" si="89"/>
        <v>STU-610</v>
      </c>
      <c r="F506" s="5" t="str">
        <f ca="1">IF(COUNTIF($E$2:E506,E506)=1,"New Customer","Returning Customer")</f>
        <v>Returning Customer</v>
      </c>
      <c r="G506" s="5" t="str">
        <f t="shared" ca="1" si="90"/>
        <v>Male</v>
      </c>
      <c r="H506" s="5" t="s">
        <v>139</v>
      </c>
      <c r="I506" s="5" t="str" cm="1">
        <f t="array" aca="1" ref="I506" ca="1">INDEX(Courses!$B$9:$B$16,RANDBETWEEN(1,8))</f>
        <v>Complete Excel Course</v>
      </c>
      <c r="J506" s="5" t="str">
        <f ca="1">VLOOKUP(I506,Courses!$B$9:$C$16,2,0)</f>
        <v>Microsoft Office</v>
      </c>
      <c r="K506" s="7">
        <f ca="1">VLOOKUP(I506,Courses!$B$9:$D$16,3,0)</f>
        <v>59</v>
      </c>
      <c r="L506" s="5" t="str">
        <f t="shared" ca="1" si="91"/>
        <v>Paid</v>
      </c>
      <c r="M506" s="8" t="str" cm="1">
        <f t="array" aca="1" ref="M506" ca="1">INDEX('Payment Method'!$A$8:$A$12,RANDBETWEEN(1,5))</f>
        <v>Visa Credit</v>
      </c>
      <c r="N506" s="7">
        <f>IFERROR(SUMIF(Holiday!$A$8:$A$11,B506,Holiday!$C$8:$C$11),0)</f>
        <v>0</v>
      </c>
      <c r="O506" s="7">
        <f t="shared" ca="1" si="92"/>
        <v>59</v>
      </c>
      <c r="P506" s="19">
        <f t="shared" ca="1" si="93"/>
        <v>56.935000000000002</v>
      </c>
      <c r="Q506" s="7">
        <f t="shared" ca="1" si="94"/>
        <v>0</v>
      </c>
      <c r="R506" s="8">
        <f ca="1">VLOOKUP(M506,'Payment Method'!$A$8:$B$12,2,0)</f>
        <v>3.5000000000000003E-2</v>
      </c>
      <c r="S506" s="9">
        <f t="shared" ca="1" si="84"/>
        <v>2.0649999999999977</v>
      </c>
      <c r="T506" s="8">
        <v>0.01</v>
      </c>
      <c r="U506" s="9">
        <f t="shared" ca="1" si="85"/>
        <v>0.56935000000000002</v>
      </c>
      <c r="V506" s="7">
        <f t="shared" ca="1" si="86"/>
        <v>0</v>
      </c>
      <c r="W506" s="7">
        <f t="shared" ca="1" si="87"/>
        <v>56.365650000000002</v>
      </c>
      <c r="X506" s="5" t="str">
        <f t="shared" ca="1" si="95"/>
        <v>Facebook</v>
      </c>
      <c r="Y506" s="78">
        <f>IF(COUNTIF($C$1:C505,B505)=1,10,"")</f>
        <v>10</v>
      </c>
    </row>
    <row r="507" spans="1:25" x14ac:dyDescent="0.3">
      <c r="A507" s="76">
        <v>506</v>
      </c>
      <c r="B507" s="6">
        <v>46209</v>
      </c>
      <c r="C507" s="6">
        <v>46212</v>
      </c>
      <c r="D507" s="17" t="str">
        <f t="shared" si="88"/>
        <v>July</v>
      </c>
      <c r="E507" s="5" t="str">
        <f t="shared" ca="1" si="89"/>
        <v>STU-784</v>
      </c>
      <c r="F507" s="5" t="str">
        <f ca="1">IF(COUNTIF($E$2:E507,E507)=1,"New Customer","Returning Customer")</f>
        <v>New Customer</v>
      </c>
      <c r="G507" s="5" t="str">
        <f t="shared" ca="1" si="90"/>
        <v>Male</v>
      </c>
      <c r="H507" s="5" t="s">
        <v>141</v>
      </c>
      <c r="I507" s="5" t="str" cm="1">
        <f t="array" aca="1" ref="I507" ca="1">INDEX(Courses!$B$9:$B$16,RANDBETWEEN(1,8))</f>
        <v>PowerPoint</v>
      </c>
      <c r="J507" s="5" t="str">
        <f ca="1">VLOOKUP(I507,Courses!$B$9:$C$16,2,0)</f>
        <v>Microsoft Office</v>
      </c>
      <c r="K507" s="7">
        <f ca="1">VLOOKUP(I507,Courses!$B$9:$D$16,3,0)</f>
        <v>29</v>
      </c>
      <c r="L507" s="5" t="str">
        <f t="shared" ca="1" si="91"/>
        <v>Paid</v>
      </c>
      <c r="M507" s="8" t="str" cm="1">
        <f t="array" aca="1" ref="M507" ca="1">INDEX('Payment Method'!$A$8:$A$12,RANDBETWEEN(1,5))</f>
        <v>Mastercard Credit</v>
      </c>
      <c r="N507" s="7">
        <f>IFERROR(SUMIF(Holiday!$A$8:$A$11,B507,Holiday!$C$8:$C$11),0)</f>
        <v>0</v>
      </c>
      <c r="O507" s="7">
        <f t="shared" ca="1" si="92"/>
        <v>29</v>
      </c>
      <c r="P507" s="19">
        <f t="shared" ca="1" si="93"/>
        <v>27.984999999999999</v>
      </c>
      <c r="Q507" s="7">
        <f t="shared" ca="1" si="94"/>
        <v>0</v>
      </c>
      <c r="R507" s="8">
        <f ca="1">VLOOKUP(M507,'Payment Method'!$A$8:$B$12,2,0)</f>
        <v>3.5000000000000003E-2</v>
      </c>
      <c r="S507" s="9">
        <f t="shared" ca="1" si="84"/>
        <v>1.0150000000000006</v>
      </c>
      <c r="T507" s="8">
        <v>0.01</v>
      </c>
      <c r="U507" s="9">
        <f t="shared" ca="1" si="85"/>
        <v>0.27984999999999971</v>
      </c>
      <c r="V507" s="7">
        <f t="shared" ca="1" si="86"/>
        <v>0</v>
      </c>
      <c r="W507" s="7">
        <f t="shared" ca="1" si="87"/>
        <v>27.70515</v>
      </c>
      <c r="X507" s="5" t="str">
        <f t="shared" ca="1" si="95"/>
        <v>Tiktok</v>
      </c>
      <c r="Y507" s="78" t="str">
        <f>IF(COUNTIF($C$1:C506,B506)=1,10,"")</f>
        <v/>
      </c>
    </row>
    <row r="508" spans="1:25" x14ac:dyDescent="0.3">
      <c r="A508" s="75">
        <v>507</v>
      </c>
      <c r="B508" s="6">
        <v>46050</v>
      </c>
      <c r="C508" s="6">
        <v>46055</v>
      </c>
      <c r="D508" s="17" t="str">
        <f t="shared" si="88"/>
        <v>February</v>
      </c>
      <c r="E508" s="5" t="str">
        <f t="shared" ca="1" si="89"/>
        <v>STU-5</v>
      </c>
      <c r="F508" s="5" t="str">
        <f ca="1">IF(COUNTIF($E$2:E508,E508)=1,"New Customer","Returning Customer")</f>
        <v>New Customer</v>
      </c>
      <c r="G508" s="5" t="str">
        <f t="shared" ca="1" si="90"/>
        <v>Not specified</v>
      </c>
      <c r="H508" s="5" t="s">
        <v>142</v>
      </c>
      <c r="I508" s="5" t="str" cm="1">
        <f t="array" aca="1" ref="I508" ca="1">INDEX(Courses!$B$9:$B$16,RANDBETWEEN(1,8))</f>
        <v>SQL</v>
      </c>
      <c r="J508" s="5" t="str">
        <f ca="1">VLOOKUP(I508,Courses!$B$9:$C$16,2,0)</f>
        <v>Data Analytics</v>
      </c>
      <c r="K508" s="7">
        <f ca="1">VLOOKUP(I508,Courses!$B$9:$D$16,3,0)</f>
        <v>99</v>
      </c>
      <c r="L508" s="5" t="str">
        <f t="shared" ca="1" si="91"/>
        <v>Paid</v>
      </c>
      <c r="M508" s="8" t="str" cm="1">
        <f t="array" aca="1" ref="M508" ca="1">INDEX('Payment Method'!$A$8:$A$12,RANDBETWEEN(1,5))</f>
        <v>Visa Credit</v>
      </c>
      <c r="N508" s="7">
        <f>IFERROR(SUMIF(Holiday!$A$8:$A$11,B508,Holiday!$C$8:$C$11),0)</f>
        <v>0</v>
      </c>
      <c r="O508" s="7">
        <f t="shared" ca="1" si="92"/>
        <v>99</v>
      </c>
      <c r="P508" s="19">
        <f t="shared" ca="1" si="93"/>
        <v>95.534999999999997</v>
      </c>
      <c r="Q508" s="7">
        <f t="shared" ca="1" si="94"/>
        <v>0</v>
      </c>
      <c r="R508" s="8">
        <f ca="1">VLOOKUP(M508,'Payment Method'!$A$8:$B$12,2,0)</f>
        <v>3.5000000000000003E-2</v>
      </c>
      <c r="S508" s="9">
        <f t="shared" ca="1" si="84"/>
        <v>3.4650000000000034</v>
      </c>
      <c r="T508" s="8">
        <v>0.01</v>
      </c>
      <c r="U508" s="9">
        <f t="shared" ca="1" si="85"/>
        <v>0.9553499999999957</v>
      </c>
      <c r="V508" s="7">
        <f t="shared" ca="1" si="86"/>
        <v>0</v>
      </c>
      <c r="W508" s="7">
        <f t="shared" ca="1" si="87"/>
        <v>94.579650000000001</v>
      </c>
      <c r="X508" s="5" t="str">
        <f t="shared" ca="1" si="95"/>
        <v>Instagram</v>
      </c>
      <c r="Y508" s="78">
        <f>IF(COUNTIF($C$1:C507,B507)=1,10,"")</f>
        <v>10</v>
      </c>
    </row>
    <row r="509" spans="1:25" x14ac:dyDescent="0.3">
      <c r="A509" s="76">
        <v>508</v>
      </c>
      <c r="B509" s="6">
        <v>46138</v>
      </c>
      <c r="C509" s="6">
        <v>46143</v>
      </c>
      <c r="D509" s="17" t="str">
        <f t="shared" si="88"/>
        <v>May</v>
      </c>
      <c r="E509" s="5" t="str">
        <f t="shared" ca="1" si="89"/>
        <v>STU-503</v>
      </c>
      <c r="F509" s="5" t="str">
        <f ca="1">IF(COUNTIF($E$2:E509,E509)=1,"New Customer","Returning Customer")</f>
        <v>New Customer</v>
      </c>
      <c r="G509" s="5" t="str">
        <f t="shared" ca="1" si="90"/>
        <v>Male</v>
      </c>
      <c r="H509" s="5" t="s">
        <v>135</v>
      </c>
      <c r="I509" s="5" t="str" cm="1">
        <f t="array" aca="1" ref="I509" ca="1">INDEX(Courses!$B$9:$B$16,RANDBETWEEN(1,8))</f>
        <v>Adolescent Psychology</v>
      </c>
      <c r="J509" s="5" t="str">
        <f ca="1">VLOOKUP(I509,Courses!$B$9:$C$16,2,0)</f>
        <v>Psychology</v>
      </c>
      <c r="K509" s="7">
        <f ca="1">VLOOKUP(I509,Courses!$B$9:$D$16,3,0)</f>
        <v>29</v>
      </c>
      <c r="L509" s="5" t="str">
        <f t="shared" ca="1" si="91"/>
        <v>Paid</v>
      </c>
      <c r="M509" s="8" t="str" cm="1">
        <f t="array" aca="1" ref="M509" ca="1">INDEX('Payment Method'!$A$8:$A$12,RANDBETWEEN(1,5))</f>
        <v>Mastercard Debit</v>
      </c>
      <c r="N509" s="7">
        <f>IFERROR(SUMIF(Holiday!$A$8:$A$11,B509,Holiday!$C$8:$C$11),0)</f>
        <v>0</v>
      </c>
      <c r="O509" s="7">
        <f t="shared" ca="1" si="92"/>
        <v>29</v>
      </c>
      <c r="P509" s="19">
        <f t="shared" ca="1" si="93"/>
        <v>28.42</v>
      </c>
      <c r="Q509" s="7">
        <f t="shared" ca="1" si="94"/>
        <v>0</v>
      </c>
      <c r="R509" s="8">
        <f ca="1">VLOOKUP(M509,'Payment Method'!$A$8:$B$12,2,0)</f>
        <v>0.02</v>
      </c>
      <c r="S509" s="9">
        <f t="shared" ca="1" si="84"/>
        <v>0.57999999999999829</v>
      </c>
      <c r="T509" s="8">
        <v>0.01</v>
      </c>
      <c r="U509" s="9">
        <f t="shared" ca="1" si="85"/>
        <v>0.28419999999999845</v>
      </c>
      <c r="V509" s="7">
        <f t="shared" ca="1" si="86"/>
        <v>0</v>
      </c>
      <c r="W509" s="7">
        <f t="shared" ca="1" si="87"/>
        <v>28.135800000000003</v>
      </c>
      <c r="X509" s="5" t="str">
        <f t="shared" ca="1" si="95"/>
        <v>Facebook</v>
      </c>
      <c r="Y509" s="78" t="str">
        <f>IF(COUNTIF($C$1:C508,B508)=1,10,"")</f>
        <v/>
      </c>
    </row>
    <row r="510" spans="1:25" x14ac:dyDescent="0.3">
      <c r="A510" s="75">
        <v>509</v>
      </c>
      <c r="B510" s="6">
        <v>46123</v>
      </c>
      <c r="C510" s="6">
        <v>46126</v>
      </c>
      <c r="D510" s="17" t="str">
        <f t="shared" si="88"/>
        <v>April</v>
      </c>
      <c r="E510" s="5" t="str">
        <f t="shared" ca="1" si="89"/>
        <v>STU-268</v>
      </c>
      <c r="F510" s="5" t="str">
        <f ca="1">IF(COUNTIF($E$2:E510,E510)=1,"New Customer","Returning Customer")</f>
        <v>New Customer</v>
      </c>
      <c r="G510" s="5" t="str">
        <f t="shared" ca="1" si="90"/>
        <v>Not specified</v>
      </c>
      <c r="H510" s="5" t="s">
        <v>142</v>
      </c>
      <c r="I510" s="5" t="str" cm="1">
        <f t="array" aca="1" ref="I510" ca="1">INDEX(Courses!$B$9:$B$16,RANDBETWEEN(1,8))</f>
        <v>Power BI</v>
      </c>
      <c r="J510" s="5" t="str">
        <f ca="1">VLOOKUP(I510,Courses!$B$9:$C$16,2,0)</f>
        <v>Data Analytics</v>
      </c>
      <c r="K510" s="7">
        <f ca="1">VLOOKUP(I510,Courses!$B$9:$D$16,3,0)</f>
        <v>59</v>
      </c>
      <c r="L510" s="5" t="str">
        <f t="shared" ca="1" si="91"/>
        <v>Pending</v>
      </c>
      <c r="M510" s="8" t="str" cm="1">
        <f t="array" aca="1" ref="M510" ca="1">INDEX('Payment Method'!$A$8:$A$12,RANDBETWEEN(1,5))</f>
        <v>Bank Transfer</v>
      </c>
      <c r="N510" s="7">
        <f>IFERROR(SUMIF(Holiday!$A$8:$A$11,B510,Holiday!$C$8:$C$11),0)</f>
        <v>0</v>
      </c>
      <c r="O510" s="7">
        <f t="shared" ca="1" si="92"/>
        <v>59</v>
      </c>
      <c r="P510" s="19">
        <f t="shared" ca="1" si="93"/>
        <v>59</v>
      </c>
      <c r="Q510" s="7">
        <f t="shared" ca="1" si="94"/>
        <v>58.41</v>
      </c>
      <c r="R510" s="8">
        <f ca="1">VLOOKUP(M510,'Payment Method'!$A$8:$B$12,2,0)</f>
        <v>0</v>
      </c>
      <c r="S510" s="9">
        <f t="shared" ca="1" si="84"/>
        <v>0</v>
      </c>
      <c r="T510" s="8">
        <v>0.01</v>
      </c>
      <c r="U510" s="9">
        <f t="shared" ca="1" si="85"/>
        <v>0.59000000000000341</v>
      </c>
      <c r="V510" s="7">
        <f t="shared" ca="1" si="86"/>
        <v>0</v>
      </c>
      <c r="W510" s="7">
        <f t="shared" ca="1" si="87"/>
        <v>0</v>
      </c>
      <c r="X510" s="5" t="str">
        <f t="shared" ca="1" si="95"/>
        <v>Instagram</v>
      </c>
      <c r="Y510" s="78" t="str">
        <f>IF(COUNTIF($C$1:C509,B509)=1,10,"")</f>
        <v/>
      </c>
    </row>
    <row r="511" spans="1:25" x14ac:dyDescent="0.3">
      <c r="A511" s="76">
        <v>510</v>
      </c>
      <c r="B511" s="6">
        <v>46046</v>
      </c>
      <c r="C511" s="6">
        <v>46050</v>
      </c>
      <c r="D511" s="17" t="str">
        <f t="shared" si="88"/>
        <v>January</v>
      </c>
      <c r="E511" s="5" t="str">
        <f t="shared" ca="1" si="89"/>
        <v>STU-758</v>
      </c>
      <c r="F511" s="5" t="str">
        <f ca="1">IF(COUNTIF($E$2:E511,E511)=1,"New Customer","Returning Customer")</f>
        <v>Returning Customer</v>
      </c>
      <c r="G511" s="5" t="str">
        <f t="shared" ca="1" si="90"/>
        <v>Male</v>
      </c>
      <c r="H511" s="5" t="s">
        <v>136</v>
      </c>
      <c r="I511" s="5" t="str" cm="1">
        <f t="array" aca="1" ref="I511" ca="1">INDEX(Courses!$B$9:$B$16,RANDBETWEEN(1,8))</f>
        <v>Power BI</v>
      </c>
      <c r="J511" s="5" t="str">
        <f ca="1">VLOOKUP(I511,Courses!$B$9:$C$16,2,0)</f>
        <v>Data Analytics</v>
      </c>
      <c r="K511" s="7">
        <f ca="1">VLOOKUP(I511,Courses!$B$9:$D$16,3,0)</f>
        <v>59</v>
      </c>
      <c r="L511" s="5" t="str">
        <f t="shared" ca="1" si="91"/>
        <v>Pending</v>
      </c>
      <c r="M511" s="8" t="str" cm="1">
        <f t="array" aca="1" ref="M511" ca="1">INDEX('Payment Method'!$A$8:$A$12,RANDBETWEEN(1,5))</f>
        <v>Visa Debit</v>
      </c>
      <c r="N511" s="7">
        <f>IFERROR(SUMIF(Holiday!$A$8:$A$11,B511,Holiday!$C$8:$C$11),0)</f>
        <v>0</v>
      </c>
      <c r="O511" s="7">
        <f t="shared" ca="1" si="92"/>
        <v>59</v>
      </c>
      <c r="P511" s="19">
        <f t="shared" ca="1" si="93"/>
        <v>57.82</v>
      </c>
      <c r="Q511" s="7">
        <f t="shared" ca="1" si="94"/>
        <v>57.241799999999998</v>
      </c>
      <c r="R511" s="8">
        <f ca="1">VLOOKUP(M511,'Payment Method'!$A$8:$B$12,2,0)</f>
        <v>0.02</v>
      </c>
      <c r="S511" s="9">
        <f t="shared" ca="1" si="84"/>
        <v>1.1799999999999997</v>
      </c>
      <c r="T511" s="8">
        <v>0.01</v>
      </c>
      <c r="U511" s="9">
        <f t="shared" ca="1" si="85"/>
        <v>0.57820000000000249</v>
      </c>
      <c r="V511" s="7">
        <f t="shared" ca="1" si="86"/>
        <v>0</v>
      </c>
      <c r="W511" s="7">
        <f t="shared" ca="1" si="87"/>
        <v>0</v>
      </c>
      <c r="X511" s="5" t="str">
        <f t="shared" ca="1" si="95"/>
        <v>Facebook</v>
      </c>
      <c r="Y511" s="78">
        <f>IF(COUNTIF($C$1:C510,B510)=1,10,"")</f>
        <v>10</v>
      </c>
    </row>
    <row r="512" spans="1:25" x14ac:dyDescent="0.3">
      <c r="A512" s="75">
        <v>511</v>
      </c>
      <c r="B512" s="6">
        <v>46197</v>
      </c>
      <c r="C512" s="6">
        <v>46199</v>
      </c>
      <c r="D512" s="17" t="str">
        <f t="shared" si="88"/>
        <v>June</v>
      </c>
      <c r="E512" s="5" t="str">
        <f t="shared" ca="1" si="89"/>
        <v>STU-628</v>
      </c>
      <c r="F512" s="5" t="str">
        <f ca="1">IF(COUNTIF($E$2:E512,E512)=1,"New Customer","Returning Customer")</f>
        <v>New Customer</v>
      </c>
      <c r="G512" s="5" t="str">
        <f t="shared" ca="1" si="90"/>
        <v>Not specified</v>
      </c>
      <c r="H512" s="5" t="s">
        <v>138</v>
      </c>
      <c r="I512" s="5" t="str" cm="1">
        <f t="array" aca="1" ref="I512" ca="1">INDEX(Courses!$B$9:$B$16,RANDBETWEEN(1,8))</f>
        <v>Excel Basics</v>
      </c>
      <c r="J512" s="5" t="str">
        <f ca="1">VLOOKUP(I512,Courses!$B$9:$C$16,2,0)</f>
        <v>Microsoft Office</v>
      </c>
      <c r="K512" s="7">
        <f ca="1">VLOOKUP(I512,Courses!$B$9:$D$16,3,0)</f>
        <v>29</v>
      </c>
      <c r="L512" s="5" t="str">
        <f t="shared" ca="1" si="91"/>
        <v>Paid</v>
      </c>
      <c r="M512" s="8" t="str" cm="1">
        <f t="array" aca="1" ref="M512" ca="1">INDEX('Payment Method'!$A$8:$A$12,RANDBETWEEN(1,5))</f>
        <v>Mastercard Debit</v>
      </c>
      <c r="N512" s="7">
        <f>IFERROR(SUMIF(Holiday!$A$8:$A$11,B512,Holiday!$C$8:$C$11),0)</f>
        <v>0</v>
      </c>
      <c r="O512" s="7">
        <f t="shared" ca="1" si="92"/>
        <v>29</v>
      </c>
      <c r="P512" s="19">
        <f t="shared" ca="1" si="93"/>
        <v>28.42</v>
      </c>
      <c r="Q512" s="7">
        <f t="shared" ca="1" si="94"/>
        <v>0</v>
      </c>
      <c r="R512" s="8">
        <f ca="1">VLOOKUP(M512,'Payment Method'!$A$8:$B$12,2,0)</f>
        <v>0.02</v>
      </c>
      <c r="S512" s="9">
        <f t="shared" ca="1" si="84"/>
        <v>0.57999999999999829</v>
      </c>
      <c r="T512" s="8">
        <v>0.01</v>
      </c>
      <c r="U512" s="9">
        <f t="shared" ca="1" si="85"/>
        <v>0.28419999999999845</v>
      </c>
      <c r="V512" s="7">
        <f t="shared" ca="1" si="86"/>
        <v>0</v>
      </c>
      <c r="W512" s="7">
        <f t="shared" ca="1" si="87"/>
        <v>28.135800000000003</v>
      </c>
      <c r="X512" s="5" t="str">
        <f t="shared" ca="1" si="95"/>
        <v>Facebook</v>
      </c>
      <c r="Y512" s="78" t="str">
        <f>IF(COUNTIF($C$1:C511,B511)=1,10,"")</f>
        <v/>
      </c>
    </row>
    <row r="513" spans="1:25" x14ac:dyDescent="0.3">
      <c r="A513" s="76">
        <v>512</v>
      </c>
      <c r="B513" s="6">
        <v>46044</v>
      </c>
      <c r="C513" s="6">
        <v>46048</v>
      </c>
      <c r="D513" s="17" t="str">
        <f t="shared" si="88"/>
        <v>January</v>
      </c>
      <c r="E513" s="5" t="str">
        <f t="shared" ca="1" si="89"/>
        <v>STU-917</v>
      </c>
      <c r="F513" s="5" t="str">
        <f ca="1">IF(COUNTIF($E$2:E513,E513)=1,"New Customer","Returning Customer")</f>
        <v>New Customer</v>
      </c>
      <c r="G513" s="5" t="str">
        <f t="shared" ca="1" si="90"/>
        <v>Male</v>
      </c>
      <c r="H513" s="5" t="s">
        <v>138</v>
      </c>
      <c r="I513" s="5" t="str" cm="1">
        <f t="array" aca="1" ref="I513" ca="1">INDEX(Courses!$B$9:$B$16,RANDBETWEEN(1,8))</f>
        <v>Complete Excel Course</v>
      </c>
      <c r="J513" s="5" t="str">
        <f ca="1">VLOOKUP(I513,Courses!$B$9:$C$16,2,0)</f>
        <v>Microsoft Office</v>
      </c>
      <c r="K513" s="7">
        <f ca="1">VLOOKUP(I513,Courses!$B$9:$D$16,3,0)</f>
        <v>59</v>
      </c>
      <c r="L513" s="5" t="str">
        <f t="shared" ca="1" si="91"/>
        <v>Paid</v>
      </c>
      <c r="M513" s="8" t="str" cm="1">
        <f t="array" aca="1" ref="M513" ca="1">INDEX('Payment Method'!$A$8:$A$12,RANDBETWEEN(1,5))</f>
        <v>Visa Credit</v>
      </c>
      <c r="N513" s="7">
        <f>IFERROR(SUMIF(Holiday!$A$8:$A$11,B513,Holiday!$C$8:$C$11),0)</f>
        <v>0</v>
      </c>
      <c r="O513" s="7">
        <f t="shared" ca="1" si="92"/>
        <v>59</v>
      </c>
      <c r="P513" s="19">
        <f t="shared" ca="1" si="93"/>
        <v>56.935000000000002</v>
      </c>
      <c r="Q513" s="7">
        <f t="shared" ca="1" si="94"/>
        <v>0</v>
      </c>
      <c r="R513" s="8">
        <f ca="1">VLOOKUP(M513,'Payment Method'!$A$8:$B$12,2,0)</f>
        <v>3.5000000000000003E-2</v>
      </c>
      <c r="S513" s="9">
        <f t="shared" ca="1" si="84"/>
        <v>2.0649999999999977</v>
      </c>
      <c r="T513" s="8">
        <v>0.01</v>
      </c>
      <c r="U513" s="9">
        <f t="shared" ca="1" si="85"/>
        <v>0.56935000000000002</v>
      </c>
      <c r="V513" s="7">
        <f t="shared" ca="1" si="86"/>
        <v>0</v>
      </c>
      <c r="W513" s="7">
        <f t="shared" ca="1" si="87"/>
        <v>56.365650000000002</v>
      </c>
      <c r="X513" s="5" t="str">
        <f t="shared" ca="1" si="95"/>
        <v>Tiktok</v>
      </c>
      <c r="Y513" s="78" t="str">
        <f>IF(COUNTIF($C$1:C512,B512)=1,10,"")</f>
        <v/>
      </c>
    </row>
    <row r="514" spans="1:25" x14ac:dyDescent="0.3">
      <c r="A514" s="75">
        <v>513</v>
      </c>
      <c r="B514" s="6">
        <v>46200</v>
      </c>
      <c r="C514" s="6">
        <v>46203</v>
      </c>
      <c r="D514" s="17" t="str">
        <f t="shared" si="88"/>
        <v>June</v>
      </c>
      <c r="E514" s="5" t="str">
        <f t="shared" ca="1" si="89"/>
        <v>STU-339</v>
      </c>
      <c r="F514" s="5" t="str">
        <f ca="1">IF(COUNTIF($E$2:E514,E514)=1,"New Customer","Returning Customer")</f>
        <v>Returning Customer</v>
      </c>
      <c r="G514" s="5" t="str">
        <f t="shared" ca="1" si="90"/>
        <v>Female</v>
      </c>
      <c r="H514" s="5" t="s">
        <v>138</v>
      </c>
      <c r="I514" s="5" t="str" cm="1">
        <f t="array" aca="1" ref="I514" ca="1">INDEX(Courses!$B$9:$B$16,RANDBETWEEN(1,8))</f>
        <v>SQL</v>
      </c>
      <c r="J514" s="5" t="str">
        <f ca="1">VLOOKUP(I514,Courses!$B$9:$C$16,2,0)</f>
        <v>Data Analytics</v>
      </c>
      <c r="K514" s="7">
        <f ca="1">VLOOKUP(I514,Courses!$B$9:$D$16,3,0)</f>
        <v>99</v>
      </c>
      <c r="L514" s="5" t="str">
        <f t="shared" ca="1" si="91"/>
        <v>Paid</v>
      </c>
      <c r="M514" s="8" t="str" cm="1">
        <f t="array" aca="1" ref="M514" ca="1">INDEX('Payment Method'!$A$8:$A$12,RANDBETWEEN(1,5))</f>
        <v>Visa Debit</v>
      </c>
      <c r="N514" s="7">
        <f>IFERROR(SUMIF(Holiday!$A$8:$A$11,B514,Holiday!$C$8:$C$11),0)</f>
        <v>0</v>
      </c>
      <c r="O514" s="7">
        <f t="shared" ca="1" si="92"/>
        <v>99</v>
      </c>
      <c r="P514" s="19">
        <f t="shared" ca="1" si="93"/>
        <v>97.02</v>
      </c>
      <c r="Q514" s="7">
        <f t="shared" ca="1" si="94"/>
        <v>0</v>
      </c>
      <c r="R514" s="8">
        <f ca="1">VLOOKUP(M514,'Payment Method'!$A$8:$B$12,2,0)</f>
        <v>0.02</v>
      </c>
      <c r="S514" s="9">
        <f t="shared" ref="S514:S577" ca="1" si="96">O514-(O514-O514*R514)</f>
        <v>1.980000000000004</v>
      </c>
      <c r="T514" s="8">
        <v>0.01</v>
      </c>
      <c r="U514" s="9">
        <f t="shared" ref="U514:U577" ca="1" si="97">O514-S514-((O514-S514)-(O514-S514)*T514)</f>
        <v>0.9702000000000055</v>
      </c>
      <c r="V514" s="7">
        <f t="shared" ref="V514:V577" ca="1" si="98">IF(L514="refunded",(K514-K514*N514)-(K514-K514*N514)*R514-((K514-K514*N514)-(K514-K514*N514)*R514)*T514,0)</f>
        <v>0</v>
      </c>
      <c r="W514" s="7">
        <f t="shared" ref="W514:W577" ca="1" si="99">IF(L514="paid",(K514-K514*N514)-(K514-K514*N514)*R514-((K514-K514*N514)-(K514-K514*N514)*R514)*T514,0)</f>
        <v>96.049799999999991</v>
      </c>
      <c r="X514" s="5" t="str">
        <f t="shared" ca="1" si="95"/>
        <v>Facebook</v>
      </c>
      <c r="Y514" s="78" t="str">
        <f>IF(COUNTIF($C$1:C513,B513)=1,10,"")</f>
        <v/>
      </c>
    </row>
    <row r="515" spans="1:25" x14ac:dyDescent="0.3">
      <c r="A515" s="76">
        <v>514</v>
      </c>
      <c r="B515" s="6">
        <v>46089</v>
      </c>
      <c r="C515" s="6">
        <v>46090</v>
      </c>
      <c r="D515" s="17" t="str">
        <f t="shared" ref="D515:D578" si="100">TEXT(C515,"mmmm")</f>
        <v>March</v>
      </c>
      <c r="E515" s="5" t="str">
        <f t="shared" ref="E515:E578" ca="1" si="101">"STU-"&amp;RANDBETWEEN(1,1000)</f>
        <v>STU-36</v>
      </c>
      <c r="F515" s="5" t="str">
        <f ca="1">IF(COUNTIF($E$2:E515,E515)=1,"New Customer","Returning Customer")</f>
        <v>Returning Customer</v>
      </c>
      <c r="G515" s="5" t="str">
        <f t="shared" ref="G515:G578" ca="1" si="102">CHOOSE(RANDBETWEEN(1,3),"Male","Female","Not specified")</f>
        <v>Female</v>
      </c>
      <c r="H515" s="5" t="s">
        <v>135</v>
      </c>
      <c r="I515" s="5" t="str" cm="1">
        <f t="array" aca="1" ref="I515" ca="1">INDEX(Courses!$B$9:$B$16,RANDBETWEEN(1,8))</f>
        <v>PowerPoint</v>
      </c>
      <c r="J515" s="5" t="str">
        <f ca="1">VLOOKUP(I515,Courses!$B$9:$C$16,2,0)</f>
        <v>Microsoft Office</v>
      </c>
      <c r="K515" s="7">
        <f ca="1">VLOOKUP(I515,Courses!$B$9:$D$16,3,0)</f>
        <v>29</v>
      </c>
      <c r="L515" s="5" t="str">
        <f t="shared" ref="L515:L578" ca="1" si="103">IF(RAND()&lt;0.6,"Paid",IF(RAND()&lt;0.75,"Pending","Refunded"))</f>
        <v>Refunded</v>
      </c>
      <c r="M515" s="8" t="str" cm="1">
        <f t="array" aca="1" ref="M515" ca="1">INDEX('Payment Method'!$A$8:$A$12,RANDBETWEEN(1,5))</f>
        <v>Mastercard Credit</v>
      </c>
      <c r="N515" s="7">
        <f>IFERROR(SUMIF(Holiday!$A$8:$A$11,B515,Holiday!$C$8:$C$11),0)</f>
        <v>0</v>
      </c>
      <c r="O515" s="7">
        <f t="shared" ref="O515:O578" ca="1" si="104">K515-K515*N515</f>
        <v>29</v>
      </c>
      <c r="P515" s="19">
        <f t="shared" ref="P515:P578" ca="1" si="105">O515-S515</f>
        <v>27.984999999999999</v>
      </c>
      <c r="Q515" s="7">
        <f t="shared" ref="Q515:Q578" ca="1" si="106">IF(L515="pending",(K515-K515*N515)-(K515-K515*N515)*R515-((K515-K515*N515)-(K515-K515*N515)*R515)*T515,0)</f>
        <v>0</v>
      </c>
      <c r="R515" s="8">
        <f ca="1">VLOOKUP(M515,'Payment Method'!$A$8:$B$12,2,0)</f>
        <v>3.5000000000000003E-2</v>
      </c>
      <c r="S515" s="9">
        <f t="shared" ca="1" si="96"/>
        <v>1.0150000000000006</v>
      </c>
      <c r="T515" s="8">
        <v>0.01</v>
      </c>
      <c r="U515" s="9">
        <f t="shared" ca="1" si="97"/>
        <v>0.27984999999999971</v>
      </c>
      <c r="V515" s="7">
        <f t="shared" ca="1" si="98"/>
        <v>27.70515</v>
      </c>
      <c r="W515" s="7">
        <f t="shared" ca="1" si="99"/>
        <v>0</v>
      </c>
      <c r="X515" s="5" t="str">
        <f t="shared" ref="X515:X578" ca="1" si="107">CHOOSE(RANDBETWEEN(1,3),"Facebook","Instagram","Tiktok")</f>
        <v>Tiktok</v>
      </c>
      <c r="Y515" s="78" t="str">
        <f>IF(COUNTIF($C$1:C514,B514)=1,10,"")</f>
        <v/>
      </c>
    </row>
    <row r="516" spans="1:25" x14ac:dyDescent="0.3">
      <c r="A516" s="75">
        <v>515</v>
      </c>
      <c r="B516" s="6">
        <v>46136</v>
      </c>
      <c r="C516" s="6">
        <v>46141</v>
      </c>
      <c r="D516" s="17" t="str">
        <f t="shared" si="100"/>
        <v>April</v>
      </c>
      <c r="E516" s="5" t="str">
        <f t="shared" ca="1" si="101"/>
        <v>STU-746</v>
      </c>
      <c r="F516" s="5" t="str">
        <f ca="1">IF(COUNTIF($E$2:E516,E516)=1,"New Customer","Returning Customer")</f>
        <v>New Customer</v>
      </c>
      <c r="G516" s="5" t="str">
        <f t="shared" ca="1" si="102"/>
        <v>Female</v>
      </c>
      <c r="H516" s="5" t="s">
        <v>135</v>
      </c>
      <c r="I516" s="5" t="str" cm="1">
        <f t="array" aca="1" ref="I516" ca="1">INDEX(Courses!$B$9:$B$16,RANDBETWEEN(1,8))</f>
        <v>Power BI</v>
      </c>
      <c r="J516" s="5" t="str">
        <f ca="1">VLOOKUP(I516,Courses!$B$9:$C$16,2,0)</f>
        <v>Data Analytics</v>
      </c>
      <c r="K516" s="7">
        <f ca="1">VLOOKUP(I516,Courses!$B$9:$D$16,3,0)</f>
        <v>59</v>
      </c>
      <c r="L516" s="5" t="str">
        <f t="shared" ca="1" si="103"/>
        <v>Refunded</v>
      </c>
      <c r="M516" s="8" t="str" cm="1">
        <f t="array" aca="1" ref="M516" ca="1">INDEX('Payment Method'!$A$8:$A$12,RANDBETWEEN(1,5))</f>
        <v>Mastercard Debit</v>
      </c>
      <c r="N516" s="7">
        <f>IFERROR(SUMIF(Holiday!$A$8:$A$11,B516,Holiday!$C$8:$C$11),0)</f>
        <v>0</v>
      </c>
      <c r="O516" s="7">
        <f t="shared" ca="1" si="104"/>
        <v>59</v>
      </c>
      <c r="P516" s="19">
        <f t="shared" ca="1" si="105"/>
        <v>57.82</v>
      </c>
      <c r="Q516" s="7">
        <f t="shared" ca="1" si="106"/>
        <v>0</v>
      </c>
      <c r="R516" s="8">
        <f ca="1">VLOOKUP(M516,'Payment Method'!$A$8:$B$12,2,0)</f>
        <v>0.02</v>
      </c>
      <c r="S516" s="9">
        <f t="shared" ca="1" si="96"/>
        <v>1.1799999999999997</v>
      </c>
      <c r="T516" s="8">
        <v>0.01</v>
      </c>
      <c r="U516" s="9">
        <f t="shared" ca="1" si="97"/>
        <v>0.57820000000000249</v>
      </c>
      <c r="V516" s="7">
        <f t="shared" ca="1" si="98"/>
        <v>57.241799999999998</v>
      </c>
      <c r="W516" s="7">
        <f t="shared" ca="1" si="99"/>
        <v>0</v>
      </c>
      <c r="X516" s="5" t="str">
        <f t="shared" ca="1" si="107"/>
        <v>Instagram</v>
      </c>
      <c r="Y516" s="78" t="str">
        <f>IF(COUNTIF($C$1:C515,B515)=1,10,"")</f>
        <v/>
      </c>
    </row>
    <row r="517" spans="1:25" x14ac:dyDescent="0.3">
      <c r="A517" s="76">
        <v>516</v>
      </c>
      <c r="B517" s="6">
        <v>46213</v>
      </c>
      <c r="C517" s="6">
        <v>46213</v>
      </c>
      <c r="D517" s="17" t="str">
        <f t="shared" si="100"/>
        <v>July</v>
      </c>
      <c r="E517" s="5" t="str">
        <f t="shared" ca="1" si="101"/>
        <v>STU-491</v>
      </c>
      <c r="F517" s="5" t="str">
        <f ca="1">IF(COUNTIF($E$2:E517,E517)=1,"New Customer","Returning Customer")</f>
        <v>New Customer</v>
      </c>
      <c r="G517" s="5" t="str">
        <f t="shared" ca="1" si="102"/>
        <v>Female</v>
      </c>
      <c r="H517" s="5" t="s">
        <v>142</v>
      </c>
      <c r="I517" s="5" t="str" cm="1">
        <f t="array" aca="1" ref="I517" ca="1">INDEX(Courses!$B$9:$B$16,RANDBETWEEN(1,8))</f>
        <v>PowerPoint</v>
      </c>
      <c r="J517" s="5" t="str">
        <f ca="1">VLOOKUP(I517,Courses!$B$9:$C$16,2,0)</f>
        <v>Microsoft Office</v>
      </c>
      <c r="K517" s="7">
        <f ca="1">VLOOKUP(I517,Courses!$B$9:$D$16,3,0)</f>
        <v>29</v>
      </c>
      <c r="L517" s="5" t="str">
        <f t="shared" ca="1" si="103"/>
        <v>Pending</v>
      </c>
      <c r="M517" s="8" t="str" cm="1">
        <f t="array" aca="1" ref="M517" ca="1">INDEX('Payment Method'!$A$8:$A$12,RANDBETWEEN(1,5))</f>
        <v>Bank Transfer</v>
      </c>
      <c r="N517" s="7">
        <f>IFERROR(SUMIF(Holiday!$A$8:$A$11,B517,Holiday!$C$8:$C$11),0)</f>
        <v>0</v>
      </c>
      <c r="O517" s="7">
        <f t="shared" ca="1" si="104"/>
        <v>29</v>
      </c>
      <c r="P517" s="19">
        <f t="shared" ca="1" si="105"/>
        <v>29</v>
      </c>
      <c r="Q517" s="7">
        <f t="shared" ca="1" si="106"/>
        <v>28.71</v>
      </c>
      <c r="R517" s="8">
        <f ca="1">VLOOKUP(M517,'Payment Method'!$A$8:$B$12,2,0)</f>
        <v>0</v>
      </c>
      <c r="S517" s="9">
        <f t="shared" ca="1" si="96"/>
        <v>0</v>
      </c>
      <c r="T517" s="8">
        <v>0.01</v>
      </c>
      <c r="U517" s="9">
        <f t="shared" ca="1" si="97"/>
        <v>0.28999999999999915</v>
      </c>
      <c r="V517" s="7">
        <f t="shared" ca="1" si="98"/>
        <v>0</v>
      </c>
      <c r="W517" s="7">
        <f t="shared" ca="1" si="99"/>
        <v>0</v>
      </c>
      <c r="X517" s="5" t="str">
        <f t="shared" ca="1" si="107"/>
        <v>Tiktok</v>
      </c>
      <c r="Y517" s="78" t="str">
        <f>IF(COUNTIF($C$1:C516,B516)=1,10,"")</f>
        <v/>
      </c>
    </row>
    <row r="518" spans="1:25" x14ac:dyDescent="0.3">
      <c r="A518" s="75">
        <v>517</v>
      </c>
      <c r="B518" s="6">
        <v>46079</v>
      </c>
      <c r="C518" s="6">
        <v>46084</v>
      </c>
      <c r="D518" s="17" t="str">
        <f t="shared" si="100"/>
        <v>March</v>
      </c>
      <c r="E518" s="5" t="str">
        <f t="shared" ca="1" si="101"/>
        <v>STU-322</v>
      </c>
      <c r="F518" s="5" t="str">
        <f ca="1">IF(COUNTIF($E$2:E518,E518)=1,"New Customer","Returning Customer")</f>
        <v>Returning Customer</v>
      </c>
      <c r="G518" s="5" t="str">
        <f t="shared" ca="1" si="102"/>
        <v>Not specified</v>
      </c>
      <c r="H518" s="5" t="s">
        <v>137</v>
      </c>
      <c r="I518" s="5" t="str" cm="1">
        <f t="array" aca="1" ref="I518" ca="1">INDEX(Courses!$B$9:$B$16,RANDBETWEEN(1,8))</f>
        <v>Adolescent Psychology</v>
      </c>
      <c r="J518" s="5" t="str">
        <f ca="1">VLOOKUP(I518,Courses!$B$9:$C$16,2,0)</f>
        <v>Psychology</v>
      </c>
      <c r="K518" s="7">
        <f ca="1">VLOOKUP(I518,Courses!$B$9:$D$16,3,0)</f>
        <v>29</v>
      </c>
      <c r="L518" s="5" t="str">
        <f t="shared" ca="1" si="103"/>
        <v>Paid</v>
      </c>
      <c r="M518" s="8" t="str" cm="1">
        <f t="array" aca="1" ref="M518" ca="1">INDEX('Payment Method'!$A$8:$A$12,RANDBETWEEN(1,5))</f>
        <v>Bank Transfer</v>
      </c>
      <c r="N518" s="7">
        <f>IFERROR(SUMIF(Holiday!$A$8:$A$11,B518,Holiday!$C$8:$C$11),0)</f>
        <v>0</v>
      </c>
      <c r="O518" s="7">
        <f t="shared" ca="1" si="104"/>
        <v>29</v>
      </c>
      <c r="P518" s="19">
        <f t="shared" ca="1" si="105"/>
        <v>29</v>
      </c>
      <c r="Q518" s="7">
        <f t="shared" ca="1" si="106"/>
        <v>0</v>
      </c>
      <c r="R518" s="8">
        <f ca="1">VLOOKUP(M518,'Payment Method'!$A$8:$B$12,2,0)</f>
        <v>0</v>
      </c>
      <c r="S518" s="9">
        <f t="shared" ca="1" si="96"/>
        <v>0</v>
      </c>
      <c r="T518" s="8">
        <v>0.01</v>
      </c>
      <c r="U518" s="9">
        <f t="shared" ca="1" si="97"/>
        <v>0.28999999999999915</v>
      </c>
      <c r="V518" s="7">
        <f t="shared" ca="1" si="98"/>
        <v>0</v>
      </c>
      <c r="W518" s="7">
        <f t="shared" ca="1" si="99"/>
        <v>28.71</v>
      </c>
      <c r="X518" s="5" t="str">
        <f t="shared" ca="1" si="107"/>
        <v>Instagram</v>
      </c>
      <c r="Y518" s="78" t="str">
        <f>IF(COUNTIF($C$1:C517,B517)=1,10,"")</f>
        <v/>
      </c>
    </row>
    <row r="519" spans="1:25" x14ac:dyDescent="0.3">
      <c r="A519" s="76">
        <v>518</v>
      </c>
      <c r="B519" s="6">
        <v>46113</v>
      </c>
      <c r="C519" s="6">
        <v>46113</v>
      </c>
      <c r="D519" s="17" t="str">
        <f t="shared" si="100"/>
        <v>April</v>
      </c>
      <c r="E519" s="5" t="str">
        <f t="shared" ca="1" si="101"/>
        <v>STU-623</v>
      </c>
      <c r="F519" s="5" t="str">
        <f ca="1">IF(COUNTIF($E$2:E519,E519)=1,"New Customer","Returning Customer")</f>
        <v>New Customer</v>
      </c>
      <c r="G519" s="5" t="str">
        <f t="shared" ca="1" si="102"/>
        <v>Female</v>
      </c>
      <c r="H519" s="5" t="s">
        <v>141</v>
      </c>
      <c r="I519" s="5" t="str" cm="1">
        <f t="array" aca="1" ref="I519" ca="1">INDEX(Courses!$B$9:$B$16,RANDBETWEEN(1,8))</f>
        <v>Complete Excel Course</v>
      </c>
      <c r="J519" s="5" t="str">
        <f ca="1">VLOOKUP(I519,Courses!$B$9:$C$16,2,0)</f>
        <v>Microsoft Office</v>
      </c>
      <c r="K519" s="7">
        <f ca="1">VLOOKUP(I519,Courses!$B$9:$D$16,3,0)</f>
        <v>59</v>
      </c>
      <c r="L519" s="5" t="str">
        <f t="shared" ca="1" si="103"/>
        <v>Refunded</v>
      </c>
      <c r="M519" s="8" t="str" cm="1">
        <f t="array" aca="1" ref="M519" ca="1">INDEX('Payment Method'!$A$8:$A$12,RANDBETWEEN(1,5))</f>
        <v>Mastercard Credit</v>
      </c>
      <c r="N519" s="7">
        <f>IFERROR(SUMIF(Holiday!$A$8:$A$11,B519,Holiday!$C$8:$C$11),0)</f>
        <v>0</v>
      </c>
      <c r="O519" s="7">
        <f t="shared" ca="1" si="104"/>
        <v>59</v>
      </c>
      <c r="P519" s="19">
        <f t="shared" ca="1" si="105"/>
        <v>56.935000000000002</v>
      </c>
      <c r="Q519" s="7">
        <f t="shared" ca="1" si="106"/>
        <v>0</v>
      </c>
      <c r="R519" s="8">
        <f ca="1">VLOOKUP(M519,'Payment Method'!$A$8:$B$12,2,0)</f>
        <v>3.5000000000000003E-2</v>
      </c>
      <c r="S519" s="9">
        <f t="shared" ca="1" si="96"/>
        <v>2.0649999999999977</v>
      </c>
      <c r="T519" s="8">
        <v>0.01</v>
      </c>
      <c r="U519" s="9">
        <f t="shared" ca="1" si="97"/>
        <v>0.56935000000000002</v>
      </c>
      <c r="V519" s="7">
        <f t="shared" ca="1" si="98"/>
        <v>56.365650000000002</v>
      </c>
      <c r="W519" s="7">
        <f t="shared" ca="1" si="99"/>
        <v>0</v>
      </c>
      <c r="X519" s="5" t="str">
        <f t="shared" ca="1" si="107"/>
        <v>Facebook</v>
      </c>
      <c r="Y519" s="78" t="str">
        <f>IF(COUNTIF($C$1:C518,B518)=1,10,"")</f>
        <v/>
      </c>
    </row>
    <row r="520" spans="1:25" x14ac:dyDescent="0.3">
      <c r="A520" s="75">
        <v>519</v>
      </c>
      <c r="B520" s="6">
        <v>46156</v>
      </c>
      <c r="C520" s="6">
        <v>46159</v>
      </c>
      <c r="D520" s="17" t="str">
        <f t="shared" si="100"/>
        <v>May</v>
      </c>
      <c r="E520" s="5" t="str">
        <f t="shared" ca="1" si="101"/>
        <v>STU-548</v>
      </c>
      <c r="F520" s="5" t="str">
        <f ca="1">IF(COUNTIF($E$2:E520,E520)=1,"New Customer","Returning Customer")</f>
        <v>New Customer</v>
      </c>
      <c r="G520" s="5" t="str">
        <f t="shared" ca="1" si="102"/>
        <v>Male</v>
      </c>
      <c r="H520" s="5" t="s">
        <v>139</v>
      </c>
      <c r="I520" s="5" t="str" cm="1">
        <f t="array" aca="1" ref="I520" ca="1">INDEX(Courses!$B$9:$B$16,RANDBETWEEN(1,8))</f>
        <v>Microsoft Word</v>
      </c>
      <c r="J520" s="5" t="str">
        <f ca="1">VLOOKUP(I520,Courses!$B$9:$C$16,2,0)</f>
        <v>Microsoft Office</v>
      </c>
      <c r="K520" s="7">
        <f ca="1">VLOOKUP(I520,Courses!$B$9:$D$16,3,0)</f>
        <v>29</v>
      </c>
      <c r="L520" s="5" t="str">
        <f t="shared" ca="1" si="103"/>
        <v>Paid</v>
      </c>
      <c r="M520" s="8" t="str" cm="1">
        <f t="array" aca="1" ref="M520" ca="1">INDEX('Payment Method'!$A$8:$A$12,RANDBETWEEN(1,5))</f>
        <v>Visa Debit</v>
      </c>
      <c r="N520" s="7">
        <f>IFERROR(SUMIF(Holiday!$A$8:$A$11,B520,Holiday!$C$8:$C$11),0)</f>
        <v>0</v>
      </c>
      <c r="O520" s="7">
        <f t="shared" ca="1" si="104"/>
        <v>29</v>
      </c>
      <c r="P520" s="19">
        <f t="shared" ca="1" si="105"/>
        <v>28.42</v>
      </c>
      <c r="Q520" s="7">
        <f t="shared" ca="1" si="106"/>
        <v>0</v>
      </c>
      <c r="R520" s="8">
        <f ca="1">VLOOKUP(M520,'Payment Method'!$A$8:$B$12,2,0)</f>
        <v>0.02</v>
      </c>
      <c r="S520" s="9">
        <f t="shared" ca="1" si="96"/>
        <v>0.57999999999999829</v>
      </c>
      <c r="T520" s="8">
        <v>0.01</v>
      </c>
      <c r="U520" s="9">
        <f t="shared" ca="1" si="97"/>
        <v>0.28419999999999845</v>
      </c>
      <c r="V520" s="7">
        <f t="shared" ca="1" si="98"/>
        <v>0</v>
      </c>
      <c r="W520" s="7">
        <f t="shared" ca="1" si="99"/>
        <v>28.135800000000003</v>
      </c>
      <c r="X520" s="5" t="str">
        <f t="shared" ca="1" si="107"/>
        <v>Tiktok</v>
      </c>
      <c r="Y520" s="78" t="str">
        <f>IF(COUNTIF($C$1:C519,B519)=1,10,"")</f>
        <v/>
      </c>
    </row>
    <row r="521" spans="1:25" x14ac:dyDescent="0.3">
      <c r="A521" s="76">
        <v>520</v>
      </c>
      <c r="B521" s="6">
        <v>46100</v>
      </c>
      <c r="C521" s="6">
        <v>46100</v>
      </c>
      <c r="D521" s="17" t="str">
        <f t="shared" si="100"/>
        <v>March</v>
      </c>
      <c r="E521" s="5" t="str">
        <f t="shared" ca="1" si="101"/>
        <v>STU-703</v>
      </c>
      <c r="F521" s="5" t="str">
        <f ca="1">IF(COUNTIF($E$2:E521,E521)=1,"New Customer","Returning Customer")</f>
        <v>New Customer</v>
      </c>
      <c r="G521" s="5" t="str">
        <f t="shared" ca="1" si="102"/>
        <v>Female</v>
      </c>
      <c r="H521" s="5" t="s">
        <v>138</v>
      </c>
      <c r="I521" s="5" t="str" cm="1">
        <f t="array" aca="1" ref="I521" ca="1">INDEX(Courses!$B$9:$B$16,RANDBETWEEN(1,8))</f>
        <v>Adolescent Psychology</v>
      </c>
      <c r="J521" s="5" t="str">
        <f ca="1">VLOOKUP(I521,Courses!$B$9:$C$16,2,0)</f>
        <v>Psychology</v>
      </c>
      <c r="K521" s="7">
        <f ca="1">VLOOKUP(I521,Courses!$B$9:$D$16,3,0)</f>
        <v>29</v>
      </c>
      <c r="L521" s="5" t="str">
        <f t="shared" ca="1" si="103"/>
        <v>Paid</v>
      </c>
      <c r="M521" s="8" t="str" cm="1">
        <f t="array" aca="1" ref="M521" ca="1">INDEX('Payment Method'!$A$8:$A$12,RANDBETWEEN(1,5))</f>
        <v>Mastercard Debit</v>
      </c>
      <c r="N521" s="7">
        <f>IFERROR(SUMIF(Holiday!$A$8:$A$11,B521,Holiday!$C$8:$C$11),0)</f>
        <v>0</v>
      </c>
      <c r="O521" s="7">
        <f t="shared" ca="1" si="104"/>
        <v>29</v>
      </c>
      <c r="P521" s="19">
        <f t="shared" ca="1" si="105"/>
        <v>28.42</v>
      </c>
      <c r="Q521" s="7">
        <f t="shared" ca="1" si="106"/>
        <v>0</v>
      </c>
      <c r="R521" s="8">
        <f ca="1">VLOOKUP(M521,'Payment Method'!$A$8:$B$12,2,0)</f>
        <v>0.02</v>
      </c>
      <c r="S521" s="9">
        <f t="shared" ca="1" si="96"/>
        <v>0.57999999999999829</v>
      </c>
      <c r="T521" s="8">
        <v>0.01</v>
      </c>
      <c r="U521" s="9">
        <f t="shared" ca="1" si="97"/>
        <v>0.28419999999999845</v>
      </c>
      <c r="V521" s="7">
        <f t="shared" ca="1" si="98"/>
        <v>0</v>
      </c>
      <c r="W521" s="7">
        <f t="shared" ca="1" si="99"/>
        <v>28.135800000000003</v>
      </c>
      <c r="X521" s="5" t="str">
        <f t="shared" ca="1" si="107"/>
        <v>Facebook</v>
      </c>
      <c r="Y521" s="78" t="str">
        <f>IF(COUNTIF($C$1:C520,B520)=1,10,"")</f>
        <v/>
      </c>
    </row>
    <row r="522" spans="1:25" x14ac:dyDescent="0.3">
      <c r="A522" s="75">
        <v>521</v>
      </c>
      <c r="B522" s="6">
        <v>46027</v>
      </c>
      <c r="C522" s="6">
        <v>46030</v>
      </c>
      <c r="D522" s="17" t="str">
        <f t="shared" si="100"/>
        <v>January</v>
      </c>
      <c r="E522" s="5" t="str">
        <f t="shared" ca="1" si="101"/>
        <v>STU-936</v>
      </c>
      <c r="F522" s="5" t="str">
        <f ca="1">IF(COUNTIF($E$2:E522,E522)=1,"New Customer","Returning Customer")</f>
        <v>New Customer</v>
      </c>
      <c r="G522" s="5" t="str">
        <f t="shared" ca="1" si="102"/>
        <v>Not specified</v>
      </c>
      <c r="H522" s="5" t="s">
        <v>135</v>
      </c>
      <c r="I522" s="5" t="str" cm="1">
        <f t="array" aca="1" ref="I522" ca="1">INDEX(Courses!$B$9:$B$16,RANDBETWEEN(1,8))</f>
        <v>Tax Code</v>
      </c>
      <c r="J522" s="5" t="str">
        <f ca="1">VLOOKUP(I522,Courses!$B$9:$C$16,2,0)</f>
        <v>Finance &amp; Taxation</v>
      </c>
      <c r="K522" s="7">
        <f ca="1">VLOOKUP(I522,Courses!$B$9:$D$16,3,0)</f>
        <v>59</v>
      </c>
      <c r="L522" s="5" t="str">
        <f t="shared" ca="1" si="103"/>
        <v>Paid</v>
      </c>
      <c r="M522" s="8" t="str" cm="1">
        <f t="array" aca="1" ref="M522" ca="1">INDEX('Payment Method'!$A$8:$A$12,RANDBETWEEN(1,5))</f>
        <v>Mastercard Debit</v>
      </c>
      <c r="N522" s="7">
        <f>IFERROR(SUMIF(Holiday!$A$8:$A$11,B522,Holiday!$C$8:$C$11),0)</f>
        <v>0</v>
      </c>
      <c r="O522" s="7">
        <f t="shared" ca="1" si="104"/>
        <v>59</v>
      </c>
      <c r="P522" s="19">
        <f t="shared" ca="1" si="105"/>
        <v>57.82</v>
      </c>
      <c r="Q522" s="7">
        <f t="shared" ca="1" si="106"/>
        <v>0</v>
      </c>
      <c r="R522" s="8">
        <f ca="1">VLOOKUP(M522,'Payment Method'!$A$8:$B$12,2,0)</f>
        <v>0.02</v>
      </c>
      <c r="S522" s="9">
        <f t="shared" ca="1" si="96"/>
        <v>1.1799999999999997</v>
      </c>
      <c r="T522" s="8">
        <v>0.01</v>
      </c>
      <c r="U522" s="9">
        <f t="shared" ca="1" si="97"/>
        <v>0.57820000000000249</v>
      </c>
      <c r="V522" s="7">
        <f t="shared" ca="1" si="98"/>
        <v>0</v>
      </c>
      <c r="W522" s="7">
        <f t="shared" ca="1" si="99"/>
        <v>57.241799999999998</v>
      </c>
      <c r="X522" s="5" t="str">
        <f t="shared" ca="1" si="107"/>
        <v>Tiktok</v>
      </c>
      <c r="Y522" s="78">
        <f>IF(COUNTIF($C$1:C521,B521)=1,10,"")</f>
        <v>10</v>
      </c>
    </row>
    <row r="523" spans="1:25" x14ac:dyDescent="0.3">
      <c r="A523" s="76">
        <v>522</v>
      </c>
      <c r="B523" s="6">
        <v>46141</v>
      </c>
      <c r="C523" s="6">
        <v>46142</v>
      </c>
      <c r="D523" s="17" t="str">
        <f t="shared" si="100"/>
        <v>April</v>
      </c>
      <c r="E523" s="5" t="str">
        <f t="shared" ca="1" si="101"/>
        <v>STU-380</v>
      </c>
      <c r="F523" s="5" t="str">
        <f ca="1">IF(COUNTIF($E$2:E523,E523)=1,"New Customer","Returning Customer")</f>
        <v>Returning Customer</v>
      </c>
      <c r="G523" s="5" t="str">
        <f t="shared" ca="1" si="102"/>
        <v>Female</v>
      </c>
      <c r="H523" s="5" t="s">
        <v>142</v>
      </c>
      <c r="I523" s="5" t="str" cm="1">
        <f t="array" aca="1" ref="I523" ca="1">INDEX(Courses!$B$9:$B$16,RANDBETWEEN(1,8))</f>
        <v>PowerPoint</v>
      </c>
      <c r="J523" s="5" t="str">
        <f ca="1">VLOOKUP(I523,Courses!$B$9:$C$16,2,0)</f>
        <v>Microsoft Office</v>
      </c>
      <c r="K523" s="7">
        <f ca="1">VLOOKUP(I523,Courses!$B$9:$D$16,3,0)</f>
        <v>29</v>
      </c>
      <c r="L523" s="5" t="str">
        <f t="shared" ca="1" si="103"/>
        <v>Paid</v>
      </c>
      <c r="M523" s="8" t="str" cm="1">
        <f t="array" aca="1" ref="M523" ca="1">INDEX('Payment Method'!$A$8:$A$12,RANDBETWEEN(1,5))</f>
        <v>Visa Debit</v>
      </c>
      <c r="N523" s="7">
        <f>IFERROR(SUMIF(Holiday!$A$8:$A$11,B523,Holiday!$C$8:$C$11),0)</f>
        <v>0</v>
      </c>
      <c r="O523" s="7">
        <f t="shared" ca="1" si="104"/>
        <v>29</v>
      </c>
      <c r="P523" s="19">
        <f t="shared" ca="1" si="105"/>
        <v>28.42</v>
      </c>
      <c r="Q523" s="7">
        <f t="shared" ca="1" si="106"/>
        <v>0</v>
      </c>
      <c r="R523" s="8">
        <f ca="1">VLOOKUP(M523,'Payment Method'!$A$8:$B$12,2,0)</f>
        <v>0.02</v>
      </c>
      <c r="S523" s="9">
        <f t="shared" ca="1" si="96"/>
        <v>0.57999999999999829</v>
      </c>
      <c r="T523" s="8">
        <v>0.01</v>
      </c>
      <c r="U523" s="9">
        <f t="shared" ca="1" si="97"/>
        <v>0.28419999999999845</v>
      </c>
      <c r="V523" s="7">
        <f t="shared" ca="1" si="98"/>
        <v>0</v>
      </c>
      <c r="W523" s="7">
        <f t="shared" ca="1" si="99"/>
        <v>28.135800000000003</v>
      </c>
      <c r="X523" s="5" t="str">
        <f t="shared" ca="1" si="107"/>
        <v>Instagram</v>
      </c>
      <c r="Y523" s="78" t="str">
        <f>IF(COUNTIF($C$1:C522,B522)=1,10,"")</f>
        <v/>
      </c>
    </row>
    <row r="524" spans="1:25" x14ac:dyDescent="0.3">
      <c r="A524" s="75">
        <v>523</v>
      </c>
      <c r="B524" s="6">
        <v>46027</v>
      </c>
      <c r="C524" s="6">
        <v>46027</v>
      </c>
      <c r="D524" s="17" t="str">
        <f t="shared" si="100"/>
        <v>January</v>
      </c>
      <c r="E524" s="5" t="str">
        <f t="shared" ca="1" si="101"/>
        <v>STU-317</v>
      </c>
      <c r="F524" s="5" t="str">
        <f ca="1">IF(COUNTIF($E$2:E524,E524)=1,"New Customer","Returning Customer")</f>
        <v>New Customer</v>
      </c>
      <c r="G524" s="5" t="str">
        <f t="shared" ca="1" si="102"/>
        <v>Male</v>
      </c>
      <c r="H524" s="5" t="s">
        <v>137</v>
      </c>
      <c r="I524" s="5" t="str" cm="1">
        <f t="array" aca="1" ref="I524" ca="1">INDEX(Courses!$B$9:$B$16,RANDBETWEEN(1,8))</f>
        <v>SQL</v>
      </c>
      <c r="J524" s="5" t="str">
        <f ca="1">VLOOKUP(I524,Courses!$B$9:$C$16,2,0)</f>
        <v>Data Analytics</v>
      </c>
      <c r="K524" s="7">
        <f ca="1">VLOOKUP(I524,Courses!$B$9:$D$16,3,0)</f>
        <v>99</v>
      </c>
      <c r="L524" s="5" t="str">
        <f t="shared" ca="1" si="103"/>
        <v>Paid</v>
      </c>
      <c r="M524" s="8" t="str" cm="1">
        <f t="array" aca="1" ref="M524" ca="1">INDEX('Payment Method'!$A$8:$A$12,RANDBETWEEN(1,5))</f>
        <v>Bank Transfer</v>
      </c>
      <c r="N524" s="7">
        <f>IFERROR(SUMIF(Holiday!$A$8:$A$11,B524,Holiday!$C$8:$C$11),0)</f>
        <v>0</v>
      </c>
      <c r="O524" s="7">
        <f t="shared" ca="1" si="104"/>
        <v>99</v>
      </c>
      <c r="P524" s="19">
        <f t="shared" ca="1" si="105"/>
        <v>99</v>
      </c>
      <c r="Q524" s="7">
        <f t="shared" ca="1" si="106"/>
        <v>0</v>
      </c>
      <c r="R524" s="8">
        <f ca="1">VLOOKUP(M524,'Payment Method'!$A$8:$B$12,2,0)</f>
        <v>0</v>
      </c>
      <c r="S524" s="9">
        <f t="shared" ca="1" si="96"/>
        <v>0</v>
      </c>
      <c r="T524" s="8">
        <v>0.01</v>
      </c>
      <c r="U524" s="9">
        <f t="shared" ca="1" si="97"/>
        <v>0.98999999999999488</v>
      </c>
      <c r="V524" s="7">
        <f t="shared" ca="1" si="98"/>
        <v>0</v>
      </c>
      <c r="W524" s="7">
        <f t="shared" ca="1" si="99"/>
        <v>98.01</v>
      </c>
      <c r="X524" s="5" t="str">
        <f t="shared" ca="1" si="107"/>
        <v>Instagram</v>
      </c>
      <c r="Y524" s="78" t="str">
        <f>IF(COUNTIF($C$1:C523,B523)=1,10,"")</f>
        <v/>
      </c>
    </row>
    <row r="525" spans="1:25" x14ac:dyDescent="0.3">
      <c r="A525" s="76">
        <v>524</v>
      </c>
      <c r="B525" s="6">
        <v>46128</v>
      </c>
      <c r="C525" s="6">
        <v>46133</v>
      </c>
      <c r="D525" s="17" t="str">
        <f t="shared" si="100"/>
        <v>April</v>
      </c>
      <c r="E525" s="5" t="str">
        <f t="shared" ca="1" si="101"/>
        <v>STU-396</v>
      </c>
      <c r="F525" s="5" t="str">
        <f ca="1">IF(COUNTIF($E$2:E525,E525)=1,"New Customer","Returning Customer")</f>
        <v>New Customer</v>
      </c>
      <c r="G525" s="5" t="str">
        <f t="shared" ca="1" si="102"/>
        <v>Not specified</v>
      </c>
      <c r="H525" s="5" t="s">
        <v>139</v>
      </c>
      <c r="I525" s="5" t="str" cm="1">
        <f t="array" aca="1" ref="I525" ca="1">INDEX(Courses!$B$9:$B$16,RANDBETWEEN(1,8))</f>
        <v>Power BI</v>
      </c>
      <c r="J525" s="5" t="str">
        <f ca="1">VLOOKUP(I525,Courses!$B$9:$C$16,2,0)</f>
        <v>Data Analytics</v>
      </c>
      <c r="K525" s="7">
        <f ca="1">VLOOKUP(I525,Courses!$B$9:$D$16,3,0)</f>
        <v>59</v>
      </c>
      <c r="L525" s="5" t="str">
        <f t="shared" ca="1" si="103"/>
        <v>Paid</v>
      </c>
      <c r="M525" s="8" t="str" cm="1">
        <f t="array" aca="1" ref="M525" ca="1">INDEX('Payment Method'!$A$8:$A$12,RANDBETWEEN(1,5))</f>
        <v>Visa Credit</v>
      </c>
      <c r="N525" s="7">
        <f>IFERROR(SUMIF(Holiday!$A$8:$A$11,B525,Holiday!$C$8:$C$11),0)</f>
        <v>0</v>
      </c>
      <c r="O525" s="7">
        <f t="shared" ca="1" si="104"/>
        <v>59</v>
      </c>
      <c r="P525" s="19">
        <f t="shared" ca="1" si="105"/>
        <v>56.935000000000002</v>
      </c>
      <c r="Q525" s="7">
        <f t="shared" ca="1" si="106"/>
        <v>0</v>
      </c>
      <c r="R525" s="8">
        <f ca="1">VLOOKUP(M525,'Payment Method'!$A$8:$B$12,2,0)</f>
        <v>3.5000000000000003E-2</v>
      </c>
      <c r="S525" s="9">
        <f t="shared" ca="1" si="96"/>
        <v>2.0649999999999977</v>
      </c>
      <c r="T525" s="8">
        <v>0.01</v>
      </c>
      <c r="U525" s="9">
        <f t="shared" ca="1" si="97"/>
        <v>0.56935000000000002</v>
      </c>
      <c r="V525" s="7">
        <f t="shared" ca="1" si="98"/>
        <v>0</v>
      </c>
      <c r="W525" s="7">
        <f t="shared" ca="1" si="99"/>
        <v>56.365650000000002</v>
      </c>
      <c r="X525" s="5" t="str">
        <f t="shared" ca="1" si="107"/>
        <v>Instagram</v>
      </c>
      <c r="Y525" s="78" t="str">
        <f>IF(COUNTIF($C$1:C524,B524)=1,10,"")</f>
        <v/>
      </c>
    </row>
    <row r="526" spans="1:25" x14ac:dyDescent="0.3">
      <c r="A526" s="75">
        <v>525</v>
      </c>
      <c r="B526" s="6">
        <v>46187</v>
      </c>
      <c r="C526" s="6">
        <v>46192</v>
      </c>
      <c r="D526" s="17" t="str">
        <f t="shared" si="100"/>
        <v>June</v>
      </c>
      <c r="E526" s="5" t="str">
        <f t="shared" ca="1" si="101"/>
        <v>STU-992</v>
      </c>
      <c r="F526" s="5" t="str">
        <f ca="1">IF(COUNTIF($E$2:E526,E526)=1,"New Customer","Returning Customer")</f>
        <v>New Customer</v>
      </c>
      <c r="G526" s="5" t="str">
        <f t="shared" ca="1" si="102"/>
        <v>Not specified</v>
      </c>
      <c r="H526" s="5" t="s">
        <v>140</v>
      </c>
      <c r="I526" s="5" t="str" cm="1">
        <f t="array" aca="1" ref="I526" ca="1">INDEX(Courses!$B$9:$B$16,RANDBETWEEN(1,8))</f>
        <v>PowerPoint</v>
      </c>
      <c r="J526" s="5" t="str">
        <f ca="1">VLOOKUP(I526,Courses!$B$9:$C$16,2,0)</f>
        <v>Microsoft Office</v>
      </c>
      <c r="K526" s="7">
        <f ca="1">VLOOKUP(I526,Courses!$B$9:$D$16,3,0)</f>
        <v>29</v>
      </c>
      <c r="L526" s="5" t="str">
        <f t="shared" ca="1" si="103"/>
        <v>Pending</v>
      </c>
      <c r="M526" s="8" t="str" cm="1">
        <f t="array" aca="1" ref="M526" ca="1">INDEX('Payment Method'!$A$8:$A$12,RANDBETWEEN(1,5))</f>
        <v>Visa Credit</v>
      </c>
      <c r="N526" s="7">
        <f>IFERROR(SUMIF(Holiday!$A$8:$A$11,B526,Holiday!$C$8:$C$11),0)</f>
        <v>0</v>
      </c>
      <c r="O526" s="7">
        <f t="shared" ca="1" si="104"/>
        <v>29</v>
      </c>
      <c r="P526" s="19">
        <f t="shared" ca="1" si="105"/>
        <v>27.984999999999999</v>
      </c>
      <c r="Q526" s="7">
        <f t="shared" ca="1" si="106"/>
        <v>27.70515</v>
      </c>
      <c r="R526" s="8">
        <f ca="1">VLOOKUP(M526,'Payment Method'!$A$8:$B$12,2,0)</f>
        <v>3.5000000000000003E-2</v>
      </c>
      <c r="S526" s="9">
        <f t="shared" ca="1" si="96"/>
        <v>1.0150000000000006</v>
      </c>
      <c r="T526" s="8">
        <v>0.01</v>
      </c>
      <c r="U526" s="9">
        <f t="shared" ca="1" si="97"/>
        <v>0.27984999999999971</v>
      </c>
      <c r="V526" s="7">
        <f t="shared" ca="1" si="98"/>
        <v>0</v>
      </c>
      <c r="W526" s="7">
        <f t="shared" ca="1" si="99"/>
        <v>0</v>
      </c>
      <c r="X526" s="5" t="str">
        <f t="shared" ca="1" si="107"/>
        <v>Facebook</v>
      </c>
      <c r="Y526" s="78" t="str">
        <f>IF(COUNTIF($C$1:C525,B525)=1,10,"")</f>
        <v/>
      </c>
    </row>
    <row r="527" spans="1:25" x14ac:dyDescent="0.3">
      <c r="A527" s="76">
        <v>526</v>
      </c>
      <c r="B527" s="6">
        <v>46208</v>
      </c>
      <c r="C527" s="6">
        <v>46213</v>
      </c>
      <c r="D527" s="17" t="str">
        <f t="shared" si="100"/>
        <v>July</v>
      </c>
      <c r="E527" s="5" t="str">
        <f t="shared" ca="1" si="101"/>
        <v>STU-841</v>
      </c>
      <c r="F527" s="5" t="str">
        <f ca="1">IF(COUNTIF($E$2:E527,E527)=1,"New Customer","Returning Customer")</f>
        <v>New Customer</v>
      </c>
      <c r="G527" s="5" t="str">
        <f t="shared" ca="1" si="102"/>
        <v>Not specified</v>
      </c>
      <c r="H527" s="5" t="s">
        <v>137</v>
      </c>
      <c r="I527" s="5" t="str" cm="1">
        <f t="array" aca="1" ref="I527" ca="1">INDEX(Courses!$B$9:$B$16,RANDBETWEEN(1,8))</f>
        <v>SQL</v>
      </c>
      <c r="J527" s="5" t="str">
        <f ca="1">VLOOKUP(I527,Courses!$B$9:$C$16,2,0)</f>
        <v>Data Analytics</v>
      </c>
      <c r="K527" s="7">
        <f ca="1">VLOOKUP(I527,Courses!$B$9:$D$16,3,0)</f>
        <v>99</v>
      </c>
      <c r="L527" s="5" t="str">
        <f t="shared" ca="1" si="103"/>
        <v>Paid</v>
      </c>
      <c r="M527" s="8" t="str" cm="1">
        <f t="array" aca="1" ref="M527" ca="1">INDEX('Payment Method'!$A$8:$A$12,RANDBETWEEN(1,5))</f>
        <v>Mastercard Credit</v>
      </c>
      <c r="N527" s="7">
        <f>IFERROR(SUMIF(Holiday!$A$8:$A$11,B527,Holiday!$C$8:$C$11),0)</f>
        <v>0</v>
      </c>
      <c r="O527" s="7">
        <f t="shared" ca="1" si="104"/>
        <v>99</v>
      </c>
      <c r="P527" s="19">
        <f t="shared" ca="1" si="105"/>
        <v>95.534999999999997</v>
      </c>
      <c r="Q527" s="7">
        <f t="shared" ca="1" si="106"/>
        <v>0</v>
      </c>
      <c r="R527" s="8">
        <f ca="1">VLOOKUP(M527,'Payment Method'!$A$8:$B$12,2,0)</f>
        <v>3.5000000000000003E-2</v>
      </c>
      <c r="S527" s="9">
        <f t="shared" ca="1" si="96"/>
        <v>3.4650000000000034</v>
      </c>
      <c r="T527" s="8">
        <v>0.01</v>
      </c>
      <c r="U527" s="9">
        <f t="shared" ca="1" si="97"/>
        <v>0.9553499999999957</v>
      </c>
      <c r="V527" s="7">
        <f t="shared" ca="1" si="98"/>
        <v>0</v>
      </c>
      <c r="W527" s="7">
        <f t="shared" ca="1" si="99"/>
        <v>94.579650000000001</v>
      </c>
      <c r="X527" s="5" t="str">
        <f t="shared" ca="1" si="107"/>
        <v>Tiktok</v>
      </c>
      <c r="Y527" s="78" t="str">
        <f>IF(COUNTIF($C$1:C526,B526)=1,10,"")</f>
        <v/>
      </c>
    </row>
    <row r="528" spans="1:25" x14ac:dyDescent="0.3">
      <c r="A528" s="75">
        <v>527</v>
      </c>
      <c r="B528" s="6">
        <v>46109</v>
      </c>
      <c r="C528" s="6">
        <v>46114</v>
      </c>
      <c r="D528" s="17" t="str">
        <f t="shared" si="100"/>
        <v>April</v>
      </c>
      <c r="E528" s="5" t="str">
        <f t="shared" ca="1" si="101"/>
        <v>STU-893</v>
      </c>
      <c r="F528" s="5" t="str">
        <f ca="1">IF(COUNTIF($E$2:E528,E528)=1,"New Customer","Returning Customer")</f>
        <v>New Customer</v>
      </c>
      <c r="G528" s="5" t="str">
        <f t="shared" ca="1" si="102"/>
        <v>Male</v>
      </c>
      <c r="H528" s="5" t="s">
        <v>142</v>
      </c>
      <c r="I528" s="5" t="str" cm="1">
        <f t="array" aca="1" ref="I528" ca="1">INDEX(Courses!$B$9:$B$16,RANDBETWEEN(1,8))</f>
        <v>Microsoft Word</v>
      </c>
      <c r="J528" s="5" t="str">
        <f ca="1">VLOOKUP(I528,Courses!$B$9:$C$16,2,0)</f>
        <v>Microsoft Office</v>
      </c>
      <c r="K528" s="7">
        <f ca="1">VLOOKUP(I528,Courses!$B$9:$D$16,3,0)</f>
        <v>29</v>
      </c>
      <c r="L528" s="5" t="str">
        <f t="shared" ca="1" si="103"/>
        <v>Paid</v>
      </c>
      <c r="M528" s="8" t="str" cm="1">
        <f t="array" aca="1" ref="M528" ca="1">INDEX('Payment Method'!$A$8:$A$12,RANDBETWEEN(1,5))</f>
        <v>Mastercard Debit</v>
      </c>
      <c r="N528" s="7">
        <f>IFERROR(SUMIF(Holiday!$A$8:$A$11,B528,Holiday!$C$8:$C$11),0)</f>
        <v>0</v>
      </c>
      <c r="O528" s="7">
        <f t="shared" ca="1" si="104"/>
        <v>29</v>
      </c>
      <c r="P528" s="19">
        <f t="shared" ca="1" si="105"/>
        <v>28.42</v>
      </c>
      <c r="Q528" s="7">
        <f t="shared" ca="1" si="106"/>
        <v>0</v>
      </c>
      <c r="R528" s="8">
        <f ca="1">VLOOKUP(M528,'Payment Method'!$A$8:$B$12,2,0)</f>
        <v>0.02</v>
      </c>
      <c r="S528" s="9">
        <f t="shared" ca="1" si="96"/>
        <v>0.57999999999999829</v>
      </c>
      <c r="T528" s="8">
        <v>0.01</v>
      </c>
      <c r="U528" s="9">
        <f t="shared" ca="1" si="97"/>
        <v>0.28419999999999845</v>
      </c>
      <c r="V528" s="7">
        <f t="shared" ca="1" si="98"/>
        <v>0</v>
      </c>
      <c r="W528" s="7">
        <f t="shared" ca="1" si="99"/>
        <v>28.135800000000003</v>
      </c>
      <c r="X528" s="5" t="str">
        <f t="shared" ca="1" si="107"/>
        <v>Tiktok</v>
      </c>
      <c r="Y528" s="78" t="str">
        <f>IF(COUNTIF($C$1:C527,B527)=1,10,"")</f>
        <v/>
      </c>
    </row>
    <row r="529" spans="1:25" x14ac:dyDescent="0.3">
      <c r="A529" s="76">
        <v>528</v>
      </c>
      <c r="B529" s="6">
        <v>46100</v>
      </c>
      <c r="C529" s="6">
        <v>46101</v>
      </c>
      <c r="D529" s="17" t="str">
        <f t="shared" si="100"/>
        <v>March</v>
      </c>
      <c r="E529" s="5" t="str">
        <f t="shared" ca="1" si="101"/>
        <v>STU-309</v>
      </c>
      <c r="F529" s="5" t="str">
        <f ca="1">IF(COUNTIF($E$2:E529,E529)=1,"New Customer","Returning Customer")</f>
        <v>New Customer</v>
      </c>
      <c r="G529" s="5" t="str">
        <f t="shared" ca="1" si="102"/>
        <v>Not specified</v>
      </c>
      <c r="H529" s="5" t="s">
        <v>138</v>
      </c>
      <c r="I529" s="5" t="str" cm="1">
        <f t="array" aca="1" ref="I529" ca="1">INDEX(Courses!$B$9:$B$16,RANDBETWEEN(1,8))</f>
        <v>PowerPoint</v>
      </c>
      <c r="J529" s="5" t="str">
        <f ca="1">VLOOKUP(I529,Courses!$B$9:$C$16,2,0)</f>
        <v>Microsoft Office</v>
      </c>
      <c r="K529" s="7">
        <f ca="1">VLOOKUP(I529,Courses!$B$9:$D$16,3,0)</f>
        <v>29</v>
      </c>
      <c r="L529" s="5" t="str">
        <f t="shared" ca="1" si="103"/>
        <v>Paid</v>
      </c>
      <c r="M529" s="8" t="str" cm="1">
        <f t="array" aca="1" ref="M529" ca="1">INDEX('Payment Method'!$A$8:$A$12,RANDBETWEEN(1,5))</f>
        <v>Mastercard Credit</v>
      </c>
      <c r="N529" s="7">
        <f>IFERROR(SUMIF(Holiday!$A$8:$A$11,B529,Holiday!$C$8:$C$11),0)</f>
        <v>0</v>
      </c>
      <c r="O529" s="7">
        <f t="shared" ca="1" si="104"/>
        <v>29</v>
      </c>
      <c r="P529" s="19">
        <f t="shared" ca="1" si="105"/>
        <v>27.984999999999999</v>
      </c>
      <c r="Q529" s="7">
        <f t="shared" ca="1" si="106"/>
        <v>0</v>
      </c>
      <c r="R529" s="8">
        <f ca="1">VLOOKUP(M529,'Payment Method'!$A$8:$B$12,2,0)</f>
        <v>3.5000000000000003E-2</v>
      </c>
      <c r="S529" s="9">
        <f t="shared" ca="1" si="96"/>
        <v>1.0150000000000006</v>
      </c>
      <c r="T529" s="8">
        <v>0.01</v>
      </c>
      <c r="U529" s="9">
        <f t="shared" ca="1" si="97"/>
        <v>0.27984999999999971</v>
      </c>
      <c r="V529" s="7">
        <f t="shared" ca="1" si="98"/>
        <v>0</v>
      </c>
      <c r="W529" s="7">
        <f t="shared" ca="1" si="99"/>
        <v>27.70515</v>
      </c>
      <c r="X529" s="5" t="str">
        <f t="shared" ca="1" si="107"/>
        <v>Tiktok</v>
      </c>
      <c r="Y529" s="78" t="str">
        <f>IF(COUNTIF($C$1:C528,B528)=1,10,"")</f>
        <v/>
      </c>
    </row>
    <row r="530" spans="1:25" x14ac:dyDescent="0.3">
      <c r="A530" s="75">
        <v>529</v>
      </c>
      <c r="B530" s="6">
        <v>46151</v>
      </c>
      <c r="C530" s="6">
        <v>46155</v>
      </c>
      <c r="D530" s="17" t="str">
        <f t="shared" si="100"/>
        <v>May</v>
      </c>
      <c r="E530" s="5" t="str">
        <f t="shared" ca="1" si="101"/>
        <v>STU-560</v>
      </c>
      <c r="F530" s="5" t="str">
        <f ca="1">IF(COUNTIF($E$2:E530,E530)=1,"New Customer","Returning Customer")</f>
        <v>New Customer</v>
      </c>
      <c r="G530" s="5" t="str">
        <f t="shared" ca="1" si="102"/>
        <v>Male</v>
      </c>
      <c r="H530" s="5" t="s">
        <v>139</v>
      </c>
      <c r="I530" s="5" t="str" cm="1">
        <f t="array" aca="1" ref="I530" ca="1">INDEX(Courses!$B$9:$B$16,RANDBETWEEN(1,8))</f>
        <v>Power BI</v>
      </c>
      <c r="J530" s="5" t="str">
        <f ca="1">VLOOKUP(I530,Courses!$B$9:$C$16,2,0)</f>
        <v>Data Analytics</v>
      </c>
      <c r="K530" s="7">
        <f ca="1">VLOOKUP(I530,Courses!$B$9:$D$16,3,0)</f>
        <v>59</v>
      </c>
      <c r="L530" s="5" t="str">
        <f t="shared" ca="1" si="103"/>
        <v>Paid</v>
      </c>
      <c r="M530" s="8" t="str" cm="1">
        <f t="array" aca="1" ref="M530" ca="1">INDEX('Payment Method'!$A$8:$A$12,RANDBETWEEN(1,5))</f>
        <v>Visa Debit</v>
      </c>
      <c r="N530" s="7">
        <f>IFERROR(SUMIF(Holiday!$A$8:$A$11,B530,Holiday!$C$8:$C$11),0)</f>
        <v>0</v>
      </c>
      <c r="O530" s="7">
        <f t="shared" ca="1" si="104"/>
        <v>59</v>
      </c>
      <c r="P530" s="19">
        <f t="shared" ca="1" si="105"/>
        <v>57.82</v>
      </c>
      <c r="Q530" s="7">
        <f t="shared" ca="1" si="106"/>
        <v>0</v>
      </c>
      <c r="R530" s="8">
        <f ca="1">VLOOKUP(M530,'Payment Method'!$A$8:$B$12,2,0)</f>
        <v>0.02</v>
      </c>
      <c r="S530" s="9">
        <f t="shared" ca="1" si="96"/>
        <v>1.1799999999999997</v>
      </c>
      <c r="T530" s="8">
        <v>0.01</v>
      </c>
      <c r="U530" s="9">
        <f t="shared" ca="1" si="97"/>
        <v>0.57820000000000249</v>
      </c>
      <c r="V530" s="7">
        <f t="shared" ca="1" si="98"/>
        <v>0</v>
      </c>
      <c r="W530" s="7">
        <f t="shared" ca="1" si="99"/>
        <v>57.241799999999998</v>
      </c>
      <c r="X530" s="5" t="str">
        <f t="shared" ca="1" si="107"/>
        <v>Tiktok</v>
      </c>
      <c r="Y530" s="78">
        <f>IF(COUNTIF($C$1:C529,B529)=1,10,"")</f>
        <v>10</v>
      </c>
    </row>
    <row r="531" spans="1:25" x14ac:dyDescent="0.3">
      <c r="A531" s="76">
        <v>530</v>
      </c>
      <c r="B531" s="6">
        <v>46101</v>
      </c>
      <c r="C531" s="6">
        <v>46102</v>
      </c>
      <c r="D531" s="17" t="str">
        <f t="shared" si="100"/>
        <v>March</v>
      </c>
      <c r="E531" s="5" t="str">
        <f t="shared" ca="1" si="101"/>
        <v>STU-899</v>
      </c>
      <c r="F531" s="5" t="str">
        <f ca="1">IF(COUNTIF($E$2:E531,E531)=1,"New Customer","Returning Customer")</f>
        <v>Returning Customer</v>
      </c>
      <c r="G531" s="5" t="str">
        <f t="shared" ca="1" si="102"/>
        <v>Not specified</v>
      </c>
      <c r="H531" s="5" t="s">
        <v>138</v>
      </c>
      <c r="I531" s="5" t="str" cm="1">
        <f t="array" aca="1" ref="I531" ca="1">INDEX(Courses!$B$9:$B$16,RANDBETWEEN(1,8))</f>
        <v>Power BI</v>
      </c>
      <c r="J531" s="5" t="str">
        <f ca="1">VLOOKUP(I531,Courses!$B$9:$C$16,2,0)</f>
        <v>Data Analytics</v>
      </c>
      <c r="K531" s="7">
        <f ca="1">VLOOKUP(I531,Courses!$B$9:$D$16,3,0)</f>
        <v>59</v>
      </c>
      <c r="L531" s="5" t="str">
        <f t="shared" ca="1" si="103"/>
        <v>Paid</v>
      </c>
      <c r="M531" s="8" t="str" cm="1">
        <f t="array" aca="1" ref="M531" ca="1">INDEX('Payment Method'!$A$8:$A$12,RANDBETWEEN(1,5))</f>
        <v>Mastercard Debit</v>
      </c>
      <c r="N531" s="7">
        <f>IFERROR(SUMIF(Holiday!$A$8:$A$11,B531,Holiday!$C$8:$C$11),0)</f>
        <v>0</v>
      </c>
      <c r="O531" s="7">
        <f t="shared" ca="1" si="104"/>
        <v>59</v>
      </c>
      <c r="P531" s="19">
        <f t="shared" ca="1" si="105"/>
        <v>57.82</v>
      </c>
      <c r="Q531" s="7">
        <f t="shared" ca="1" si="106"/>
        <v>0</v>
      </c>
      <c r="R531" s="8">
        <f ca="1">VLOOKUP(M531,'Payment Method'!$A$8:$B$12,2,0)</f>
        <v>0.02</v>
      </c>
      <c r="S531" s="9">
        <f t="shared" ca="1" si="96"/>
        <v>1.1799999999999997</v>
      </c>
      <c r="T531" s="8">
        <v>0.01</v>
      </c>
      <c r="U531" s="9">
        <f t="shared" ca="1" si="97"/>
        <v>0.57820000000000249</v>
      </c>
      <c r="V531" s="7">
        <f t="shared" ca="1" si="98"/>
        <v>0</v>
      </c>
      <c r="W531" s="7">
        <f t="shared" ca="1" si="99"/>
        <v>57.241799999999998</v>
      </c>
      <c r="X531" s="5" t="str">
        <f t="shared" ca="1" si="107"/>
        <v>Instagram</v>
      </c>
      <c r="Y531" s="78" t="str">
        <f>IF(COUNTIF($C$1:C530,B530)=1,10,"")</f>
        <v/>
      </c>
    </row>
    <row r="532" spans="1:25" x14ac:dyDescent="0.3">
      <c r="A532" s="75">
        <v>531</v>
      </c>
      <c r="B532" s="6">
        <v>46162</v>
      </c>
      <c r="C532" s="6">
        <v>46162</v>
      </c>
      <c r="D532" s="17" t="str">
        <f t="shared" si="100"/>
        <v>May</v>
      </c>
      <c r="E532" s="5" t="str">
        <f t="shared" ca="1" si="101"/>
        <v>STU-762</v>
      </c>
      <c r="F532" s="5" t="str">
        <f ca="1">IF(COUNTIF($E$2:E532,E532)=1,"New Customer","Returning Customer")</f>
        <v>New Customer</v>
      </c>
      <c r="G532" s="5" t="str">
        <f t="shared" ca="1" si="102"/>
        <v>Male</v>
      </c>
      <c r="H532" s="5" t="s">
        <v>140</v>
      </c>
      <c r="I532" s="5" t="str" cm="1">
        <f t="array" aca="1" ref="I532" ca="1">INDEX(Courses!$B$9:$B$16,RANDBETWEEN(1,8))</f>
        <v>PowerPoint</v>
      </c>
      <c r="J532" s="5" t="str">
        <f ca="1">VLOOKUP(I532,Courses!$B$9:$C$16,2,0)</f>
        <v>Microsoft Office</v>
      </c>
      <c r="K532" s="7">
        <f ca="1">VLOOKUP(I532,Courses!$B$9:$D$16,3,0)</f>
        <v>29</v>
      </c>
      <c r="L532" s="5" t="str">
        <f t="shared" ca="1" si="103"/>
        <v>Paid</v>
      </c>
      <c r="M532" s="8" t="str" cm="1">
        <f t="array" aca="1" ref="M532" ca="1">INDEX('Payment Method'!$A$8:$A$12,RANDBETWEEN(1,5))</f>
        <v>Bank Transfer</v>
      </c>
      <c r="N532" s="7">
        <f>IFERROR(SUMIF(Holiday!$A$8:$A$11,B532,Holiday!$C$8:$C$11),0)</f>
        <v>0</v>
      </c>
      <c r="O532" s="7">
        <f t="shared" ca="1" si="104"/>
        <v>29</v>
      </c>
      <c r="P532" s="19">
        <f t="shared" ca="1" si="105"/>
        <v>29</v>
      </c>
      <c r="Q532" s="7">
        <f t="shared" ca="1" si="106"/>
        <v>0</v>
      </c>
      <c r="R532" s="8">
        <f ca="1">VLOOKUP(M532,'Payment Method'!$A$8:$B$12,2,0)</f>
        <v>0</v>
      </c>
      <c r="S532" s="9">
        <f t="shared" ca="1" si="96"/>
        <v>0</v>
      </c>
      <c r="T532" s="8">
        <v>0.01</v>
      </c>
      <c r="U532" s="9">
        <f t="shared" ca="1" si="97"/>
        <v>0.28999999999999915</v>
      </c>
      <c r="V532" s="7">
        <f t="shared" ca="1" si="98"/>
        <v>0</v>
      </c>
      <c r="W532" s="7">
        <f t="shared" ca="1" si="99"/>
        <v>28.71</v>
      </c>
      <c r="X532" s="5" t="str">
        <f t="shared" ca="1" si="107"/>
        <v>Tiktok</v>
      </c>
      <c r="Y532" s="78" t="str">
        <f>IF(COUNTIF($C$1:C531,B531)=1,10,"")</f>
        <v/>
      </c>
    </row>
    <row r="533" spans="1:25" x14ac:dyDescent="0.3">
      <c r="A533" s="76">
        <v>532</v>
      </c>
      <c r="B533" s="6">
        <v>46203</v>
      </c>
      <c r="C533" s="6">
        <v>46205</v>
      </c>
      <c r="D533" s="17" t="str">
        <f t="shared" si="100"/>
        <v>July</v>
      </c>
      <c r="E533" s="5" t="str">
        <f t="shared" ca="1" si="101"/>
        <v>STU-178</v>
      </c>
      <c r="F533" s="5" t="str">
        <f ca="1">IF(COUNTIF($E$2:E533,E533)=1,"New Customer","Returning Customer")</f>
        <v>New Customer</v>
      </c>
      <c r="G533" s="5" t="str">
        <f t="shared" ca="1" si="102"/>
        <v>Female</v>
      </c>
      <c r="H533" s="5" t="s">
        <v>137</v>
      </c>
      <c r="I533" s="5" t="str" cm="1">
        <f t="array" aca="1" ref="I533" ca="1">INDEX(Courses!$B$9:$B$16,RANDBETWEEN(1,8))</f>
        <v>Power BI</v>
      </c>
      <c r="J533" s="5" t="str">
        <f ca="1">VLOOKUP(I533,Courses!$B$9:$C$16,2,0)</f>
        <v>Data Analytics</v>
      </c>
      <c r="K533" s="7">
        <f ca="1">VLOOKUP(I533,Courses!$B$9:$D$16,3,0)</f>
        <v>59</v>
      </c>
      <c r="L533" s="5" t="str">
        <f t="shared" ca="1" si="103"/>
        <v>Pending</v>
      </c>
      <c r="M533" s="8" t="str" cm="1">
        <f t="array" aca="1" ref="M533" ca="1">INDEX('Payment Method'!$A$8:$A$12,RANDBETWEEN(1,5))</f>
        <v>Mastercard Debit</v>
      </c>
      <c r="N533" s="7">
        <f>IFERROR(SUMIF(Holiday!$A$8:$A$11,B533,Holiday!$C$8:$C$11),0)</f>
        <v>0</v>
      </c>
      <c r="O533" s="7">
        <f t="shared" ca="1" si="104"/>
        <v>59</v>
      </c>
      <c r="P533" s="19">
        <f t="shared" ca="1" si="105"/>
        <v>57.82</v>
      </c>
      <c r="Q533" s="7">
        <f t="shared" ca="1" si="106"/>
        <v>57.241799999999998</v>
      </c>
      <c r="R533" s="8">
        <f ca="1">VLOOKUP(M533,'Payment Method'!$A$8:$B$12,2,0)</f>
        <v>0.02</v>
      </c>
      <c r="S533" s="9">
        <f t="shared" ca="1" si="96"/>
        <v>1.1799999999999997</v>
      </c>
      <c r="T533" s="8">
        <v>0.01</v>
      </c>
      <c r="U533" s="9">
        <f t="shared" ca="1" si="97"/>
        <v>0.57820000000000249</v>
      </c>
      <c r="V533" s="7">
        <f t="shared" ca="1" si="98"/>
        <v>0</v>
      </c>
      <c r="W533" s="7">
        <f t="shared" ca="1" si="99"/>
        <v>0</v>
      </c>
      <c r="X533" s="5" t="str">
        <f t="shared" ca="1" si="107"/>
        <v>Tiktok</v>
      </c>
      <c r="Y533" s="78" t="str">
        <f>IF(COUNTIF($C$1:C532,B532)=1,10,"")</f>
        <v/>
      </c>
    </row>
    <row r="534" spans="1:25" x14ac:dyDescent="0.3">
      <c r="A534" s="75">
        <v>533</v>
      </c>
      <c r="B534" s="6">
        <v>46214</v>
      </c>
      <c r="C534" s="6">
        <v>46215</v>
      </c>
      <c r="D534" s="17" t="str">
        <f t="shared" si="100"/>
        <v>July</v>
      </c>
      <c r="E534" s="5" t="str">
        <f t="shared" ca="1" si="101"/>
        <v>STU-67</v>
      </c>
      <c r="F534" s="5" t="str">
        <f ca="1">IF(COUNTIF($E$2:E534,E534)=1,"New Customer","Returning Customer")</f>
        <v>New Customer</v>
      </c>
      <c r="G534" s="5" t="str">
        <f t="shared" ca="1" si="102"/>
        <v>Female</v>
      </c>
      <c r="H534" s="5" t="s">
        <v>140</v>
      </c>
      <c r="I534" s="5" t="str" cm="1">
        <f t="array" aca="1" ref="I534" ca="1">INDEX(Courses!$B$9:$B$16,RANDBETWEEN(1,8))</f>
        <v>Tax Code</v>
      </c>
      <c r="J534" s="5" t="str">
        <f ca="1">VLOOKUP(I534,Courses!$B$9:$C$16,2,0)</f>
        <v>Finance &amp; Taxation</v>
      </c>
      <c r="K534" s="7">
        <f ca="1">VLOOKUP(I534,Courses!$B$9:$D$16,3,0)</f>
        <v>59</v>
      </c>
      <c r="L534" s="5" t="str">
        <f t="shared" ca="1" si="103"/>
        <v>Paid</v>
      </c>
      <c r="M534" s="8" t="str" cm="1">
        <f t="array" aca="1" ref="M534" ca="1">INDEX('Payment Method'!$A$8:$A$12,RANDBETWEEN(1,5))</f>
        <v>Bank Transfer</v>
      </c>
      <c r="N534" s="7">
        <f>IFERROR(SUMIF(Holiday!$A$8:$A$11,B534,Holiday!$C$8:$C$11),0)</f>
        <v>0</v>
      </c>
      <c r="O534" s="7">
        <f t="shared" ca="1" si="104"/>
        <v>59</v>
      </c>
      <c r="P534" s="19">
        <f t="shared" ca="1" si="105"/>
        <v>59</v>
      </c>
      <c r="Q534" s="7">
        <f t="shared" ca="1" si="106"/>
        <v>0</v>
      </c>
      <c r="R534" s="8">
        <f ca="1">VLOOKUP(M534,'Payment Method'!$A$8:$B$12,2,0)</f>
        <v>0</v>
      </c>
      <c r="S534" s="9">
        <f t="shared" ca="1" si="96"/>
        <v>0</v>
      </c>
      <c r="T534" s="8">
        <v>0.01</v>
      </c>
      <c r="U534" s="9">
        <f t="shared" ca="1" si="97"/>
        <v>0.59000000000000341</v>
      </c>
      <c r="V534" s="7">
        <f t="shared" ca="1" si="98"/>
        <v>0</v>
      </c>
      <c r="W534" s="7">
        <f t="shared" ca="1" si="99"/>
        <v>58.41</v>
      </c>
      <c r="X534" s="5" t="str">
        <f t="shared" ca="1" si="107"/>
        <v>Facebook</v>
      </c>
      <c r="Y534" s="78" t="str">
        <f>IF(COUNTIF($C$1:C533,B533)=1,10,"")</f>
        <v/>
      </c>
    </row>
    <row r="535" spans="1:25" x14ac:dyDescent="0.3">
      <c r="A535" s="76">
        <v>534</v>
      </c>
      <c r="B535" s="6">
        <v>46090</v>
      </c>
      <c r="C535" s="6">
        <v>46092</v>
      </c>
      <c r="D535" s="17" t="str">
        <f t="shared" si="100"/>
        <v>March</v>
      </c>
      <c r="E535" s="5" t="str">
        <f t="shared" ca="1" si="101"/>
        <v>STU-623</v>
      </c>
      <c r="F535" s="5" t="str">
        <f ca="1">IF(COUNTIF($E$2:E535,E535)=1,"New Customer","Returning Customer")</f>
        <v>Returning Customer</v>
      </c>
      <c r="G535" s="5" t="str">
        <f t="shared" ca="1" si="102"/>
        <v>Female</v>
      </c>
      <c r="H535" s="5" t="s">
        <v>142</v>
      </c>
      <c r="I535" s="5" t="str" cm="1">
        <f t="array" aca="1" ref="I535" ca="1">INDEX(Courses!$B$9:$B$16,RANDBETWEEN(1,8))</f>
        <v>Tax Code</v>
      </c>
      <c r="J535" s="5" t="str">
        <f ca="1">VLOOKUP(I535,Courses!$B$9:$C$16,2,0)</f>
        <v>Finance &amp; Taxation</v>
      </c>
      <c r="K535" s="7">
        <f ca="1">VLOOKUP(I535,Courses!$B$9:$D$16,3,0)</f>
        <v>59</v>
      </c>
      <c r="L535" s="5" t="str">
        <f t="shared" ca="1" si="103"/>
        <v>Pending</v>
      </c>
      <c r="M535" s="8" t="str" cm="1">
        <f t="array" aca="1" ref="M535" ca="1">INDEX('Payment Method'!$A$8:$A$12,RANDBETWEEN(1,5))</f>
        <v>Mastercard Credit</v>
      </c>
      <c r="N535" s="7">
        <f>IFERROR(SUMIF(Holiday!$A$8:$A$11,B535,Holiday!$C$8:$C$11),0)</f>
        <v>0</v>
      </c>
      <c r="O535" s="7">
        <f t="shared" ca="1" si="104"/>
        <v>59</v>
      </c>
      <c r="P535" s="19">
        <f t="shared" ca="1" si="105"/>
        <v>56.935000000000002</v>
      </c>
      <c r="Q535" s="7">
        <f t="shared" ca="1" si="106"/>
        <v>56.365650000000002</v>
      </c>
      <c r="R535" s="8">
        <f ca="1">VLOOKUP(M535,'Payment Method'!$A$8:$B$12,2,0)</f>
        <v>3.5000000000000003E-2</v>
      </c>
      <c r="S535" s="9">
        <f t="shared" ca="1" si="96"/>
        <v>2.0649999999999977</v>
      </c>
      <c r="T535" s="8">
        <v>0.01</v>
      </c>
      <c r="U535" s="9">
        <f t="shared" ca="1" si="97"/>
        <v>0.56935000000000002</v>
      </c>
      <c r="V535" s="7">
        <f t="shared" ca="1" si="98"/>
        <v>0</v>
      </c>
      <c r="W535" s="7">
        <f t="shared" ca="1" si="99"/>
        <v>0</v>
      </c>
      <c r="X535" s="5" t="str">
        <f t="shared" ca="1" si="107"/>
        <v>Tiktok</v>
      </c>
      <c r="Y535" s="78">
        <f>IF(COUNTIF($C$1:C534,B534)=1,10,"")</f>
        <v>10</v>
      </c>
    </row>
    <row r="536" spans="1:25" x14ac:dyDescent="0.3">
      <c r="A536" s="75">
        <v>535</v>
      </c>
      <c r="B536" s="6">
        <v>46050</v>
      </c>
      <c r="C536" s="6">
        <v>46055</v>
      </c>
      <c r="D536" s="17" t="str">
        <f t="shared" si="100"/>
        <v>February</v>
      </c>
      <c r="E536" s="5" t="str">
        <f t="shared" ca="1" si="101"/>
        <v>STU-655</v>
      </c>
      <c r="F536" s="5" t="str">
        <f ca="1">IF(COUNTIF($E$2:E536,E536)=1,"New Customer","Returning Customer")</f>
        <v>New Customer</v>
      </c>
      <c r="G536" s="5" t="str">
        <f t="shared" ca="1" si="102"/>
        <v>Male</v>
      </c>
      <c r="H536" s="5" t="s">
        <v>142</v>
      </c>
      <c r="I536" s="5" t="str" cm="1">
        <f t="array" aca="1" ref="I536" ca="1">INDEX(Courses!$B$9:$B$16,RANDBETWEEN(1,8))</f>
        <v>Power BI</v>
      </c>
      <c r="J536" s="5" t="str">
        <f ca="1">VLOOKUP(I536,Courses!$B$9:$C$16,2,0)</f>
        <v>Data Analytics</v>
      </c>
      <c r="K536" s="7">
        <f ca="1">VLOOKUP(I536,Courses!$B$9:$D$16,3,0)</f>
        <v>59</v>
      </c>
      <c r="L536" s="5" t="str">
        <f t="shared" ca="1" si="103"/>
        <v>Paid</v>
      </c>
      <c r="M536" s="8" t="str" cm="1">
        <f t="array" aca="1" ref="M536" ca="1">INDEX('Payment Method'!$A$8:$A$12,RANDBETWEEN(1,5))</f>
        <v>Bank Transfer</v>
      </c>
      <c r="N536" s="7">
        <f>IFERROR(SUMIF(Holiday!$A$8:$A$11,B536,Holiday!$C$8:$C$11),0)</f>
        <v>0</v>
      </c>
      <c r="O536" s="7">
        <f t="shared" ca="1" si="104"/>
        <v>59</v>
      </c>
      <c r="P536" s="19">
        <f t="shared" ca="1" si="105"/>
        <v>59</v>
      </c>
      <c r="Q536" s="7">
        <f t="shared" ca="1" si="106"/>
        <v>0</v>
      </c>
      <c r="R536" s="8">
        <f ca="1">VLOOKUP(M536,'Payment Method'!$A$8:$B$12,2,0)</f>
        <v>0</v>
      </c>
      <c r="S536" s="9">
        <f t="shared" ca="1" si="96"/>
        <v>0</v>
      </c>
      <c r="T536" s="8">
        <v>0.01</v>
      </c>
      <c r="U536" s="9">
        <f t="shared" ca="1" si="97"/>
        <v>0.59000000000000341</v>
      </c>
      <c r="V536" s="7">
        <f t="shared" ca="1" si="98"/>
        <v>0</v>
      </c>
      <c r="W536" s="7">
        <f t="shared" ca="1" si="99"/>
        <v>58.41</v>
      </c>
      <c r="X536" s="5" t="str">
        <f t="shared" ca="1" si="107"/>
        <v>Tiktok</v>
      </c>
      <c r="Y536" s="78" t="str">
        <f>IF(COUNTIF($C$1:C535,B535)=1,10,"")</f>
        <v/>
      </c>
    </row>
    <row r="537" spans="1:25" x14ac:dyDescent="0.3">
      <c r="A537" s="76">
        <v>536</v>
      </c>
      <c r="B537" s="6">
        <v>46042</v>
      </c>
      <c r="C537" s="6">
        <v>46042</v>
      </c>
      <c r="D537" s="17" t="str">
        <f t="shared" si="100"/>
        <v>January</v>
      </c>
      <c r="E537" s="5" t="str">
        <f t="shared" ca="1" si="101"/>
        <v>STU-628</v>
      </c>
      <c r="F537" s="5" t="str">
        <f ca="1">IF(COUNTIF($E$2:E537,E537)=1,"New Customer","Returning Customer")</f>
        <v>Returning Customer</v>
      </c>
      <c r="G537" s="5" t="str">
        <f t="shared" ca="1" si="102"/>
        <v>Female</v>
      </c>
      <c r="H537" s="5" t="s">
        <v>141</v>
      </c>
      <c r="I537" s="5" t="str" cm="1">
        <f t="array" aca="1" ref="I537" ca="1">INDEX(Courses!$B$9:$B$16,RANDBETWEEN(1,8))</f>
        <v>Complete Excel Course</v>
      </c>
      <c r="J537" s="5" t="str">
        <f ca="1">VLOOKUP(I537,Courses!$B$9:$C$16,2,0)</f>
        <v>Microsoft Office</v>
      </c>
      <c r="K537" s="7">
        <f ca="1">VLOOKUP(I537,Courses!$B$9:$D$16,3,0)</f>
        <v>59</v>
      </c>
      <c r="L537" s="5" t="str">
        <f t="shared" ca="1" si="103"/>
        <v>Paid</v>
      </c>
      <c r="M537" s="8" t="str" cm="1">
        <f t="array" aca="1" ref="M537" ca="1">INDEX('Payment Method'!$A$8:$A$12,RANDBETWEEN(1,5))</f>
        <v>Bank Transfer</v>
      </c>
      <c r="N537" s="7">
        <f>IFERROR(SUMIF(Holiday!$A$8:$A$11,B537,Holiday!$C$8:$C$11),0)</f>
        <v>0</v>
      </c>
      <c r="O537" s="7">
        <f t="shared" ca="1" si="104"/>
        <v>59</v>
      </c>
      <c r="P537" s="19">
        <f t="shared" ca="1" si="105"/>
        <v>59</v>
      </c>
      <c r="Q537" s="7">
        <f t="shared" ca="1" si="106"/>
        <v>0</v>
      </c>
      <c r="R537" s="8">
        <f ca="1">VLOOKUP(M537,'Payment Method'!$A$8:$B$12,2,0)</f>
        <v>0</v>
      </c>
      <c r="S537" s="9">
        <f t="shared" ca="1" si="96"/>
        <v>0</v>
      </c>
      <c r="T537" s="8">
        <v>0.01</v>
      </c>
      <c r="U537" s="9">
        <f t="shared" ca="1" si="97"/>
        <v>0.59000000000000341</v>
      </c>
      <c r="V537" s="7">
        <f t="shared" ca="1" si="98"/>
        <v>0</v>
      </c>
      <c r="W537" s="7">
        <f t="shared" ca="1" si="99"/>
        <v>58.41</v>
      </c>
      <c r="X537" s="5" t="str">
        <f t="shared" ca="1" si="107"/>
        <v>Instagram</v>
      </c>
      <c r="Y537" s="78" t="str">
        <f>IF(COUNTIF($C$1:C536,B536)=1,10,"")</f>
        <v/>
      </c>
    </row>
    <row r="538" spans="1:25" x14ac:dyDescent="0.3">
      <c r="A538" s="75">
        <v>537</v>
      </c>
      <c r="B538" s="6">
        <v>46030</v>
      </c>
      <c r="C538" s="6">
        <v>46031</v>
      </c>
      <c r="D538" s="17" t="str">
        <f t="shared" si="100"/>
        <v>January</v>
      </c>
      <c r="E538" s="5" t="str">
        <f t="shared" ca="1" si="101"/>
        <v>STU-593</v>
      </c>
      <c r="F538" s="5" t="str">
        <f ca="1">IF(COUNTIF($E$2:E538,E538)=1,"New Customer","Returning Customer")</f>
        <v>Returning Customer</v>
      </c>
      <c r="G538" s="5" t="str">
        <f t="shared" ca="1" si="102"/>
        <v>Female</v>
      </c>
      <c r="H538" s="5" t="s">
        <v>142</v>
      </c>
      <c r="I538" s="5" t="str" cm="1">
        <f t="array" aca="1" ref="I538" ca="1">INDEX(Courses!$B$9:$B$16,RANDBETWEEN(1,8))</f>
        <v>Adolescent Psychology</v>
      </c>
      <c r="J538" s="5" t="str">
        <f ca="1">VLOOKUP(I538,Courses!$B$9:$C$16,2,0)</f>
        <v>Psychology</v>
      </c>
      <c r="K538" s="7">
        <f ca="1">VLOOKUP(I538,Courses!$B$9:$D$16,3,0)</f>
        <v>29</v>
      </c>
      <c r="L538" s="5" t="str">
        <f t="shared" ca="1" si="103"/>
        <v>Pending</v>
      </c>
      <c r="M538" s="8" t="str" cm="1">
        <f t="array" aca="1" ref="M538" ca="1">INDEX('Payment Method'!$A$8:$A$12,RANDBETWEEN(1,5))</f>
        <v>Mastercard Credit</v>
      </c>
      <c r="N538" s="7">
        <f>IFERROR(SUMIF(Holiday!$A$8:$A$11,B538,Holiday!$C$8:$C$11),0)</f>
        <v>0</v>
      </c>
      <c r="O538" s="7">
        <f t="shared" ca="1" si="104"/>
        <v>29</v>
      </c>
      <c r="P538" s="19">
        <f t="shared" ca="1" si="105"/>
        <v>27.984999999999999</v>
      </c>
      <c r="Q538" s="7">
        <f t="shared" ca="1" si="106"/>
        <v>27.70515</v>
      </c>
      <c r="R538" s="8">
        <f ca="1">VLOOKUP(M538,'Payment Method'!$A$8:$B$12,2,0)</f>
        <v>3.5000000000000003E-2</v>
      </c>
      <c r="S538" s="9">
        <f t="shared" ca="1" si="96"/>
        <v>1.0150000000000006</v>
      </c>
      <c r="T538" s="8">
        <v>0.01</v>
      </c>
      <c r="U538" s="9">
        <f t="shared" ca="1" si="97"/>
        <v>0.27984999999999971</v>
      </c>
      <c r="V538" s="7">
        <f t="shared" ca="1" si="98"/>
        <v>0</v>
      </c>
      <c r="W538" s="7">
        <f t="shared" ca="1" si="99"/>
        <v>0</v>
      </c>
      <c r="X538" s="5" t="str">
        <f t="shared" ca="1" si="107"/>
        <v>Instagram</v>
      </c>
      <c r="Y538" s="78" t="str">
        <f>IF(COUNTIF($C$1:C537,B537)=1,10,"")</f>
        <v/>
      </c>
    </row>
    <row r="539" spans="1:25" x14ac:dyDescent="0.3">
      <c r="A539" s="76">
        <v>538</v>
      </c>
      <c r="B539" s="6">
        <v>46174</v>
      </c>
      <c r="C539" s="6">
        <v>46176</v>
      </c>
      <c r="D539" s="17" t="str">
        <f t="shared" si="100"/>
        <v>June</v>
      </c>
      <c r="E539" s="5" t="str">
        <f t="shared" ca="1" si="101"/>
        <v>STU-954</v>
      </c>
      <c r="F539" s="5" t="str">
        <f ca="1">IF(COUNTIF($E$2:E539,E539)=1,"New Customer","Returning Customer")</f>
        <v>New Customer</v>
      </c>
      <c r="G539" s="5" t="str">
        <f t="shared" ca="1" si="102"/>
        <v>Not specified</v>
      </c>
      <c r="H539" s="5" t="s">
        <v>139</v>
      </c>
      <c r="I539" s="5" t="str" cm="1">
        <f t="array" aca="1" ref="I539" ca="1">INDEX(Courses!$B$9:$B$16,RANDBETWEEN(1,8))</f>
        <v>Microsoft Word</v>
      </c>
      <c r="J539" s="5" t="str">
        <f ca="1">VLOOKUP(I539,Courses!$B$9:$C$16,2,0)</f>
        <v>Microsoft Office</v>
      </c>
      <c r="K539" s="7">
        <f ca="1">VLOOKUP(I539,Courses!$B$9:$D$16,3,0)</f>
        <v>29</v>
      </c>
      <c r="L539" s="5" t="str">
        <f t="shared" ca="1" si="103"/>
        <v>Pending</v>
      </c>
      <c r="M539" s="8" t="str" cm="1">
        <f t="array" aca="1" ref="M539" ca="1">INDEX('Payment Method'!$A$8:$A$12,RANDBETWEEN(1,5))</f>
        <v>Mastercard Credit</v>
      </c>
      <c r="N539" s="7">
        <f>IFERROR(SUMIF(Holiday!$A$8:$A$11,B539,Holiday!$C$8:$C$11),0)</f>
        <v>0</v>
      </c>
      <c r="O539" s="7">
        <f t="shared" ca="1" si="104"/>
        <v>29</v>
      </c>
      <c r="P539" s="19">
        <f t="shared" ca="1" si="105"/>
        <v>27.984999999999999</v>
      </c>
      <c r="Q539" s="7">
        <f t="shared" ca="1" si="106"/>
        <v>27.70515</v>
      </c>
      <c r="R539" s="8">
        <f ca="1">VLOOKUP(M539,'Payment Method'!$A$8:$B$12,2,0)</f>
        <v>3.5000000000000003E-2</v>
      </c>
      <c r="S539" s="9">
        <f t="shared" ca="1" si="96"/>
        <v>1.0150000000000006</v>
      </c>
      <c r="T539" s="8">
        <v>0.01</v>
      </c>
      <c r="U539" s="9">
        <f t="shared" ca="1" si="97"/>
        <v>0.27984999999999971</v>
      </c>
      <c r="V539" s="7">
        <f t="shared" ca="1" si="98"/>
        <v>0</v>
      </c>
      <c r="W539" s="7">
        <f t="shared" ca="1" si="99"/>
        <v>0</v>
      </c>
      <c r="X539" s="5" t="str">
        <f t="shared" ca="1" si="107"/>
        <v>Facebook</v>
      </c>
      <c r="Y539" s="78" t="str">
        <f>IF(COUNTIF($C$1:C538,B538)=1,10,"")</f>
        <v/>
      </c>
    </row>
    <row r="540" spans="1:25" x14ac:dyDescent="0.3">
      <c r="A540" s="75">
        <v>539</v>
      </c>
      <c r="B540" s="6">
        <v>46213</v>
      </c>
      <c r="C540" s="6">
        <v>46216</v>
      </c>
      <c r="D540" s="17" t="str">
        <f t="shared" si="100"/>
        <v>July</v>
      </c>
      <c r="E540" s="5" t="str">
        <f t="shared" ca="1" si="101"/>
        <v>STU-724</v>
      </c>
      <c r="F540" s="5" t="str">
        <f ca="1">IF(COUNTIF($E$2:E540,E540)=1,"New Customer","Returning Customer")</f>
        <v>New Customer</v>
      </c>
      <c r="G540" s="5" t="str">
        <f t="shared" ca="1" si="102"/>
        <v>Female</v>
      </c>
      <c r="H540" s="5" t="s">
        <v>135</v>
      </c>
      <c r="I540" s="5" t="str" cm="1">
        <f t="array" aca="1" ref="I540" ca="1">INDEX(Courses!$B$9:$B$16,RANDBETWEEN(1,8))</f>
        <v>Microsoft Word</v>
      </c>
      <c r="J540" s="5" t="str">
        <f ca="1">VLOOKUP(I540,Courses!$B$9:$C$16,2,0)</f>
        <v>Microsoft Office</v>
      </c>
      <c r="K540" s="7">
        <f ca="1">VLOOKUP(I540,Courses!$B$9:$D$16,3,0)</f>
        <v>29</v>
      </c>
      <c r="L540" s="5" t="str">
        <f t="shared" ca="1" si="103"/>
        <v>Paid</v>
      </c>
      <c r="M540" s="8" t="str" cm="1">
        <f t="array" aca="1" ref="M540" ca="1">INDEX('Payment Method'!$A$8:$A$12,RANDBETWEEN(1,5))</f>
        <v>Bank Transfer</v>
      </c>
      <c r="N540" s="7">
        <f>IFERROR(SUMIF(Holiday!$A$8:$A$11,B540,Holiday!$C$8:$C$11),0)</f>
        <v>0</v>
      </c>
      <c r="O540" s="7">
        <f t="shared" ca="1" si="104"/>
        <v>29</v>
      </c>
      <c r="P540" s="19">
        <f t="shared" ca="1" si="105"/>
        <v>29</v>
      </c>
      <c r="Q540" s="7">
        <f t="shared" ca="1" si="106"/>
        <v>0</v>
      </c>
      <c r="R540" s="8">
        <f ca="1">VLOOKUP(M540,'Payment Method'!$A$8:$B$12,2,0)</f>
        <v>0</v>
      </c>
      <c r="S540" s="9">
        <f t="shared" ca="1" si="96"/>
        <v>0</v>
      </c>
      <c r="T540" s="8">
        <v>0.01</v>
      </c>
      <c r="U540" s="9">
        <f t="shared" ca="1" si="97"/>
        <v>0.28999999999999915</v>
      </c>
      <c r="V540" s="7">
        <f t="shared" ca="1" si="98"/>
        <v>0</v>
      </c>
      <c r="W540" s="7">
        <f t="shared" ca="1" si="99"/>
        <v>28.71</v>
      </c>
      <c r="X540" s="5" t="str">
        <f t="shared" ca="1" si="107"/>
        <v>Facebook</v>
      </c>
      <c r="Y540" s="78" t="str">
        <f>IF(COUNTIF($C$1:C539,B539)=1,10,"")</f>
        <v/>
      </c>
    </row>
    <row r="541" spans="1:25" x14ac:dyDescent="0.3">
      <c r="A541" s="76">
        <v>540</v>
      </c>
      <c r="B541" s="6">
        <v>46153</v>
      </c>
      <c r="C541" s="6">
        <v>46156</v>
      </c>
      <c r="D541" s="17" t="str">
        <f t="shared" si="100"/>
        <v>May</v>
      </c>
      <c r="E541" s="5" t="str">
        <f t="shared" ca="1" si="101"/>
        <v>STU-100</v>
      </c>
      <c r="F541" s="5" t="str">
        <f ca="1">IF(COUNTIF($E$2:E541,E541)=1,"New Customer","Returning Customer")</f>
        <v>Returning Customer</v>
      </c>
      <c r="G541" s="5" t="str">
        <f t="shared" ca="1" si="102"/>
        <v>Male</v>
      </c>
      <c r="H541" s="5" t="s">
        <v>137</v>
      </c>
      <c r="I541" s="5" t="str" cm="1">
        <f t="array" aca="1" ref="I541" ca="1">INDEX(Courses!$B$9:$B$16,RANDBETWEEN(1,8))</f>
        <v>Complete Excel Course</v>
      </c>
      <c r="J541" s="5" t="str">
        <f ca="1">VLOOKUP(I541,Courses!$B$9:$C$16,2,0)</f>
        <v>Microsoft Office</v>
      </c>
      <c r="K541" s="7">
        <f ca="1">VLOOKUP(I541,Courses!$B$9:$D$16,3,0)</f>
        <v>59</v>
      </c>
      <c r="L541" s="5" t="str">
        <f t="shared" ca="1" si="103"/>
        <v>Pending</v>
      </c>
      <c r="M541" s="8" t="str" cm="1">
        <f t="array" aca="1" ref="M541" ca="1">INDEX('Payment Method'!$A$8:$A$12,RANDBETWEEN(1,5))</f>
        <v>Bank Transfer</v>
      </c>
      <c r="N541" s="7">
        <f>IFERROR(SUMIF(Holiday!$A$8:$A$11,B541,Holiday!$C$8:$C$11),0)</f>
        <v>0</v>
      </c>
      <c r="O541" s="7">
        <f t="shared" ca="1" si="104"/>
        <v>59</v>
      </c>
      <c r="P541" s="19">
        <f t="shared" ca="1" si="105"/>
        <v>59</v>
      </c>
      <c r="Q541" s="7">
        <f t="shared" ca="1" si="106"/>
        <v>58.41</v>
      </c>
      <c r="R541" s="8">
        <f ca="1">VLOOKUP(M541,'Payment Method'!$A$8:$B$12,2,0)</f>
        <v>0</v>
      </c>
      <c r="S541" s="9">
        <f t="shared" ca="1" si="96"/>
        <v>0</v>
      </c>
      <c r="T541" s="8">
        <v>0.01</v>
      </c>
      <c r="U541" s="9">
        <f t="shared" ca="1" si="97"/>
        <v>0.59000000000000341</v>
      </c>
      <c r="V541" s="7">
        <f t="shared" ca="1" si="98"/>
        <v>0</v>
      </c>
      <c r="W541" s="7">
        <f t="shared" ca="1" si="99"/>
        <v>0</v>
      </c>
      <c r="X541" s="5" t="str">
        <f t="shared" ca="1" si="107"/>
        <v>Instagram</v>
      </c>
      <c r="Y541" s="78" t="str">
        <f>IF(COUNTIF($C$1:C540,B540)=1,10,"")</f>
        <v/>
      </c>
    </row>
    <row r="542" spans="1:25" x14ac:dyDescent="0.3">
      <c r="A542" s="75">
        <v>541</v>
      </c>
      <c r="B542" s="6">
        <v>46174</v>
      </c>
      <c r="C542" s="6">
        <v>46178</v>
      </c>
      <c r="D542" s="17" t="str">
        <f t="shared" si="100"/>
        <v>June</v>
      </c>
      <c r="E542" s="5" t="str">
        <f t="shared" ca="1" si="101"/>
        <v>STU-787</v>
      </c>
      <c r="F542" s="5" t="str">
        <f ca="1">IF(COUNTIF($E$2:E542,E542)=1,"New Customer","Returning Customer")</f>
        <v>New Customer</v>
      </c>
      <c r="G542" s="5" t="str">
        <f t="shared" ca="1" si="102"/>
        <v>Male</v>
      </c>
      <c r="H542" s="5" t="s">
        <v>142</v>
      </c>
      <c r="I542" s="5" t="str" cm="1">
        <f t="array" aca="1" ref="I542" ca="1">INDEX(Courses!$B$9:$B$16,RANDBETWEEN(1,8))</f>
        <v>SQL</v>
      </c>
      <c r="J542" s="5" t="str">
        <f ca="1">VLOOKUP(I542,Courses!$B$9:$C$16,2,0)</f>
        <v>Data Analytics</v>
      </c>
      <c r="K542" s="7">
        <f ca="1">VLOOKUP(I542,Courses!$B$9:$D$16,3,0)</f>
        <v>99</v>
      </c>
      <c r="L542" s="5" t="str">
        <f t="shared" ca="1" si="103"/>
        <v>Paid</v>
      </c>
      <c r="M542" s="8" t="str" cm="1">
        <f t="array" aca="1" ref="M542" ca="1">INDEX('Payment Method'!$A$8:$A$12,RANDBETWEEN(1,5))</f>
        <v>Mastercard Debit</v>
      </c>
      <c r="N542" s="7">
        <f>IFERROR(SUMIF(Holiday!$A$8:$A$11,B542,Holiday!$C$8:$C$11),0)</f>
        <v>0</v>
      </c>
      <c r="O542" s="7">
        <f t="shared" ca="1" si="104"/>
        <v>99</v>
      </c>
      <c r="P542" s="19">
        <f t="shared" ca="1" si="105"/>
        <v>97.02</v>
      </c>
      <c r="Q542" s="7">
        <f t="shared" ca="1" si="106"/>
        <v>0</v>
      </c>
      <c r="R542" s="8">
        <f ca="1">VLOOKUP(M542,'Payment Method'!$A$8:$B$12,2,0)</f>
        <v>0.02</v>
      </c>
      <c r="S542" s="9">
        <f t="shared" ca="1" si="96"/>
        <v>1.980000000000004</v>
      </c>
      <c r="T542" s="8">
        <v>0.01</v>
      </c>
      <c r="U542" s="9">
        <f t="shared" ca="1" si="97"/>
        <v>0.9702000000000055</v>
      </c>
      <c r="V542" s="7">
        <f t="shared" ca="1" si="98"/>
        <v>0</v>
      </c>
      <c r="W542" s="7">
        <f t="shared" ca="1" si="99"/>
        <v>96.049799999999991</v>
      </c>
      <c r="X542" s="5" t="str">
        <f t="shared" ca="1" si="107"/>
        <v>Instagram</v>
      </c>
      <c r="Y542" s="78" t="str">
        <f>IF(COUNTIF($C$1:C541,B541)=1,10,"")</f>
        <v/>
      </c>
    </row>
    <row r="543" spans="1:25" x14ac:dyDescent="0.3">
      <c r="A543" s="76">
        <v>542</v>
      </c>
      <c r="B543" s="6">
        <v>46213</v>
      </c>
      <c r="C543" s="6">
        <v>46214</v>
      </c>
      <c r="D543" s="17" t="str">
        <f t="shared" si="100"/>
        <v>July</v>
      </c>
      <c r="E543" s="5" t="str">
        <f t="shared" ca="1" si="101"/>
        <v>STU-589</v>
      </c>
      <c r="F543" s="5" t="str">
        <f ca="1">IF(COUNTIF($E$2:E543,E543)=1,"New Customer","Returning Customer")</f>
        <v>New Customer</v>
      </c>
      <c r="G543" s="5" t="str">
        <f t="shared" ca="1" si="102"/>
        <v>Female</v>
      </c>
      <c r="H543" s="5" t="s">
        <v>138</v>
      </c>
      <c r="I543" s="5" t="str" cm="1">
        <f t="array" aca="1" ref="I543" ca="1">INDEX(Courses!$B$9:$B$16,RANDBETWEEN(1,8))</f>
        <v>Adolescent Psychology</v>
      </c>
      <c r="J543" s="5" t="str">
        <f ca="1">VLOOKUP(I543,Courses!$B$9:$C$16,2,0)</f>
        <v>Psychology</v>
      </c>
      <c r="K543" s="7">
        <f ca="1">VLOOKUP(I543,Courses!$B$9:$D$16,3,0)</f>
        <v>29</v>
      </c>
      <c r="L543" s="5" t="str">
        <f t="shared" ca="1" si="103"/>
        <v>Paid</v>
      </c>
      <c r="M543" s="8" t="str" cm="1">
        <f t="array" aca="1" ref="M543" ca="1">INDEX('Payment Method'!$A$8:$A$12,RANDBETWEEN(1,5))</f>
        <v>Visa Credit</v>
      </c>
      <c r="N543" s="7">
        <f>IFERROR(SUMIF(Holiday!$A$8:$A$11,B543,Holiday!$C$8:$C$11),0)</f>
        <v>0</v>
      </c>
      <c r="O543" s="7">
        <f t="shared" ca="1" si="104"/>
        <v>29</v>
      </c>
      <c r="P543" s="19">
        <f t="shared" ca="1" si="105"/>
        <v>27.984999999999999</v>
      </c>
      <c r="Q543" s="7">
        <f t="shared" ca="1" si="106"/>
        <v>0</v>
      </c>
      <c r="R543" s="8">
        <f ca="1">VLOOKUP(M543,'Payment Method'!$A$8:$B$12,2,0)</f>
        <v>3.5000000000000003E-2</v>
      </c>
      <c r="S543" s="9">
        <f t="shared" ca="1" si="96"/>
        <v>1.0150000000000006</v>
      </c>
      <c r="T543" s="8">
        <v>0.01</v>
      </c>
      <c r="U543" s="9">
        <f t="shared" ca="1" si="97"/>
        <v>0.27984999999999971</v>
      </c>
      <c r="V543" s="7">
        <f t="shared" ca="1" si="98"/>
        <v>0</v>
      </c>
      <c r="W543" s="7">
        <f t="shared" ca="1" si="99"/>
        <v>27.70515</v>
      </c>
      <c r="X543" s="5" t="str">
        <f t="shared" ca="1" si="107"/>
        <v>Instagram</v>
      </c>
      <c r="Y543" s="78" t="str">
        <f>IF(COUNTIF($C$1:C542,B542)=1,10,"")</f>
        <v/>
      </c>
    </row>
    <row r="544" spans="1:25" x14ac:dyDescent="0.3">
      <c r="A544" s="75">
        <v>543</v>
      </c>
      <c r="B544" s="6">
        <v>46213</v>
      </c>
      <c r="C544" s="6">
        <v>46214</v>
      </c>
      <c r="D544" s="17" t="str">
        <f t="shared" si="100"/>
        <v>July</v>
      </c>
      <c r="E544" s="5" t="str">
        <f t="shared" ca="1" si="101"/>
        <v>STU-652</v>
      </c>
      <c r="F544" s="5" t="str">
        <f ca="1">IF(COUNTIF($E$2:E544,E544)=1,"New Customer","Returning Customer")</f>
        <v>New Customer</v>
      </c>
      <c r="G544" s="5" t="str">
        <f t="shared" ca="1" si="102"/>
        <v>Male</v>
      </c>
      <c r="H544" s="5" t="s">
        <v>135</v>
      </c>
      <c r="I544" s="5" t="str" cm="1">
        <f t="array" aca="1" ref="I544" ca="1">INDEX(Courses!$B$9:$B$16,RANDBETWEEN(1,8))</f>
        <v>Microsoft Word</v>
      </c>
      <c r="J544" s="5" t="str">
        <f ca="1">VLOOKUP(I544,Courses!$B$9:$C$16,2,0)</f>
        <v>Microsoft Office</v>
      </c>
      <c r="K544" s="7">
        <f ca="1">VLOOKUP(I544,Courses!$B$9:$D$16,3,0)</f>
        <v>29</v>
      </c>
      <c r="L544" s="5" t="str">
        <f t="shared" ca="1" si="103"/>
        <v>Paid</v>
      </c>
      <c r="M544" s="8" t="str" cm="1">
        <f t="array" aca="1" ref="M544" ca="1">INDEX('Payment Method'!$A$8:$A$12,RANDBETWEEN(1,5))</f>
        <v>Bank Transfer</v>
      </c>
      <c r="N544" s="7">
        <f>IFERROR(SUMIF(Holiday!$A$8:$A$11,B544,Holiday!$C$8:$C$11),0)</f>
        <v>0</v>
      </c>
      <c r="O544" s="7">
        <f t="shared" ca="1" si="104"/>
        <v>29</v>
      </c>
      <c r="P544" s="19">
        <f t="shared" ca="1" si="105"/>
        <v>29</v>
      </c>
      <c r="Q544" s="7">
        <f t="shared" ca="1" si="106"/>
        <v>0</v>
      </c>
      <c r="R544" s="8">
        <f ca="1">VLOOKUP(M544,'Payment Method'!$A$8:$B$12,2,0)</f>
        <v>0</v>
      </c>
      <c r="S544" s="9">
        <f t="shared" ca="1" si="96"/>
        <v>0</v>
      </c>
      <c r="T544" s="8">
        <v>0.01</v>
      </c>
      <c r="U544" s="9">
        <f t="shared" ca="1" si="97"/>
        <v>0.28999999999999915</v>
      </c>
      <c r="V544" s="7">
        <f t="shared" ca="1" si="98"/>
        <v>0</v>
      </c>
      <c r="W544" s="7">
        <f t="shared" ca="1" si="99"/>
        <v>28.71</v>
      </c>
      <c r="X544" s="5" t="str">
        <f t="shared" ca="1" si="107"/>
        <v>Tiktok</v>
      </c>
      <c r="Y544" s="78" t="str">
        <f>IF(COUNTIF($C$1:C543,B543)=1,10,"")</f>
        <v/>
      </c>
    </row>
    <row r="545" spans="1:25" x14ac:dyDescent="0.3">
      <c r="A545" s="76">
        <v>544</v>
      </c>
      <c r="B545" s="6">
        <v>46139</v>
      </c>
      <c r="C545" s="6">
        <v>46139</v>
      </c>
      <c r="D545" s="17" t="str">
        <f t="shared" si="100"/>
        <v>April</v>
      </c>
      <c r="E545" s="5" t="str">
        <f t="shared" ca="1" si="101"/>
        <v>STU-757</v>
      </c>
      <c r="F545" s="5" t="str">
        <f ca="1">IF(COUNTIF($E$2:E545,E545)=1,"New Customer","Returning Customer")</f>
        <v>New Customer</v>
      </c>
      <c r="G545" s="5" t="str">
        <f t="shared" ca="1" si="102"/>
        <v>Male</v>
      </c>
      <c r="H545" s="5" t="s">
        <v>141</v>
      </c>
      <c r="I545" s="5" t="str" cm="1">
        <f t="array" aca="1" ref="I545" ca="1">INDEX(Courses!$B$9:$B$16,RANDBETWEEN(1,8))</f>
        <v>Tax Code</v>
      </c>
      <c r="J545" s="5" t="str">
        <f ca="1">VLOOKUP(I545,Courses!$B$9:$C$16,2,0)</f>
        <v>Finance &amp; Taxation</v>
      </c>
      <c r="K545" s="7">
        <f ca="1">VLOOKUP(I545,Courses!$B$9:$D$16,3,0)</f>
        <v>59</v>
      </c>
      <c r="L545" s="5" t="str">
        <f t="shared" ca="1" si="103"/>
        <v>Pending</v>
      </c>
      <c r="M545" s="8" t="str" cm="1">
        <f t="array" aca="1" ref="M545" ca="1">INDEX('Payment Method'!$A$8:$A$12,RANDBETWEEN(1,5))</f>
        <v>Visa Credit</v>
      </c>
      <c r="N545" s="7">
        <f>IFERROR(SUMIF(Holiday!$A$8:$A$11,B545,Holiday!$C$8:$C$11),0)</f>
        <v>0</v>
      </c>
      <c r="O545" s="7">
        <f t="shared" ca="1" si="104"/>
        <v>59</v>
      </c>
      <c r="P545" s="19">
        <f t="shared" ca="1" si="105"/>
        <v>56.935000000000002</v>
      </c>
      <c r="Q545" s="7">
        <f t="shared" ca="1" si="106"/>
        <v>56.365650000000002</v>
      </c>
      <c r="R545" s="8">
        <f ca="1">VLOOKUP(M545,'Payment Method'!$A$8:$B$12,2,0)</f>
        <v>3.5000000000000003E-2</v>
      </c>
      <c r="S545" s="9">
        <f t="shared" ca="1" si="96"/>
        <v>2.0649999999999977</v>
      </c>
      <c r="T545" s="8">
        <v>0.01</v>
      </c>
      <c r="U545" s="9">
        <f t="shared" ca="1" si="97"/>
        <v>0.56935000000000002</v>
      </c>
      <c r="V545" s="7">
        <f t="shared" ca="1" si="98"/>
        <v>0</v>
      </c>
      <c r="W545" s="7">
        <f t="shared" ca="1" si="99"/>
        <v>0</v>
      </c>
      <c r="X545" s="5" t="str">
        <f t="shared" ca="1" si="107"/>
        <v>Tiktok</v>
      </c>
      <c r="Y545" s="78" t="str">
        <f>IF(COUNTIF($C$1:C544,B544)=1,10,"")</f>
        <v/>
      </c>
    </row>
    <row r="546" spans="1:25" x14ac:dyDescent="0.3">
      <c r="A546" s="75">
        <v>545</v>
      </c>
      <c r="B546" s="6">
        <v>46210</v>
      </c>
      <c r="C546" s="6">
        <v>46212</v>
      </c>
      <c r="D546" s="17" t="str">
        <f t="shared" si="100"/>
        <v>July</v>
      </c>
      <c r="E546" s="5" t="str">
        <f t="shared" ca="1" si="101"/>
        <v>STU-419</v>
      </c>
      <c r="F546" s="5" t="str">
        <f ca="1">IF(COUNTIF($E$2:E546,E546)=1,"New Customer","Returning Customer")</f>
        <v>Returning Customer</v>
      </c>
      <c r="G546" s="5" t="str">
        <f t="shared" ca="1" si="102"/>
        <v>Male</v>
      </c>
      <c r="H546" s="5" t="s">
        <v>138</v>
      </c>
      <c r="I546" s="5" t="str" cm="1">
        <f t="array" aca="1" ref="I546" ca="1">INDEX(Courses!$B$9:$B$16,RANDBETWEEN(1,8))</f>
        <v>SQL</v>
      </c>
      <c r="J546" s="5" t="str">
        <f ca="1">VLOOKUP(I546,Courses!$B$9:$C$16,2,0)</f>
        <v>Data Analytics</v>
      </c>
      <c r="K546" s="7">
        <f ca="1">VLOOKUP(I546,Courses!$B$9:$D$16,3,0)</f>
        <v>99</v>
      </c>
      <c r="L546" s="5" t="str">
        <f t="shared" ca="1" si="103"/>
        <v>Paid</v>
      </c>
      <c r="M546" s="8" t="str" cm="1">
        <f t="array" aca="1" ref="M546" ca="1">INDEX('Payment Method'!$A$8:$A$12,RANDBETWEEN(1,5))</f>
        <v>Visa Credit</v>
      </c>
      <c r="N546" s="7">
        <f>IFERROR(SUMIF(Holiday!$A$8:$A$11,B546,Holiday!$C$8:$C$11),0)</f>
        <v>0</v>
      </c>
      <c r="O546" s="7">
        <f t="shared" ca="1" si="104"/>
        <v>99</v>
      </c>
      <c r="P546" s="19">
        <f t="shared" ca="1" si="105"/>
        <v>95.534999999999997</v>
      </c>
      <c r="Q546" s="7">
        <f t="shared" ca="1" si="106"/>
        <v>0</v>
      </c>
      <c r="R546" s="8">
        <f ca="1">VLOOKUP(M546,'Payment Method'!$A$8:$B$12,2,0)</f>
        <v>3.5000000000000003E-2</v>
      </c>
      <c r="S546" s="9">
        <f t="shared" ca="1" si="96"/>
        <v>3.4650000000000034</v>
      </c>
      <c r="T546" s="8">
        <v>0.01</v>
      </c>
      <c r="U546" s="9">
        <f t="shared" ca="1" si="97"/>
        <v>0.9553499999999957</v>
      </c>
      <c r="V546" s="7">
        <f t="shared" ca="1" si="98"/>
        <v>0</v>
      </c>
      <c r="W546" s="7">
        <f t="shared" ca="1" si="99"/>
        <v>94.579650000000001</v>
      </c>
      <c r="X546" s="5" t="str">
        <f t="shared" ca="1" si="107"/>
        <v>Facebook</v>
      </c>
      <c r="Y546" s="78" t="str">
        <f>IF(COUNTIF($C$1:C545,B545)=1,10,"")</f>
        <v/>
      </c>
    </row>
    <row r="547" spans="1:25" x14ac:dyDescent="0.3">
      <c r="A547" s="76">
        <v>546</v>
      </c>
      <c r="B547" s="6">
        <v>46039</v>
      </c>
      <c r="C547" s="6">
        <v>46041</v>
      </c>
      <c r="D547" s="17" t="str">
        <f t="shared" si="100"/>
        <v>January</v>
      </c>
      <c r="E547" s="5" t="str">
        <f t="shared" ca="1" si="101"/>
        <v>STU-548</v>
      </c>
      <c r="F547" s="5" t="str">
        <f ca="1">IF(COUNTIF($E$2:E547,E547)=1,"New Customer","Returning Customer")</f>
        <v>Returning Customer</v>
      </c>
      <c r="G547" s="5" t="str">
        <f t="shared" ca="1" si="102"/>
        <v>Not specified</v>
      </c>
      <c r="H547" s="5" t="s">
        <v>142</v>
      </c>
      <c r="I547" s="5" t="str" cm="1">
        <f t="array" aca="1" ref="I547" ca="1">INDEX(Courses!$B$9:$B$16,RANDBETWEEN(1,8))</f>
        <v>PowerPoint</v>
      </c>
      <c r="J547" s="5" t="str">
        <f ca="1">VLOOKUP(I547,Courses!$B$9:$C$16,2,0)</f>
        <v>Microsoft Office</v>
      </c>
      <c r="K547" s="7">
        <f ca="1">VLOOKUP(I547,Courses!$B$9:$D$16,3,0)</f>
        <v>29</v>
      </c>
      <c r="L547" s="5" t="str">
        <f t="shared" ca="1" si="103"/>
        <v>Paid</v>
      </c>
      <c r="M547" s="8" t="str" cm="1">
        <f t="array" aca="1" ref="M547" ca="1">INDEX('Payment Method'!$A$8:$A$12,RANDBETWEEN(1,5))</f>
        <v>Mastercard Debit</v>
      </c>
      <c r="N547" s="7">
        <f>IFERROR(SUMIF(Holiday!$A$8:$A$11,B547,Holiday!$C$8:$C$11),0)</f>
        <v>0</v>
      </c>
      <c r="O547" s="7">
        <f t="shared" ca="1" si="104"/>
        <v>29</v>
      </c>
      <c r="P547" s="19">
        <f t="shared" ca="1" si="105"/>
        <v>28.42</v>
      </c>
      <c r="Q547" s="7">
        <f t="shared" ca="1" si="106"/>
        <v>0</v>
      </c>
      <c r="R547" s="8">
        <f ca="1">VLOOKUP(M547,'Payment Method'!$A$8:$B$12,2,0)</f>
        <v>0.02</v>
      </c>
      <c r="S547" s="9">
        <f t="shared" ca="1" si="96"/>
        <v>0.57999999999999829</v>
      </c>
      <c r="T547" s="8">
        <v>0.01</v>
      </c>
      <c r="U547" s="9">
        <f t="shared" ca="1" si="97"/>
        <v>0.28419999999999845</v>
      </c>
      <c r="V547" s="7">
        <f t="shared" ca="1" si="98"/>
        <v>0</v>
      </c>
      <c r="W547" s="7">
        <f t="shared" ca="1" si="99"/>
        <v>28.135800000000003</v>
      </c>
      <c r="X547" s="5" t="str">
        <f t="shared" ca="1" si="107"/>
        <v>Tiktok</v>
      </c>
      <c r="Y547" s="78" t="str">
        <f>IF(COUNTIF($C$1:C546,B546)=1,10,"")</f>
        <v/>
      </c>
    </row>
    <row r="548" spans="1:25" x14ac:dyDescent="0.3">
      <c r="A548" s="75">
        <v>547</v>
      </c>
      <c r="B548" s="6">
        <v>46062</v>
      </c>
      <c r="C548" s="6">
        <v>46063</v>
      </c>
      <c r="D548" s="17" t="str">
        <f t="shared" si="100"/>
        <v>February</v>
      </c>
      <c r="E548" s="5" t="str">
        <f t="shared" ca="1" si="101"/>
        <v>STU-403</v>
      </c>
      <c r="F548" s="5" t="str">
        <f ca="1">IF(COUNTIF($E$2:E548,E548)=1,"New Customer","Returning Customer")</f>
        <v>Returning Customer</v>
      </c>
      <c r="G548" s="5" t="str">
        <f t="shared" ca="1" si="102"/>
        <v>Not specified</v>
      </c>
      <c r="H548" s="5" t="s">
        <v>139</v>
      </c>
      <c r="I548" s="5" t="str" cm="1">
        <f t="array" aca="1" ref="I548" ca="1">INDEX(Courses!$B$9:$B$16,RANDBETWEEN(1,8))</f>
        <v>Complete Excel Course</v>
      </c>
      <c r="J548" s="5" t="str">
        <f ca="1">VLOOKUP(I548,Courses!$B$9:$C$16,2,0)</f>
        <v>Microsoft Office</v>
      </c>
      <c r="K548" s="7">
        <f ca="1">VLOOKUP(I548,Courses!$B$9:$D$16,3,0)</f>
        <v>59</v>
      </c>
      <c r="L548" s="5" t="str">
        <f t="shared" ca="1" si="103"/>
        <v>Pending</v>
      </c>
      <c r="M548" s="8" t="str" cm="1">
        <f t="array" aca="1" ref="M548" ca="1">INDEX('Payment Method'!$A$8:$A$12,RANDBETWEEN(1,5))</f>
        <v>Mastercard Debit</v>
      </c>
      <c r="N548" s="7">
        <f>IFERROR(SUMIF(Holiday!$A$8:$A$11,B548,Holiday!$C$8:$C$11),0)</f>
        <v>0</v>
      </c>
      <c r="O548" s="7">
        <f t="shared" ca="1" si="104"/>
        <v>59</v>
      </c>
      <c r="P548" s="19">
        <f t="shared" ca="1" si="105"/>
        <v>57.82</v>
      </c>
      <c r="Q548" s="7">
        <f t="shared" ca="1" si="106"/>
        <v>57.241799999999998</v>
      </c>
      <c r="R548" s="8">
        <f ca="1">VLOOKUP(M548,'Payment Method'!$A$8:$B$12,2,0)</f>
        <v>0.02</v>
      </c>
      <c r="S548" s="9">
        <f t="shared" ca="1" si="96"/>
        <v>1.1799999999999997</v>
      </c>
      <c r="T548" s="8">
        <v>0.01</v>
      </c>
      <c r="U548" s="9">
        <f t="shared" ca="1" si="97"/>
        <v>0.57820000000000249</v>
      </c>
      <c r="V548" s="7">
        <f t="shared" ca="1" si="98"/>
        <v>0</v>
      </c>
      <c r="W548" s="7">
        <f t="shared" ca="1" si="99"/>
        <v>0</v>
      </c>
      <c r="X548" s="5" t="str">
        <f t="shared" ca="1" si="107"/>
        <v>Instagram</v>
      </c>
      <c r="Y548" s="78" t="str">
        <f>IF(COUNTIF($C$1:C547,B547)=1,10,"")</f>
        <v/>
      </c>
    </row>
    <row r="549" spans="1:25" x14ac:dyDescent="0.3">
      <c r="A549" s="76">
        <v>548</v>
      </c>
      <c r="B549" s="6">
        <v>46109</v>
      </c>
      <c r="C549" s="6">
        <v>46112</v>
      </c>
      <c r="D549" s="17" t="str">
        <f t="shared" si="100"/>
        <v>March</v>
      </c>
      <c r="E549" s="5" t="str">
        <f t="shared" ca="1" si="101"/>
        <v>STU-971</v>
      </c>
      <c r="F549" s="5" t="str">
        <f ca="1">IF(COUNTIF($E$2:E549,E549)=1,"New Customer","Returning Customer")</f>
        <v>New Customer</v>
      </c>
      <c r="G549" s="5" t="str">
        <f t="shared" ca="1" si="102"/>
        <v>Male</v>
      </c>
      <c r="H549" s="5" t="s">
        <v>139</v>
      </c>
      <c r="I549" s="5" t="str" cm="1">
        <f t="array" aca="1" ref="I549" ca="1">INDEX(Courses!$B$9:$B$16,RANDBETWEEN(1,8))</f>
        <v>Power BI</v>
      </c>
      <c r="J549" s="5" t="str">
        <f ca="1">VLOOKUP(I549,Courses!$B$9:$C$16,2,0)</f>
        <v>Data Analytics</v>
      </c>
      <c r="K549" s="7">
        <f ca="1">VLOOKUP(I549,Courses!$B$9:$D$16,3,0)</f>
        <v>59</v>
      </c>
      <c r="L549" s="5" t="str">
        <f t="shared" ca="1" si="103"/>
        <v>Paid</v>
      </c>
      <c r="M549" s="8" t="str" cm="1">
        <f t="array" aca="1" ref="M549" ca="1">INDEX('Payment Method'!$A$8:$A$12,RANDBETWEEN(1,5))</f>
        <v>Visa Credit</v>
      </c>
      <c r="N549" s="7">
        <f>IFERROR(SUMIF(Holiday!$A$8:$A$11,B549,Holiday!$C$8:$C$11),0)</f>
        <v>0</v>
      </c>
      <c r="O549" s="7">
        <f t="shared" ca="1" si="104"/>
        <v>59</v>
      </c>
      <c r="P549" s="19">
        <f t="shared" ca="1" si="105"/>
        <v>56.935000000000002</v>
      </c>
      <c r="Q549" s="7">
        <f t="shared" ca="1" si="106"/>
        <v>0</v>
      </c>
      <c r="R549" s="8">
        <f ca="1">VLOOKUP(M549,'Payment Method'!$A$8:$B$12,2,0)</f>
        <v>3.5000000000000003E-2</v>
      </c>
      <c r="S549" s="9">
        <f t="shared" ca="1" si="96"/>
        <v>2.0649999999999977</v>
      </c>
      <c r="T549" s="8">
        <v>0.01</v>
      </c>
      <c r="U549" s="9">
        <f t="shared" ca="1" si="97"/>
        <v>0.56935000000000002</v>
      </c>
      <c r="V549" s="7">
        <f t="shared" ca="1" si="98"/>
        <v>0</v>
      </c>
      <c r="W549" s="7">
        <f t="shared" ca="1" si="99"/>
        <v>56.365650000000002</v>
      </c>
      <c r="X549" s="5" t="str">
        <f t="shared" ca="1" si="107"/>
        <v>Tiktok</v>
      </c>
      <c r="Y549" s="78" t="str">
        <f>IF(COUNTIF($C$1:C548,B548)=1,10,"")</f>
        <v/>
      </c>
    </row>
    <row r="550" spans="1:25" x14ac:dyDescent="0.3">
      <c r="A550" s="75">
        <v>549</v>
      </c>
      <c r="B550" s="6">
        <v>46230</v>
      </c>
      <c r="C550" s="6">
        <v>46232</v>
      </c>
      <c r="D550" s="17" t="str">
        <f t="shared" si="100"/>
        <v>July</v>
      </c>
      <c r="E550" s="5" t="str">
        <f t="shared" ca="1" si="101"/>
        <v>STU-956</v>
      </c>
      <c r="F550" s="5" t="str">
        <f ca="1">IF(COUNTIF($E$2:E550,E550)=1,"New Customer","Returning Customer")</f>
        <v>Returning Customer</v>
      </c>
      <c r="G550" s="5" t="str">
        <f t="shared" ca="1" si="102"/>
        <v>Male</v>
      </c>
      <c r="H550" s="5" t="s">
        <v>140</v>
      </c>
      <c r="I550" s="5" t="str" cm="1">
        <f t="array" aca="1" ref="I550" ca="1">INDEX(Courses!$B$9:$B$16,RANDBETWEEN(1,8))</f>
        <v>Power BI</v>
      </c>
      <c r="J550" s="5" t="str">
        <f ca="1">VLOOKUP(I550,Courses!$B$9:$C$16,2,0)</f>
        <v>Data Analytics</v>
      </c>
      <c r="K550" s="7">
        <f ca="1">VLOOKUP(I550,Courses!$B$9:$D$16,3,0)</f>
        <v>59</v>
      </c>
      <c r="L550" s="5" t="str">
        <f t="shared" ca="1" si="103"/>
        <v>Paid</v>
      </c>
      <c r="M550" s="8" t="str" cm="1">
        <f t="array" aca="1" ref="M550" ca="1">INDEX('Payment Method'!$A$8:$A$12,RANDBETWEEN(1,5))</f>
        <v>Mastercard Credit</v>
      </c>
      <c r="N550" s="7">
        <f>IFERROR(SUMIF(Holiday!$A$8:$A$11,B550,Holiday!$C$8:$C$11),0)</f>
        <v>0</v>
      </c>
      <c r="O550" s="7">
        <f t="shared" ca="1" si="104"/>
        <v>59</v>
      </c>
      <c r="P550" s="19">
        <f t="shared" ca="1" si="105"/>
        <v>56.935000000000002</v>
      </c>
      <c r="Q550" s="7">
        <f t="shared" ca="1" si="106"/>
        <v>0</v>
      </c>
      <c r="R550" s="8">
        <f ca="1">VLOOKUP(M550,'Payment Method'!$A$8:$B$12,2,0)</f>
        <v>3.5000000000000003E-2</v>
      </c>
      <c r="S550" s="9">
        <f t="shared" ca="1" si="96"/>
        <v>2.0649999999999977</v>
      </c>
      <c r="T550" s="8">
        <v>0.01</v>
      </c>
      <c r="U550" s="9">
        <f t="shared" ca="1" si="97"/>
        <v>0.56935000000000002</v>
      </c>
      <c r="V550" s="7">
        <f t="shared" ca="1" si="98"/>
        <v>0</v>
      </c>
      <c r="W550" s="7">
        <f t="shared" ca="1" si="99"/>
        <v>56.365650000000002</v>
      </c>
      <c r="X550" s="5" t="str">
        <f t="shared" ca="1" si="107"/>
        <v>Tiktok</v>
      </c>
      <c r="Y550" s="78" t="str">
        <f>IF(COUNTIF($C$1:C549,B549)=1,10,"")</f>
        <v/>
      </c>
    </row>
    <row r="551" spans="1:25" x14ac:dyDescent="0.3">
      <c r="A551" s="76">
        <v>550</v>
      </c>
      <c r="B551" s="6">
        <v>46166</v>
      </c>
      <c r="C551" s="6">
        <v>46166</v>
      </c>
      <c r="D551" s="17" t="str">
        <f t="shared" si="100"/>
        <v>May</v>
      </c>
      <c r="E551" s="5" t="str">
        <f t="shared" ca="1" si="101"/>
        <v>STU-775</v>
      </c>
      <c r="F551" s="5" t="str">
        <f ca="1">IF(COUNTIF($E$2:E551,E551)=1,"New Customer","Returning Customer")</f>
        <v>New Customer</v>
      </c>
      <c r="G551" s="5" t="str">
        <f t="shared" ca="1" si="102"/>
        <v>Male</v>
      </c>
      <c r="H551" s="5" t="s">
        <v>137</v>
      </c>
      <c r="I551" s="5" t="str" cm="1">
        <f t="array" aca="1" ref="I551" ca="1">INDEX(Courses!$B$9:$B$16,RANDBETWEEN(1,8))</f>
        <v>Complete Excel Course</v>
      </c>
      <c r="J551" s="5" t="str">
        <f ca="1">VLOOKUP(I551,Courses!$B$9:$C$16,2,0)</f>
        <v>Microsoft Office</v>
      </c>
      <c r="K551" s="7">
        <f ca="1">VLOOKUP(I551,Courses!$B$9:$D$16,3,0)</f>
        <v>59</v>
      </c>
      <c r="L551" s="5" t="str">
        <f t="shared" ca="1" si="103"/>
        <v>Paid</v>
      </c>
      <c r="M551" s="8" t="str" cm="1">
        <f t="array" aca="1" ref="M551" ca="1">INDEX('Payment Method'!$A$8:$A$12,RANDBETWEEN(1,5))</f>
        <v>Bank Transfer</v>
      </c>
      <c r="N551" s="7">
        <f>IFERROR(SUMIF(Holiday!$A$8:$A$11,B551,Holiday!$C$8:$C$11),0)</f>
        <v>0</v>
      </c>
      <c r="O551" s="7">
        <f t="shared" ca="1" si="104"/>
        <v>59</v>
      </c>
      <c r="P551" s="19">
        <f t="shared" ca="1" si="105"/>
        <v>59</v>
      </c>
      <c r="Q551" s="7">
        <f t="shared" ca="1" si="106"/>
        <v>0</v>
      </c>
      <c r="R551" s="8">
        <f ca="1">VLOOKUP(M551,'Payment Method'!$A$8:$B$12,2,0)</f>
        <v>0</v>
      </c>
      <c r="S551" s="9">
        <f t="shared" ca="1" si="96"/>
        <v>0</v>
      </c>
      <c r="T551" s="8">
        <v>0.01</v>
      </c>
      <c r="U551" s="9">
        <f t="shared" ca="1" si="97"/>
        <v>0.59000000000000341</v>
      </c>
      <c r="V551" s="7">
        <f t="shared" ca="1" si="98"/>
        <v>0</v>
      </c>
      <c r="W551" s="7">
        <f t="shared" ca="1" si="99"/>
        <v>58.41</v>
      </c>
      <c r="X551" s="5" t="str">
        <f t="shared" ca="1" si="107"/>
        <v>Instagram</v>
      </c>
      <c r="Y551" s="78" t="str">
        <f>IF(COUNTIF($C$1:C550,B550)=1,10,"")</f>
        <v/>
      </c>
    </row>
    <row r="552" spans="1:25" x14ac:dyDescent="0.3">
      <c r="A552" s="75">
        <v>551</v>
      </c>
      <c r="B552" s="6">
        <v>46209</v>
      </c>
      <c r="C552" s="6">
        <v>46210</v>
      </c>
      <c r="D552" s="17" t="str">
        <f t="shared" si="100"/>
        <v>July</v>
      </c>
      <c r="E552" s="5" t="str">
        <f t="shared" ca="1" si="101"/>
        <v>STU-467</v>
      </c>
      <c r="F552" s="5" t="str">
        <f ca="1">IF(COUNTIF($E$2:E552,E552)=1,"New Customer","Returning Customer")</f>
        <v>New Customer</v>
      </c>
      <c r="G552" s="5" t="str">
        <f t="shared" ca="1" si="102"/>
        <v>Male</v>
      </c>
      <c r="H552" s="5" t="s">
        <v>135</v>
      </c>
      <c r="I552" s="5" t="str" cm="1">
        <f t="array" aca="1" ref="I552" ca="1">INDEX(Courses!$B$9:$B$16,RANDBETWEEN(1,8))</f>
        <v>Microsoft Word</v>
      </c>
      <c r="J552" s="5" t="str">
        <f ca="1">VLOOKUP(I552,Courses!$B$9:$C$16,2,0)</f>
        <v>Microsoft Office</v>
      </c>
      <c r="K552" s="7">
        <f ca="1">VLOOKUP(I552,Courses!$B$9:$D$16,3,0)</f>
        <v>29</v>
      </c>
      <c r="L552" s="5" t="str">
        <f t="shared" ca="1" si="103"/>
        <v>Pending</v>
      </c>
      <c r="M552" s="8" t="str" cm="1">
        <f t="array" aca="1" ref="M552" ca="1">INDEX('Payment Method'!$A$8:$A$12,RANDBETWEEN(1,5))</f>
        <v>Bank Transfer</v>
      </c>
      <c r="N552" s="7">
        <f>IFERROR(SUMIF(Holiday!$A$8:$A$11,B552,Holiday!$C$8:$C$11),0)</f>
        <v>0</v>
      </c>
      <c r="O552" s="7">
        <f t="shared" ca="1" si="104"/>
        <v>29</v>
      </c>
      <c r="P552" s="19">
        <f t="shared" ca="1" si="105"/>
        <v>29</v>
      </c>
      <c r="Q552" s="7">
        <f t="shared" ca="1" si="106"/>
        <v>28.71</v>
      </c>
      <c r="R552" s="8">
        <f ca="1">VLOOKUP(M552,'Payment Method'!$A$8:$B$12,2,0)</f>
        <v>0</v>
      </c>
      <c r="S552" s="9">
        <f t="shared" ca="1" si="96"/>
        <v>0</v>
      </c>
      <c r="T552" s="8">
        <v>0.01</v>
      </c>
      <c r="U552" s="9">
        <f t="shared" ca="1" si="97"/>
        <v>0.28999999999999915</v>
      </c>
      <c r="V552" s="7">
        <f t="shared" ca="1" si="98"/>
        <v>0</v>
      </c>
      <c r="W552" s="7">
        <f t="shared" ca="1" si="99"/>
        <v>0</v>
      </c>
      <c r="X552" s="5" t="str">
        <f t="shared" ca="1" si="107"/>
        <v>Instagram</v>
      </c>
      <c r="Y552" s="78" t="str">
        <f>IF(COUNTIF($C$1:C551,B551)=1,10,"")</f>
        <v/>
      </c>
    </row>
    <row r="553" spans="1:25" x14ac:dyDescent="0.3">
      <c r="A553" s="76">
        <v>552</v>
      </c>
      <c r="B553" s="6">
        <v>46073</v>
      </c>
      <c r="C553" s="6">
        <v>46078</v>
      </c>
      <c r="D553" s="17" t="str">
        <f t="shared" si="100"/>
        <v>February</v>
      </c>
      <c r="E553" s="5" t="str">
        <f t="shared" ca="1" si="101"/>
        <v>STU-398</v>
      </c>
      <c r="F553" s="5" t="str">
        <f ca="1">IF(COUNTIF($E$2:E553,E553)=1,"New Customer","Returning Customer")</f>
        <v>Returning Customer</v>
      </c>
      <c r="G553" s="5" t="str">
        <f t="shared" ca="1" si="102"/>
        <v>Female</v>
      </c>
      <c r="H553" s="5" t="s">
        <v>140</v>
      </c>
      <c r="I553" s="5" t="str" cm="1">
        <f t="array" aca="1" ref="I553" ca="1">INDEX(Courses!$B$9:$B$16,RANDBETWEEN(1,8))</f>
        <v>Tax Code</v>
      </c>
      <c r="J553" s="5" t="str">
        <f ca="1">VLOOKUP(I553,Courses!$B$9:$C$16,2,0)</f>
        <v>Finance &amp; Taxation</v>
      </c>
      <c r="K553" s="7">
        <f ca="1">VLOOKUP(I553,Courses!$B$9:$D$16,3,0)</f>
        <v>59</v>
      </c>
      <c r="L553" s="5" t="str">
        <f t="shared" ca="1" si="103"/>
        <v>Paid</v>
      </c>
      <c r="M553" s="8" t="str" cm="1">
        <f t="array" aca="1" ref="M553" ca="1">INDEX('Payment Method'!$A$8:$A$12,RANDBETWEEN(1,5))</f>
        <v>Bank Transfer</v>
      </c>
      <c r="N553" s="7">
        <f>IFERROR(SUMIF(Holiday!$A$8:$A$11,B553,Holiday!$C$8:$C$11),0)</f>
        <v>0</v>
      </c>
      <c r="O553" s="7">
        <f t="shared" ca="1" si="104"/>
        <v>59</v>
      </c>
      <c r="P553" s="19">
        <f t="shared" ca="1" si="105"/>
        <v>59</v>
      </c>
      <c r="Q553" s="7">
        <f t="shared" ca="1" si="106"/>
        <v>0</v>
      </c>
      <c r="R553" s="8">
        <f ca="1">VLOOKUP(M553,'Payment Method'!$A$8:$B$12,2,0)</f>
        <v>0</v>
      </c>
      <c r="S553" s="9">
        <f t="shared" ca="1" si="96"/>
        <v>0</v>
      </c>
      <c r="T553" s="8">
        <v>0.01</v>
      </c>
      <c r="U553" s="9">
        <f t="shared" ca="1" si="97"/>
        <v>0.59000000000000341</v>
      </c>
      <c r="V553" s="7">
        <f t="shared" ca="1" si="98"/>
        <v>0</v>
      </c>
      <c r="W553" s="7">
        <f t="shared" ca="1" si="99"/>
        <v>58.41</v>
      </c>
      <c r="X553" s="5" t="str">
        <f t="shared" ca="1" si="107"/>
        <v>Facebook</v>
      </c>
      <c r="Y553" s="78">
        <f>IF(COUNTIF($C$1:C552,B552)=1,10,"")</f>
        <v>10</v>
      </c>
    </row>
    <row r="554" spans="1:25" x14ac:dyDescent="0.3">
      <c r="A554" s="75">
        <v>553</v>
      </c>
      <c r="B554" s="6">
        <v>46204</v>
      </c>
      <c r="C554" s="6">
        <v>46206</v>
      </c>
      <c r="D554" s="17" t="str">
        <f t="shared" si="100"/>
        <v>July</v>
      </c>
      <c r="E554" s="5" t="str">
        <f t="shared" ca="1" si="101"/>
        <v>STU-850</v>
      </c>
      <c r="F554" s="5" t="str">
        <f ca="1">IF(COUNTIF($E$2:E554,E554)=1,"New Customer","Returning Customer")</f>
        <v>Returning Customer</v>
      </c>
      <c r="G554" s="5" t="str">
        <f t="shared" ca="1" si="102"/>
        <v>Female</v>
      </c>
      <c r="H554" s="5" t="s">
        <v>139</v>
      </c>
      <c r="I554" s="5" t="str" cm="1">
        <f t="array" aca="1" ref="I554" ca="1">INDEX(Courses!$B$9:$B$16,RANDBETWEEN(1,8))</f>
        <v>Adolescent Psychology</v>
      </c>
      <c r="J554" s="5" t="str">
        <f ca="1">VLOOKUP(I554,Courses!$B$9:$C$16,2,0)</f>
        <v>Psychology</v>
      </c>
      <c r="K554" s="7">
        <f ca="1">VLOOKUP(I554,Courses!$B$9:$D$16,3,0)</f>
        <v>29</v>
      </c>
      <c r="L554" s="5" t="str">
        <f t="shared" ca="1" si="103"/>
        <v>Pending</v>
      </c>
      <c r="M554" s="8" t="str" cm="1">
        <f t="array" aca="1" ref="M554" ca="1">INDEX('Payment Method'!$A$8:$A$12,RANDBETWEEN(1,5))</f>
        <v>Visa Credit</v>
      </c>
      <c r="N554" s="7">
        <f>IFERROR(SUMIF(Holiday!$A$8:$A$11,B554,Holiday!$C$8:$C$11),0)</f>
        <v>0</v>
      </c>
      <c r="O554" s="7">
        <f t="shared" ca="1" si="104"/>
        <v>29</v>
      </c>
      <c r="P554" s="19">
        <f t="shared" ca="1" si="105"/>
        <v>27.984999999999999</v>
      </c>
      <c r="Q554" s="7">
        <f t="shared" ca="1" si="106"/>
        <v>27.70515</v>
      </c>
      <c r="R554" s="8">
        <f ca="1">VLOOKUP(M554,'Payment Method'!$A$8:$B$12,2,0)</f>
        <v>3.5000000000000003E-2</v>
      </c>
      <c r="S554" s="9">
        <f t="shared" ca="1" si="96"/>
        <v>1.0150000000000006</v>
      </c>
      <c r="T554" s="8">
        <v>0.01</v>
      </c>
      <c r="U554" s="9">
        <f t="shared" ca="1" si="97"/>
        <v>0.27984999999999971</v>
      </c>
      <c r="V554" s="7">
        <f t="shared" ca="1" si="98"/>
        <v>0</v>
      </c>
      <c r="W554" s="7">
        <f t="shared" ca="1" si="99"/>
        <v>0</v>
      </c>
      <c r="X554" s="5" t="str">
        <f t="shared" ca="1" si="107"/>
        <v>Instagram</v>
      </c>
      <c r="Y554" s="78" t="str">
        <f>IF(COUNTIF($C$1:C553,B553)=1,10,"")</f>
        <v/>
      </c>
    </row>
    <row r="555" spans="1:25" x14ac:dyDescent="0.3">
      <c r="A555" s="76">
        <v>554</v>
      </c>
      <c r="B555" s="6">
        <v>46147</v>
      </c>
      <c r="C555" s="6">
        <v>46152</v>
      </c>
      <c r="D555" s="17" t="str">
        <f t="shared" si="100"/>
        <v>May</v>
      </c>
      <c r="E555" s="5" t="str">
        <f t="shared" ca="1" si="101"/>
        <v>STU-770</v>
      </c>
      <c r="F555" s="5" t="str">
        <f ca="1">IF(COUNTIF($E$2:E555,E555)=1,"New Customer","Returning Customer")</f>
        <v>Returning Customer</v>
      </c>
      <c r="G555" s="5" t="str">
        <f t="shared" ca="1" si="102"/>
        <v>Female</v>
      </c>
      <c r="H555" s="5" t="s">
        <v>140</v>
      </c>
      <c r="I555" s="5" t="str" cm="1">
        <f t="array" aca="1" ref="I555" ca="1">INDEX(Courses!$B$9:$B$16,RANDBETWEEN(1,8))</f>
        <v>Excel Basics</v>
      </c>
      <c r="J555" s="5" t="str">
        <f ca="1">VLOOKUP(I555,Courses!$B$9:$C$16,2,0)</f>
        <v>Microsoft Office</v>
      </c>
      <c r="K555" s="7">
        <f ca="1">VLOOKUP(I555,Courses!$B$9:$D$16,3,0)</f>
        <v>29</v>
      </c>
      <c r="L555" s="5" t="str">
        <f t="shared" ca="1" si="103"/>
        <v>Paid</v>
      </c>
      <c r="M555" s="8" t="str" cm="1">
        <f t="array" aca="1" ref="M555" ca="1">INDEX('Payment Method'!$A$8:$A$12,RANDBETWEEN(1,5))</f>
        <v>Mastercard Credit</v>
      </c>
      <c r="N555" s="7">
        <f>IFERROR(SUMIF(Holiday!$A$8:$A$11,B555,Holiday!$C$8:$C$11),0)</f>
        <v>0</v>
      </c>
      <c r="O555" s="7">
        <f t="shared" ca="1" si="104"/>
        <v>29</v>
      </c>
      <c r="P555" s="19">
        <f t="shared" ca="1" si="105"/>
        <v>27.984999999999999</v>
      </c>
      <c r="Q555" s="7">
        <f t="shared" ca="1" si="106"/>
        <v>0</v>
      </c>
      <c r="R555" s="8">
        <f ca="1">VLOOKUP(M555,'Payment Method'!$A$8:$B$12,2,0)</f>
        <v>3.5000000000000003E-2</v>
      </c>
      <c r="S555" s="9">
        <f t="shared" ca="1" si="96"/>
        <v>1.0150000000000006</v>
      </c>
      <c r="T555" s="8">
        <v>0.01</v>
      </c>
      <c r="U555" s="9">
        <f t="shared" ca="1" si="97"/>
        <v>0.27984999999999971</v>
      </c>
      <c r="V555" s="7">
        <f t="shared" ca="1" si="98"/>
        <v>0</v>
      </c>
      <c r="W555" s="7">
        <f t="shared" ca="1" si="99"/>
        <v>27.70515</v>
      </c>
      <c r="X555" s="5" t="str">
        <f t="shared" ca="1" si="107"/>
        <v>Tiktok</v>
      </c>
      <c r="Y555" s="78" t="str">
        <f>IF(COUNTIF($C$1:C554,B554)=1,10,"")</f>
        <v/>
      </c>
    </row>
    <row r="556" spans="1:25" x14ac:dyDescent="0.3">
      <c r="A556" s="75">
        <v>555</v>
      </c>
      <c r="B556" s="6">
        <v>46196</v>
      </c>
      <c r="C556" s="6">
        <v>46200</v>
      </c>
      <c r="D556" s="17" t="str">
        <f t="shared" si="100"/>
        <v>June</v>
      </c>
      <c r="E556" s="5" t="str">
        <f t="shared" ca="1" si="101"/>
        <v>STU-519</v>
      </c>
      <c r="F556" s="5" t="str">
        <f ca="1">IF(COUNTIF($E$2:E556,E556)=1,"New Customer","Returning Customer")</f>
        <v>New Customer</v>
      </c>
      <c r="G556" s="5" t="str">
        <f t="shared" ca="1" si="102"/>
        <v>Not specified</v>
      </c>
      <c r="H556" s="5" t="s">
        <v>142</v>
      </c>
      <c r="I556" s="5" t="str" cm="1">
        <f t="array" aca="1" ref="I556" ca="1">INDEX(Courses!$B$9:$B$16,RANDBETWEEN(1,8))</f>
        <v>Microsoft Word</v>
      </c>
      <c r="J556" s="5" t="str">
        <f ca="1">VLOOKUP(I556,Courses!$B$9:$C$16,2,0)</f>
        <v>Microsoft Office</v>
      </c>
      <c r="K556" s="7">
        <f ca="1">VLOOKUP(I556,Courses!$B$9:$D$16,3,0)</f>
        <v>29</v>
      </c>
      <c r="L556" s="5" t="str">
        <f t="shared" ca="1" si="103"/>
        <v>Pending</v>
      </c>
      <c r="M556" s="8" t="str" cm="1">
        <f t="array" aca="1" ref="M556" ca="1">INDEX('Payment Method'!$A$8:$A$12,RANDBETWEEN(1,5))</f>
        <v>Visa Debit</v>
      </c>
      <c r="N556" s="7">
        <f>IFERROR(SUMIF(Holiday!$A$8:$A$11,B556,Holiday!$C$8:$C$11),0)</f>
        <v>0</v>
      </c>
      <c r="O556" s="7">
        <f t="shared" ca="1" si="104"/>
        <v>29</v>
      </c>
      <c r="P556" s="19">
        <f t="shared" ca="1" si="105"/>
        <v>28.42</v>
      </c>
      <c r="Q556" s="7">
        <f t="shared" ca="1" si="106"/>
        <v>28.135800000000003</v>
      </c>
      <c r="R556" s="8">
        <f ca="1">VLOOKUP(M556,'Payment Method'!$A$8:$B$12,2,0)</f>
        <v>0.02</v>
      </c>
      <c r="S556" s="9">
        <f t="shared" ca="1" si="96"/>
        <v>0.57999999999999829</v>
      </c>
      <c r="T556" s="8">
        <v>0.01</v>
      </c>
      <c r="U556" s="9">
        <f t="shared" ca="1" si="97"/>
        <v>0.28419999999999845</v>
      </c>
      <c r="V556" s="7">
        <f t="shared" ca="1" si="98"/>
        <v>0</v>
      </c>
      <c r="W556" s="7">
        <f t="shared" ca="1" si="99"/>
        <v>0</v>
      </c>
      <c r="X556" s="5" t="str">
        <f t="shared" ca="1" si="107"/>
        <v>Facebook</v>
      </c>
      <c r="Y556" s="78">
        <f>IF(COUNTIF($C$1:C555,B555)=1,10,"")</f>
        <v>10</v>
      </c>
    </row>
    <row r="557" spans="1:25" x14ac:dyDescent="0.3">
      <c r="A557" s="76">
        <v>556</v>
      </c>
      <c r="B557" s="6">
        <v>46124</v>
      </c>
      <c r="C557" s="6">
        <v>46125</v>
      </c>
      <c r="D557" s="17" t="str">
        <f t="shared" si="100"/>
        <v>April</v>
      </c>
      <c r="E557" s="5" t="str">
        <f t="shared" ca="1" si="101"/>
        <v>STU-386</v>
      </c>
      <c r="F557" s="5" t="str">
        <f ca="1">IF(COUNTIF($E$2:E557,E557)=1,"New Customer","Returning Customer")</f>
        <v>Returning Customer</v>
      </c>
      <c r="G557" s="5" t="str">
        <f t="shared" ca="1" si="102"/>
        <v>Female</v>
      </c>
      <c r="H557" s="5" t="s">
        <v>138</v>
      </c>
      <c r="I557" s="5" t="str" cm="1">
        <f t="array" aca="1" ref="I557" ca="1">INDEX(Courses!$B$9:$B$16,RANDBETWEEN(1,8))</f>
        <v>Complete Excel Course</v>
      </c>
      <c r="J557" s="5" t="str">
        <f ca="1">VLOOKUP(I557,Courses!$B$9:$C$16,2,0)</f>
        <v>Microsoft Office</v>
      </c>
      <c r="K557" s="7">
        <f ca="1">VLOOKUP(I557,Courses!$B$9:$D$16,3,0)</f>
        <v>59</v>
      </c>
      <c r="L557" s="5" t="str">
        <f t="shared" ca="1" si="103"/>
        <v>Pending</v>
      </c>
      <c r="M557" s="8" t="str" cm="1">
        <f t="array" aca="1" ref="M557" ca="1">INDEX('Payment Method'!$A$8:$A$12,RANDBETWEEN(1,5))</f>
        <v>Visa Debit</v>
      </c>
      <c r="N557" s="7">
        <f>IFERROR(SUMIF(Holiday!$A$8:$A$11,B557,Holiday!$C$8:$C$11),0)</f>
        <v>0</v>
      </c>
      <c r="O557" s="7">
        <f t="shared" ca="1" si="104"/>
        <v>59</v>
      </c>
      <c r="P557" s="19">
        <f t="shared" ca="1" si="105"/>
        <v>57.82</v>
      </c>
      <c r="Q557" s="7">
        <f t="shared" ca="1" si="106"/>
        <v>57.241799999999998</v>
      </c>
      <c r="R557" s="8">
        <f ca="1">VLOOKUP(M557,'Payment Method'!$A$8:$B$12,2,0)</f>
        <v>0.02</v>
      </c>
      <c r="S557" s="9">
        <f t="shared" ca="1" si="96"/>
        <v>1.1799999999999997</v>
      </c>
      <c r="T557" s="8">
        <v>0.01</v>
      </c>
      <c r="U557" s="9">
        <f t="shared" ca="1" si="97"/>
        <v>0.57820000000000249</v>
      </c>
      <c r="V557" s="7">
        <f t="shared" ca="1" si="98"/>
        <v>0</v>
      </c>
      <c r="W557" s="7">
        <f t="shared" ca="1" si="99"/>
        <v>0</v>
      </c>
      <c r="X557" s="5" t="str">
        <f t="shared" ca="1" si="107"/>
        <v>Tiktok</v>
      </c>
      <c r="Y557" s="78" t="str">
        <f>IF(COUNTIF($C$1:C556,B556)=1,10,"")</f>
        <v/>
      </c>
    </row>
    <row r="558" spans="1:25" x14ac:dyDescent="0.3">
      <c r="A558" s="75">
        <v>557</v>
      </c>
      <c r="B558" s="6">
        <v>46072</v>
      </c>
      <c r="C558" s="6">
        <v>46074</v>
      </c>
      <c r="D558" s="17" t="str">
        <f t="shared" si="100"/>
        <v>February</v>
      </c>
      <c r="E558" s="5" t="str">
        <f t="shared" ca="1" si="101"/>
        <v>STU-813</v>
      </c>
      <c r="F558" s="5" t="str">
        <f ca="1">IF(COUNTIF($E$2:E558,E558)=1,"New Customer","Returning Customer")</f>
        <v>New Customer</v>
      </c>
      <c r="G558" s="5" t="str">
        <f t="shared" ca="1" si="102"/>
        <v>Not specified</v>
      </c>
      <c r="H558" s="5" t="s">
        <v>140</v>
      </c>
      <c r="I558" s="5" t="str" cm="1">
        <f t="array" aca="1" ref="I558" ca="1">INDEX(Courses!$B$9:$B$16,RANDBETWEEN(1,8))</f>
        <v>Tax Code</v>
      </c>
      <c r="J558" s="5" t="str">
        <f ca="1">VLOOKUP(I558,Courses!$B$9:$C$16,2,0)</f>
        <v>Finance &amp; Taxation</v>
      </c>
      <c r="K558" s="7">
        <f ca="1">VLOOKUP(I558,Courses!$B$9:$D$16,3,0)</f>
        <v>59</v>
      </c>
      <c r="L558" s="5" t="str">
        <f t="shared" ca="1" si="103"/>
        <v>Paid</v>
      </c>
      <c r="M558" s="8" t="str" cm="1">
        <f t="array" aca="1" ref="M558" ca="1">INDEX('Payment Method'!$A$8:$A$12,RANDBETWEEN(1,5))</f>
        <v>Mastercard Credit</v>
      </c>
      <c r="N558" s="7">
        <f>IFERROR(SUMIF(Holiday!$A$8:$A$11,B558,Holiday!$C$8:$C$11),0)</f>
        <v>0</v>
      </c>
      <c r="O558" s="7">
        <f t="shared" ca="1" si="104"/>
        <v>59</v>
      </c>
      <c r="P558" s="19">
        <f t="shared" ca="1" si="105"/>
        <v>56.935000000000002</v>
      </c>
      <c r="Q558" s="7">
        <f t="shared" ca="1" si="106"/>
        <v>0</v>
      </c>
      <c r="R558" s="8">
        <f ca="1">VLOOKUP(M558,'Payment Method'!$A$8:$B$12,2,0)</f>
        <v>3.5000000000000003E-2</v>
      </c>
      <c r="S558" s="9">
        <f t="shared" ca="1" si="96"/>
        <v>2.0649999999999977</v>
      </c>
      <c r="T558" s="8">
        <v>0.01</v>
      </c>
      <c r="U558" s="9">
        <f t="shared" ca="1" si="97"/>
        <v>0.56935000000000002</v>
      </c>
      <c r="V558" s="7">
        <f t="shared" ca="1" si="98"/>
        <v>0</v>
      </c>
      <c r="W558" s="7">
        <f t="shared" ca="1" si="99"/>
        <v>56.365650000000002</v>
      </c>
      <c r="X558" s="5" t="str">
        <f t="shared" ca="1" si="107"/>
        <v>Tiktok</v>
      </c>
      <c r="Y558" s="78">
        <f>IF(COUNTIF($C$1:C557,B557)=1,10,"")</f>
        <v>10</v>
      </c>
    </row>
    <row r="559" spans="1:25" x14ac:dyDescent="0.3">
      <c r="A559" s="76">
        <v>558</v>
      </c>
      <c r="B559" s="6">
        <v>46138</v>
      </c>
      <c r="C559" s="6">
        <v>46141</v>
      </c>
      <c r="D559" s="17" t="str">
        <f t="shared" si="100"/>
        <v>April</v>
      </c>
      <c r="E559" s="5" t="str">
        <f t="shared" ca="1" si="101"/>
        <v>STU-967</v>
      </c>
      <c r="F559" s="5" t="str">
        <f ca="1">IF(COUNTIF($E$2:E559,E559)=1,"New Customer","Returning Customer")</f>
        <v>New Customer</v>
      </c>
      <c r="G559" s="5" t="str">
        <f t="shared" ca="1" si="102"/>
        <v>Not specified</v>
      </c>
      <c r="H559" s="5" t="s">
        <v>135</v>
      </c>
      <c r="I559" s="5" t="str" cm="1">
        <f t="array" aca="1" ref="I559" ca="1">INDEX(Courses!$B$9:$B$16,RANDBETWEEN(1,8))</f>
        <v>Tax Code</v>
      </c>
      <c r="J559" s="5" t="str">
        <f ca="1">VLOOKUP(I559,Courses!$B$9:$C$16,2,0)</f>
        <v>Finance &amp; Taxation</v>
      </c>
      <c r="K559" s="7">
        <f ca="1">VLOOKUP(I559,Courses!$B$9:$D$16,3,0)</f>
        <v>59</v>
      </c>
      <c r="L559" s="5" t="str">
        <f t="shared" ca="1" si="103"/>
        <v>Paid</v>
      </c>
      <c r="M559" s="8" t="str" cm="1">
        <f t="array" aca="1" ref="M559" ca="1">INDEX('Payment Method'!$A$8:$A$12,RANDBETWEEN(1,5))</f>
        <v>Mastercard Debit</v>
      </c>
      <c r="N559" s="7">
        <f>IFERROR(SUMIF(Holiday!$A$8:$A$11,B559,Holiday!$C$8:$C$11),0)</f>
        <v>0</v>
      </c>
      <c r="O559" s="7">
        <f t="shared" ca="1" si="104"/>
        <v>59</v>
      </c>
      <c r="P559" s="19">
        <f t="shared" ca="1" si="105"/>
        <v>57.82</v>
      </c>
      <c r="Q559" s="7">
        <f t="shared" ca="1" si="106"/>
        <v>0</v>
      </c>
      <c r="R559" s="8">
        <f ca="1">VLOOKUP(M559,'Payment Method'!$A$8:$B$12,2,0)</f>
        <v>0.02</v>
      </c>
      <c r="S559" s="9">
        <f t="shared" ca="1" si="96"/>
        <v>1.1799999999999997</v>
      </c>
      <c r="T559" s="8">
        <v>0.01</v>
      </c>
      <c r="U559" s="9">
        <f t="shared" ca="1" si="97"/>
        <v>0.57820000000000249</v>
      </c>
      <c r="V559" s="7">
        <f t="shared" ca="1" si="98"/>
        <v>0</v>
      </c>
      <c r="W559" s="7">
        <f t="shared" ca="1" si="99"/>
        <v>57.241799999999998</v>
      </c>
      <c r="X559" s="5" t="str">
        <f t="shared" ca="1" si="107"/>
        <v>Instagram</v>
      </c>
      <c r="Y559" s="78">
        <f>IF(COUNTIF($C$1:C558,B558)=1,10,"")</f>
        <v>10</v>
      </c>
    </row>
    <row r="560" spans="1:25" x14ac:dyDescent="0.3">
      <c r="A560" s="75">
        <v>559</v>
      </c>
      <c r="B560" s="6">
        <v>46220</v>
      </c>
      <c r="C560" s="6">
        <v>46224</v>
      </c>
      <c r="D560" s="17" t="str">
        <f t="shared" si="100"/>
        <v>July</v>
      </c>
      <c r="E560" s="5" t="str">
        <f t="shared" ca="1" si="101"/>
        <v>STU-141</v>
      </c>
      <c r="F560" s="5" t="str">
        <f ca="1">IF(COUNTIF($E$2:E560,E560)=1,"New Customer","Returning Customer")</f>
        <v>Returning Customer</v>
      </c>
      <c r="G560" s="5" t="str">
        <f t="shared" ca="1" si="102"/>
        <v>Male</v>
      </c>
      <c r="H560" s="5" t="s">
        <v>142</v>
      </c>
      <c r="I560" s="5" t="str" cm="1">
        <f t="array" aca="1" ref="I560" ca="1">INDEX(Courses!$B$9:$B$16,RANDBETWEEN(1,8))</f>
        <v>Tax Code</v>
      </c>
      <c r="J560" s="5" t="str">
        <f ca="1">VLOOKUP(I560,Courses!$B$9:$C$16,2,0)</f>
        <v>Finance &amp; Taxation</v>
      </c>
      <c r="K560" s="7">
        <f ca="1">VLOOKUP(I560,Courses!$B$9:$D$16,3,0)</f>
        <v>59</v>
      </c>
      <c r="L560" s="5" t="str">
        <f t="shared" ca="1" si="103"/>
        <v>Pending</v>
      </c>
      <c r="M560" s="8" t="str" cm="1">
        <f t="array" aca="1" ref="M560" ca="1">INDEX('Payment Method'!$A$8:$A$12,RANDBETWEEN(1,5))</f>
        <v>Visa Debit</v>
      </c>
      <c r="N560" s="7">
        <f>IFERROR(SUMIF(Holiday!$A$8:$A$11,B560,Holiday!$C$8:$C$11),0)</f>
        <v>0</v>
      </c>
      <c r="O560" s="7">
        <f t="shared" ca="1" si="104"/>
        <v>59</v>
      </c>
      <c r="P560" s="19">
        <f t="shared" ca="1" si="105"/>
        <v>57.82</v>
      </c>
      <c r="Q560" s="7">
        <f t="shared" ca="1" si="106"/>
        <v>57.241799999999998</v>
      </c>
      <c r="R560" s="8">
        <f ca="1">VLOOKUP(M560,'Payment Method'!$A$8:$B$12,2,0)</f>
        <v>0.02</v>
      </c>
      <c r="S560" s="9">
        <f t="shared" ca="1" si="96"/>
        <v>1.1799999999999997</v>
      </c>
      <c r="T560" s="8">
        <v>0.01</v>
      </c>
      <c r="U560" s="9">
        <f t="shared" ca="1" si="97"/>
        <v>0.57820000000000249</v>
      </c>
      <c r="V560" s="7">
        <f t="shared" ca="1" si="98"/>
        <v>0</v>
      </c>
      <c r="W560" s="7">
        <f t="shared" ca="1" si="99"/>
        <v>0</v>
      </c>
      <c r="X560" s="5" t="str">
        <f t="shared" ca="1" si="107"/>
        <v>Instagram</v>
      </c>
      <c r="Y560" s="78" t="str">
        <f>IF(COUNTIF($C$1:C559,B559)=1,10,"")</f>
        <v/>
      </c>
    </row>
    <row r="561" spans="1:25" x14ac:dyDescent="0.3">
      <c r="A561" s="76">
        <v>560</v>
      </c>
      <c r="B561" s="6">
        <v>46119</v>
      </c>
      <c r="C561" s="6">
        <v>46123</v>
      </c>
      <c r="D561" s="17" t="str">
        <f t="shared" si="100"/>
        <v>April</v>
      </c>
      <c r="E561" s="5" t="str">
        <f t="shared" ca="1" si="101"/>
        <v>STU-903</v>
      </c>
      <c r="F561" s="5" t="str">
        <f ca="1">IF(COUNTIF($E$2:E561,E561)=1,"New Customer","Returning Customer")</f>
        <v>New Customer</v>
      </c>
      <c r="G561" s="5" t="str">
        <f t="shared" ca="1" si="102"/>
        <v>Not specified</v>
      </c>
      <c r="H561" s="5" t="s">
        <v>138</v>
      </c>
      <c r="I561" s="5" t="str" cm="1">
        <f t="array" aca="1" ref="I561" ca="1">INDEX(Courses!$B$9:$B$16,RANDBETWEEN(1,8))</f>
        <v>PowerPoint</v>
      </c>
      <c r="J561" s="5" t="str">
        <f ca="1">VLOOKUP(I561,Courses!$B$9:$C$16,2,0)</f>
        <v>Microsoft Office</v>
      </c>
      <c r="K561" s="7">
        <f ca="1">VLOOKUP(I561,Courses!$B$9:$D$16,3,0)</f>
        <v>29</v>
      </c>
      <c r="L561" s="5" t="str">
        <f t="shared" ca="1" si="103"/>
        <v>Pending</v>
      </c>
      <c r="M561" s="8" t="str" cm="1">
        <f t="array" aca="1" ref="M561" ca="1">INDEX('Payment Method'!$A$8:$A$12,RANDBETWEEN(1,5))</f>
        <v>Mastercard Debit</v>
      </c>
      <c r="N561" s="7">
        <f>IFERROR(SUMIF(Holiday!$A$8:$A$11,B561,Holiday!$C$8:$C$11),0)</f>
        <v>0</v>
      </c>
      <c r="O561" s="7">
        <f t="shared" ca="1" si="104"/>
        <v>29</v>
      </c>
      <c r="P561" s="19">
        <f t="shared" ca="1" si="105"/>
        <v>28.42</v>
      </c>
      <c r="Q561" s="7">
        <f t="shared" ca="1" si="106"/>
        <v>28.135800000000003</v>
      </c>
      <c r="R561" s="8">
        <f ca="1">VLOOKUP(M561,'Payment Method'!$A$8:$B$12,2,0)</f>
        <v>0.02</v>
      </c>
      <c r="S561" s="9">
        <f t="shared" ca="1" si="96"/>
        <v>0.57999999999999829</v>
      </c>
      <c r="T561" s="8">
        <v>0.01</v>
      </c>
      <c r="U561" s="9">
        <f t="shared" ca="1" si="97"/>
        <v>0.28419999999999845</v>
      </c>
      <c r="V561" s="7">
        <f t="shared" ca="1" si="98"/>
        <v>0</v>
      </c>
      <c r="W561" s="7">
        <f t="shared" ca="1" si="99"/>
        <v>0</v>
      </c>
      <c r="X561" s="5" t="str">
        <f t="shared" ca="1" si="107"/>
        <v>Tiktok</v>
      </c>
      <c r="Y561" s="78" t="str">
        <f>IF(COUNTIF($C$1:C560,B560)=1,10,"")</f>
        <v/>
      </c>
    </row>
    <row r="562" spans="1:25" x14ac:dyDescent="0.3">
      <c r="A562" s="75">
        <v>561</v>
      </c>
      <c r="B562" s="6">
        <v>46065</v>
      </c>
      <c r="C562" s="6">
        <v>46067</v>
      </c>
      <c r="D562" s="17" t="str">
        <f t="shared" si="100"/>
        <v>February</v>
      </c>
      <c r="E562" s="5" t="str">
        <f t="shared" ca="1" si="101"/>
        <v>STU-447</v>
      </c>
      <c r="F562" s="5" t="str">
        <f ca="1">IF(COUNTIF($E$2:E562,E562)=1,"New Customer","Returning Customer")</f>
        <v>New Customer</v>
      </c>
      <c r="G562" s="5" t="str">
        <f t="shared" ca="1" si="102"/>
        <v>Not specified</v>
      </c>
      <c r="H562" s="5" t="s">
        <v>139</v>
      </c>
      <c r="I562" s="5" t="str" cm="1">
        <f t="array" aca="1" ref="I562" ca="1">INDEX(Courses!$B$9:$B$16,RANDBETWEEN(1,8))</f>
        <v>Tax Code</v>
      </c>
      <c r="J562" s="5" t="str">
        <f ca="1">VLOOKUP(I562,Courses!$B$9:$C$16,2,0)</f>
        <v>Finance &amp; Taxation</v>
      </c>
      <c r="K562" s="7">
        <f ca="1">VLOOKUP(I562,Courses!$B$9:$D$16,3,0)</f>
        <v>59</v>
      </c>
      <c r="L562" s="5" t="str">
        <f t="shared" ca="1" si="103"/>
        <v>Refunded</v>
      </c>
      <c r="M562" s="8" t="str" cm="1">
        <f t="array" aca="1" ref="M562" ca="1">INDEX('Payment Method'!$A$8:$A$12,RANDBETWEEN(1,5))</f>
        <v>Visa Credit</v>
      </c>
      <c r="N562" s="7">
        <f>IFERROR(SUMIF(Holiday!$A$8:$A$11,B562,Holiday!$C$8:$C$11),0)</f>
        <v>0</v>
      </c>
      <c r="O562" s="7">
        <f t="shared" ca="1" si="104"/>
        <v>59</v>
      </c>
      <c r="P562" s="19">
        <f t="shared" ca="1" si="105"/>
        <v>56.935000000000002</v>
      </c>
      <c r="Q562" s="7">
        <f t="shared" ca="1" si="106"/>
        <v>0</v>
      </c>
      <c r="R562" s="8">
        <f ca="1">VLOOKUP(M562,'Payment Method'!$A$8:$B$12,2,0)</f>
        <v>3.5000000000000003E-2</v>
      </c>
      <c r="S562" s="9">
        <f t="shared" ca="1" si="96"/>
        <v>2.0649999999999977</v>
      </c>
      <c r="T562" s="8">
        <v>0.01</v>
      </c>
      <c r="U562" s="9">
        <f t="shared" ca="1" si="97"/>
        <v>0.56935000000000002</v>
      </c>
      <c r="V562" s="7">
        <f t="shared" ca="1" si="98"/>
        <v>56.365650000000002</v>
      </c>
      <c r="W562" s="7">
        <f t="shared" ca="1" si="99"/>
        <v>0</v>
      </c>
      <c r="X562" s="5" t="str">
        <f t="shared" ca="1" si="107"/>
        <v>Tiktok</v>
      </c>
      <c r="Y562" s="78">
        <f>IF(COUNTIF($C$1:C561,B561)=1,10,"")</f>
        <v>10</v>
      </c>
    </row>
    <row r="563" spans="1:25" x14ac:dyDescent="0.3">
      <c r="A563" s="76">
        <v>562</v>
      </c>
      <c r="B563" s="6">
        <v>46182</v>
      </c>
      <c r="C563" s="6">
        <v>46187</v>
      </c>
      <c r="D563" s="17" t="str">
        <f t="shared" si="100"/>
        <v>June</v>
      </c>
      <c r="E563" s="5" t="str">
        <f t="shared" ca="1" si="101"/>
        <v>STU-238</v>
      </c>
      <c r="F563" s="5" t="str">
        <f ca="1">IF(COUNTIF($E$2:E563,E563)=1,"New Customer","Returning Customer")</f>
        <v>New Customer</v>
      </c>
      <c r="G563" s="5" t="str">
        <f t="shared" ca="1" si="102"/>
        <v>Male</v>
      </c>
      <c r="H563" s="5" t="s">
        <v>140</v>
      </c>
      <c r="I563" s="5" t="str" cm="1">
        <f t="array" aca="1" ref="I563" ca="1">INDEX(Courses!$B$9:$B$16,RANDBETWEEN(1,8))</f>
        <v>Power BI</v>
      </c>
      <c r="J563" s="5" t="str">
        <f ca="1">VLOOKUP(I563,Courses!$B$9:$C$16,2,0)</f>
        <v>Data Analytics</v>
      </c>
      <c r="K563" s="7">
        <f ca="1">VLOOKUP(I563,Courses!$B$9:$D$16,3,0)</f>
        <v>59</v>
      </c>
      <c r="L563" s="5" t="str">
        <f t="shared" ca="1" si="103"/>
        <v>Paid</v>
      </c>
      <c r="M563" s="8" t="str" cm="1">
        <f t="array" aca="1" ref="M563" ca="1">INDEX('Payment Method'!$A$8:$A$12,RANDBETWEEN(1,5))</f>
        <v>Visa Debit</v>
      </c>
      <c r="N563" s="7">
        <f>IFERROR(SUMIF(Holiday!$A$8:$A$11,B563,Holiday!$C$8:$C$11),0)</f>
        <v>0</v>
      </c>
      <c r="O563" s="7">
        <f t="shared" ca="1" si="104"/>
        <v>59</v>
      </c>
      <c r="P563" s="19">
        <f t="shared" ca="1" si="105"/>
        <v>57.82</v>
      </c>
      <c r="Q563" s="7">
        <f t="shared" ca="1" si="106"/>
        <v>0</v>
      </c>
      <c r="R563" s="8">
        <f ca="1">VLOOKUP(M563,'Payment Method'!$A$8:$B$12,2,0)</f>
        <v>0.02</v>
      </c>
      <c r="S563" s="9">
        <f t="shared" ca="1" si="96"/>
        <v>1.1799999999999997</v>
      </c>
      <c r="T563" s="8">
        <v>0.01</v>
      </c>
      <c r="U563" s="9">
        <f t="shared" ca="1" si="97"/>
        <v>0.57820000000000249</v>
      </c>
      <c r="V563" s="7">
        <f t="shared" ca="1" si="98"/>
        <v>0</v>
      </c>
      <c r="W563" s="7">
        <f t="shared" ca="1" si="99"/>
        <v>57.241799999999998</v>
      </c>
      <c r="X563" s="5" t="str">
        <f t="shared" ca="1" si="107"/>
        <v>Instagram</v>
      </c>
      <c r="Y563" s="78">
        <f>IF(COUNTIF($C$1:C562,B562)=1,10,"")</f>
        <v>10</v>
      </c>
    </row>
    <row r="564" spans="1:25" x14ac:dyDescent="0.3">
      <c r="A564" s="75">
        <v>563</v>
      </c>
      <c r="B564" s="6">
        <v>46068</v>
      </c>
      <c r="C564" s="6">
        <v>46072</v>
      </c>
      <c r="D564" s="17" t="str">
        <f t="shared" si="100"/>
        <v>February</v>
      </c>
      <c r="E564" s="5" t="str">
        <f t="shared" ca="1" si="101"/>
        <v>STU-804</v>
      </c>
      <c r="F564" s="5" t="str">
        <f ca="1">IF(COUNTIF($E$2:E564,E564)=1,"New Customer","Returning Customer")</f>
        <v>New Customer</v>
      </c>
      <c r="G564" s="5" t="str">
        <f t="shared" ca="1" si="102"/>
        <v>Female</v>
      </c>
      <c r="H564" s="5" t="s">
        <v>141</v>
      </c>
      <c r="I564" s="5" t="str" cm="1">
        <f t="array" aca="1" ref="I564" ca="1">INDEX(Courses!$B$9:$B$16,RANDBETWEEN(1,8))</f>
        <v>Complete Excel Course</v>
      </c>
      <c r="J564" s="5" t="str">
        <f ca="1">VLOOKUP(I564,Courses!$B$9:$C$16,2,0)</f>
        <v>Microsoft Office</v>
      </c>
      <c r="K564" s="7">
        <f ca="1">VLOOKUP(I564,Courses!$B$9:$D$16,3,0)</f>
        <v>59</v>
      </c>
      <c r="L564" s="5" t="str">
        <f t="shared" ca="1" si="103"/>
        <v>Paid</v>
      </c>
      <c r="M564" s="8" t="str" cm="1">
        <f t="array" aca="1" ref="M564" ca="1">INDEX('Payment Method'!$A$8:$A$12,RANDBETWEEN(1,5))</f>
        <v>Visa Credit</v>
      </c>
      <c r="N564" s="7">
        <f>IFERROR(SUMIF(Holiday!$A$8:$A$11,B564,Holiday!$C$8:$C$11),0)</f>
        <v>0</v>
      </c>
      <c r="O564" s="7">
        <f t="shared" ca="1" si="104"/>
        <v>59</v>
      </c>
      <c r="P564" s="19">
        <f t="shared" ca="1" si="105"/>
        <v>56.935000000000002</v>
      </c>
      <c r="Q564" s="7">
        <f t="shared" ca="1" si="106"/>
        <v>0</v>
      </c>
      <c r="R564" s="8">
        <f ca="1">VLOOKUP(M564,'Payment Method'!$A$8:$B$12,2,0)</f>
        <v>3.5000000000000003E-2</v>
      </c>
      <c r="S564" s="9">
        <f t="shared" ca="1" si="96"/>
        <v>2.0649999999999977</v>
      </c>
      <c r="T564" s="8">
        <v>0.01</v>
      </c>
      <c r="U564" s="9">
        <f t="shared" ca="1" si="97"/>
        <v>0.56935000000000002</v>
      </c>
      <c r="V564" s="7">
        <f t="shared" ca="1" si="98"/>
        <v>0</v>
      </c>
      <c r="W564" s="7">
        <f t="shared" ca="1" si="99"/>
        <v>56.365650000000002</v>
      </c>
      <c r="X564" s="5" t="str">
        <f t="shared" ca="1" si="107"/>
        <v>Instagram</v>
      </c>
      <c r="Y564" s="78" t="str">
        <f>IF(COUNTIF($C$1:C563,B563)=1,10,"")</f>
        <v/>
      </c>
    </row>
    <row r="565" spans="1:25" x14ac:dyDescent="0.3">
      <c r="A565" s="76">
        <v>564</v>
      </c>
      <c r="B565" s="6">
        <v>46110</v>
      </c>
      <c r="C565" s="6">
        <v>46111</v>
      </c>
      <c r="D565" s="17" t="str">
        <f t="shared" si="100"/>
        <v>March</v>
      </c>
      <c r="E565" s="5" t="str">
        <f t="shared" ca="1" si="101"/>
        <v>STU-422</v>
      </c>
      <c r="F565" s="5" t="str">
        <f ca="1">IF(COUNTIF($E$2:E565,E565)=1,"New Customer","Returning Customer")</f>
        <v>New Customer</v>
      </c>
      <c r="G565" s="5" t="str">
        <f t="shared" ca="1" si="102"/>
        <v>Female</v>
      </c>
      <c r="H565" s="5" t="s">
        <v>142</v>
      </c>
      <c r="I565" s="5" t="str" cm="1">
        <f t="array" aca="1" ref="I565" ca="1">INDEX(Courses!$B$9:$B$16,RANDBETWEEN(1,8))</f>
        <v>Power BI</v>
      </c>
      <c r="J565" s="5" t="str">
        <f ca="1">VLOOKUP(I565,Courses!$B$9:$C$16,2,0)</f>
        <v>Data Analytics</v>
      </c>
      <c r="K565" s="7">
        <f ca="1">VLOOKUP(I565,Courses!$B$9:$D$16,3,0)</f>
        <v>59</v>
      </c>
      <c r="L565" s="5" t="str">
        <f t="shared" ca="1" si="103"/>
        <v>Refunded</v>
      </c>
      <c r="M565" s="8" t="str" cm="1">
        <f t="array" aca="1" ref="M565" ca="1">INDEX('Payment Method'!$A$8:$A$12,RANDBETWEEN(1,5))</f>
        <v>Bank Transfer</v>
      </c>
      <c r="N565" s="7">
        <f>IFERROR(SUMIF(Holiday!$A$8:$A$11,B565,Holiday!$C$8:$C$11),0)</f>
        <v>0</v>
      </c>
      <c r="O565" s="7">
        <f t="shared" ca="1" si="104"/>
        <v>59</v>
      </c>
      <c r="P565" s="19">
        <f t="shared" ca="1" si="105"/>
        <v>59</v>
      </c>
      <c r="Q565" s="7">
        <f t="shared" ca="1" si="106"/>
        <v>0</v>
      </c>
      <c r="R565" s="8">
        <f ca="1">VLOOKUP(M565,'Payment Method'!$A$8:$B$12,2,0)</f>
        <v>0</v>
      </c>
      <c r="S565" s="9">
        <f t="shared" ca="1" si="96"/>
        <v>0</v>
      </c>
      <c r="T565" s="8">
        <v>0.01</v>
      </c>
      <c r="U565" s="9">
        <f t="shared" ca="1" si="97"/>
        <v>0.59000000000000341</v>
      </c>
      <c r="V565" s="7">
        <f t="shared" ca="1" si="98"/>
        <v>58.41</v>
      </c>
      <c r="W565" s="7">
        <f t="shared" ca="1" si="99"/>
        <v>0</v>
      </c>
      <c r="X565" s="5" t="str">
        <f t="shared" ca="1" si="107"/>
        <v>Tiktok</v>
      </c>
      <c r="Y565" s="78">
        <f>IF(COUNTIF($C$1:C564,B564)=1,10,"")</f>
        <v>10</v>
      </c>
    </row>
    <row r="566" spans="1:25" x14ac:dyDescent="0.3">
      <c r="A566" s="75">
        <v>565</v>
      </c>
      <c r="B566" s="6">
        <v>46168</v>
      </c>
      <c r="C566" s="6">
        <v>46170</v>
      </c>
      <c r="D566" s="17" t="str">
        <f t="shared" si="100"/>
        <v>May</v>
      </c>
      <c r="E566" s="5" t="str">
        <f t="shared" ca="1" si="101"/>
        <v>STU-987</v>
      </c>
      <c r="F566" s="5" t="str">
        <f ca="1">IF(COUNTIF($E$2:E566,E566)=1,"New Customer","Returning Customer")</f>
        <v>New Customer</v>
      </c>
      <c r="G566" s="5" t="str">
        <f t="shared" ca="1" si="102"/>
        <v>Not specified</v>
      </c>
      <c r="H566" s="5" t="s">
        <v>139</v>
      </c>
      <c r="I566" s="5" t="str" cm="1">
        <f t="array" aca="1" ref="I566" ca="1">INDEX(Courses!$B$9:$B$16,RANDBETWEEN(1,8))</f>
        <v>PowerPoint</v>
      </c>
      <c r="J566" s="5" t="str">
        <f ca="1">VLOOKUP(I566,Courses!$B$9:$C$16,2,0)</f>
        <v>Microsoft Office</v>
      </c>
      <c r="K566" s="7">
        <f ca="1">VLOOKUP(I566,Courses!$B$9:$D$16,3,0)</f>
        <v>29</v>
      </c>
      <c r="L566" s="5" t="str">
        <f t="shared" ca="1" si="103"/>
        <v>Paid</v>
      </c>
      <c r="M566" s="8" t="str" cm="1">
        <f t="array" aca="1" ref="M566" ca="1">INDEX('Payment Method'!$A$8:$A$12,RANDBETWEEN(1,5))</f>
        <v>Bank Transfer</v>
      </c>
      <c r="N566" s="7">
        <f>IFERROR(SUMIF(Holiday!$A$8:$A$11,B566,Holiday!$C$8:$C$11),0)</f>
        <v>0</v>
      </c>
      <c r="O566" s="7">
        <f t="shared" ca="1" si="104"/>
        <v>29</v>
      </c>
      <c r="P566" s="19">
        <f t="shared" ca="1" si="105"/>
        <v>29</v>
      </c>
      <c r="Q566" s="7">
        <f t="shared" ca="1" si="106"/>
        <v>0</v>
      </c>
      <c r="R566" s="8">
        <f ca="1">VLOOKUP(M566,'Payment Method'!$A$8:$B$12,2,0)</f>
        <v>0</v>
      </c>
      <c r="S566" s="9">
        <f t="shared" ca="1" si="96"/>
        <v>0</v>
      </c>
      <c r="T566" s="8">
        <v>0.01</v>
      </c>
      <c r="U566" s="9">
        <f t="shared" ca="1" si="97"/>
        <v>0.28999999999999915</v>
      </c>
      <c r="V566" s="7">
        <f t="shared" ca="1" si="98"/>
        <v>0</v>
      </c>
      <c r="W566" s="7">
        <f t="shared" ca="1" si="99"/>
        <v>28.71</v>
      </c>
      <c r="X566" s="5" t="str">
        <f t="shared" ca="1" si="107"/>
        <v>Facebook</v>
      </c>
      <c r="Y566" s="78" t="str">
        <f>IF(COUNTIF($C$1:C565,B565)=1,10,"")</f>
        <v/>
      </c>
    </row>
    <row r="567" spans="1:25" x14ac:dyDescent="0.3">
      <c r="A567" s="76">
        <v>566</v>
      </c>
      <c r="B567" s="6">
        <v>46026</v>
      </c>
      <c r="C567" s="6">
        <v>46029</v>
      </c>
      <c r="D567" s="17" t="str">
        <f t="shared" si="100"/>
        <v>January</v>
      </c>
      <c r="E567" s="5" t="str">
        <f t="shared" ca="1" si="101"/>
        <v>STU-748</v>
      </c>
      <c r="F567" s="5" t="str">
        <f ca="1">IF(COUNTIF($E$2:E567,E567)=1,"New Customer","Returning Customer")</f>
        <v>New Customer</v>
      </c>
      <c r="G567" s="5" t="str">
        <f t="shared" ca="1" si="102"/>
        <v>Not specified</v>
      </c>
      <c r="H567" s="5" t="s">
        <v>139</v>
      </c>
      <c r="I567" s="5" t="str" cm="1">
        <f t="array" aca="1" ref="I567" ca="1">INDEX(Courses!$B$9:$B$16,RANDBETWEEN(1,8))</f>
        <v>Power BI</v>
      </c>
      <c r="J567" s="5" t="str">
        <f ca="1">VLOOKUP(I567,Courses!$B$9:$C$16,2,0)</f>
        <v>Data Analytics</v>
      </c>
      <c r="K567" s="7">
        <f ca="1">VLOOKUP(I567,Courses!$B$9:$D$16,3,0)</f>
        <v>59</v>
      </c>
      <c r="L567" s="5" t="str">
        <f t="shared" ca="1" si="103"/>
        <v>Refunded</v>
      </c>
      <c r="M567" s="8" t="str" cm="1">
        <f t="array" aca="1" ref="M567" ca="1">INDEX('Payment Method'!$A$8:$A$12,RANDBETWEEN(1,5))</f>
        <v>Mastercard Credit</v>
      </c>
      <c r="N567" s="7">
        <f>IFERROR(SUMIF(Holiday!$A$8:$A$11,B567,Holiday!$C$8:$C$11),0)</f>
        <v>0</v>
      </c>
      <c r="O567" s="7">
        <f t="shared" ca="1" si="104"/>
        <v>59</v>
      </c>
      <c r="P567" s="19">
        <f t="shared" ca="1" si="105"/>
        <v>56.935000000000002</v>
      </c>
      <c r="Q567" s="7">
        <f t="shared" ca="1" si="106"/>
        <v>0</v>
      </c>
      <c r="R567" s="8">
        <f ca="1">VLOOKUP(M567,'Payment Method'!$A$8:$B$12,2,0)</f>
        <v>3.5000000000000003E-2</v>
      </c>
      <c r="S567" s="9">
        <f t="shared" ca="1" si="96"/>
        <v>2.0649999999999977</v>
      </c>
      <c r="T567" s="8">
        <v>0.01</v>
      </c>
      <c r="U567" s="9">
        <f t="shared" ca="1" si="97"/>
        <v>0.56935000000000002</v>
      </c>
      <c r="V567" s="7">
        <f t="shared" ca="1" si="98"/>
        <v>56.365650000000002</v>
      </c>
      <c r="W567" s="7">
        <f t="shared" ca="1" si="99"/>
        <v>0</v>
      </c>
      <c r="X567" s="5" t="str">
        <f t="shared" ca="1" si="107"/>
        <v>Tiktok</v>
      </c>
      <c r="Y567" s="78">
        <f>IF(COUNTIF($C$1:C566,B566)=1,10,"")</f>
        <v>10</v>
      </c>
    </row>
    <row r="568" spans="1:25" x14ac:dyDescent="0.3">
      <c r="A568" s="75">
        <v>567</v>
      </c>
      <c r="B568" s="6">
        <v>46148</v>
      </c>
      <c r="C568" s="6">
        <v>46153</v>
      </c>
      <c r="D568" s="17" t="str">
        <f t="shared" si="100"/>
        <v>May</v>
      </c>
      <c r="E568" s="5" t="str">
        <f t="shared" ca="1" si="101"/>
        <v>STU-435</v>
      </c>
      <c r="F568" s="5" t="str">
        <f ca="1">IF(COUNTIF($E$2:E568,E568)=1,"New Customer","Returning Customer")</f>
        <v>New Customer</v>
      </c>
      <c r="G568" s="5" t="str">
        <f t="shared" ca="1" si="102"/>
        <v>Male</v>
      </c>
      <c r="H568" s="5" t="s">
        <v>136</v>
      </c>
      <c r="I568" s="5" t="str" cm="1">
        <f t="array" aca="1" ref="I568" ca="1">INDEX(Courses!$B$9:$B$16,RANDBETWEEN(1,8))</f>
        <v>Tax Code</v>
      </c>
      <c r="J568" s="5" t="str">
        <f ca="1">VLOOKUP(I568,Courses!$B$9:$C$16,2,0)</f>
        <v>Finance &amp; Taxation</v>
      </c>
      <c r="K568" s="7">
        <f ca="1">VLOOKUP(I568,Courses!$B$9:$D$16,3,0)</f>
        <v>59</v>
      </c>
      <c r="L568" s="5" t="str">
        <f t="shared" ca="1" si="103"/>
        <v>Paid</v>
      </c>
      <c r="M568" s="8" t="str" cm="1">
        <f t="array" aca="1" ref="M568" ca="1">INDEX('Payment Method'!$A$8:$A$12,RANDBETWEEN(1,5))</f>
        <v>Visa Credit</v>
      </c>
      <c r="N568" s="7">
        <f>IFERROR(SUMIF(Holiday!$A$8:$A$11,B568,Holiday!$C$8:$C$11),0)</f>
        <v>0</v>
      </c>
      <c r="O568" s="7">
        <f t="shared" ca="1" si="104"/>
        <v>59</v>
      </c>
      <c r="P568" s="19">
        <f t="shared" ca="1" si="105"/>
        <v>56.935000000000002</v>
      </c>
      <c r="Q568" s="7">
        <f t="shared" ca="1" si="106"/>
        <v>0</v>
      </c>
      <c r="R568" s="8">
        <f ca="1">VLOOKUP(M568,'Payment Method'!$A$8:$B$12,2,0)</f>
        <v>3.5000000000000003E-2</v>
      </c>
      <c r="S568" s="9">
        <f t="shared" ca="1" si="96"/>
        <v>2.0649999999999977</v>
      </c>
      <c r="T568" s="8">
        <v>0.01</v>
      </c>
      <c r="U568" s="9">
        <f t="shared" ca="1" si="97"/>
        <v>0.56935000000000002</v>
      </c>
      <c r="V568" s="7">
        <f t="shared" ca="1" si="98"/>
        <v>0</v>
      </c>
      <c r="W568" s="7">
        <f t="shared" ca="1" si="99"/>
        <v>56.365650000000002</v>
      </c>
      <c r="X568" s="5" t="str">
        <f t="shared" ca="1" si="107"/>
        <v>Tiktok</v>
      </c>
      <c r="Y568" s="78" t="str">
        <f>IF(COUNTIF($C$1:C567,B567)=1,10,"")</f>
        <v/>
      </c>
    </row>
    <row r="569" spans="1:25" x14ac:dyDescent="0.3">
      <c r="A569" s="76">
        <v>568</v>
      </c>
      <c r="B569" s="6">
        <v>46104</v>
      </c>
      <c r="C569" s="6">
        <v>46106</v>
      </c>
      <c r="D569" s="17" t="str">
        <f t="shared" si="100"/>
        <v>March</v>
      </c>
      <c r="E569" s="5" t="str">
        <f t="shared" ca="1" si="101"/>
        <v>STU-398</v>
      </c>
      <c r="F569" s="5" t="str">
        <f ca="1">IF(COUNTIF($E$2:E569,E569)=1,"New Customer","Returning Customer")</f>
        <v>Returning Customer</v>
      </c>
      <c r="G569" s="5" t="str">
        <f t="shared" ca="1" si="102"/>
        <v>Not specified</v>
      </c>
      <c r="H569" s="5" t="s">
        <v>139</v>
      </c>
      <c r="I569" s="5" t="str" cm="1">
        <f t="array" aca="1" ref="I569" ca="1">INDEX(Courses!$B$9:$B$16,RANDBETWEEN(1,8))</f>
        <v>SQL</v>
      </c>
      <c r="J569" s="5" t="str">
        <f ca="1">VLOOKUP(I569,Courses!$B$9:$C$16,2,0)</f>
        <v>Data Analytics</v>
      </c>
      <c r="K569" s="7">
        <f ca="1">VLOOKUP(I569,Courses!$B$9:$D$16,3,0)</f>
        <v>99</v>
      </c>
      <c r="L569" s="5" t="str">
        <f t="shared" ca="1" si="103"/>
        <v>Paid</v>
      </c>
      <c r="M569" s="8" t="str" cm="1">
        <f t="array" aca="1" ref="M569" ca="1">INDEX('Payment Method'!$A$8:$A$12,RANDBETWEEN(1,5))</f>
        <v>Mastercard Debit</v>
      </c>
      <c r="N569" s="7">
        <f>IFERROR(SUMIF(Holiday!$A$8:$A$11,B569,Holiday!$C$8:$C$11),0)</f>
        <v>0</v>
      </c>
      <c r="O569" s="7">
        <f t="shared" ca="1" si="104"/>
        <v>99</v>
      </c>
      <c r="P569" s="19">
        <f t="shared" ca="1" si="105"/>
        <v>97.02</v>
      </c>
      <c r="Q569" s="7">
        <f t="shared" ca="1" si="106"/>
        <v>0</v>
      </c>
      <c r="R569" s="8">
        <f ca="1">VLOOKUP(M569,'Payment Method'!$A$8:$B$12,2,0)</f>
        <v>0.02</v>
      </c>
      <c r="S569" s="9">
        <f t="shared" ca="1" si="96"/>
        <v>1.980000000000004</v>
      </c>
      <c r="T569" s="8">
        <v>0.01</v>
      </c>
      <c r="U569" s="9">
        <f t="shared" ca="1" si="97"/>
        <v>0.9702000000000055</v>
      </c>
      <c r="V569" s="7">
        <f t="shared" ca="1" si="98"/>
        <v>0</v>
      </c>
      <c r="W569" s="7">
        <f t="shared" ca="1" si="99"/>
        <v>96.049799999999991</v>
      </c>
      <c r="X569" s="5" t="str">
        <f t="shared" ca="1" si="107"/>
        <v>Facebook</v>
      </c>
      <c r="Y569" s="78" t="str">
        <f>IF(COUNTIF($C$1:C568,B568)=1,10,"")</f>
        <v/>
      </c>
    </row>
    <row r="570" spans="1:25" x14ac:dyDescent="0.3">
      <c r="A570" s="75">
        <v>569</v>
      </c>
      <c r="B570" s="6">
        <v>46147</v>
      </c>
      <c r="C570" s="6">
        <v>46150</v>
      </c>
      <c r="D570" s="17" t="str">
        <f t="shared" si="100"/>
        <v>May</v>
      </c>
      <c r="E570" s="5" t="str">
        <f t="shared" ca="1" si="101"/>
        <v>STU-353</v>
      </c>
      <c r="F570" s="5" t="str">
        <f ca="1">IF(COUNTIF($E$2:E570,E570)=1,"New Customer","Returning Customer")</f>
        <v>Returning Customer</v>
      </c>
      <c r="G570" s="5" t="str">
        <f t="shared" ca="1" si="102"/>
        <v>Male</v>
      </c>
      <c r="H570" s="5" t="s">
        <v>141</v>
      </c>
      <c r="I570" s="5" t="str" cm="1">
        <f t="array" aca="1" ref="I570" ca="1">INDEX(Courses!$B$9:$B$16,RANDBETWEEN(1,8))</f>
        <v>Complete Excel Course</v>
      </c>
      <c r="J570" s="5" t="str">
        <f ca="1">VLOOKUP(I570,Courses!$B$9:$C$16,2,0)</f>
        <v>Microsoft Office</v>
      </c>
      <c r="K570" s="7">
        <f ca="1">VLOOKUP(I570,Courses!$B$9:$D$16,3,0)</f>
        <v>59</v>
      </c>
      <c r="L570" s="5" t="str">
        <f t="shared" ca="1" si="103"/>
        <v>Paid</v>
      </c>
      <c r="M570" s="8" t="str" cm="1">
        <f t="array" aca="1" ref="M570" ca="1">INDEX('Payment Method'!$A$8:$A$12,RANDBETWEEN(1,5))</f>
        <v>Mastercard Debit</v>
      </c>
      <c r="N570" s="7">
        <f>IFERROR(SUMIF(Holiday!$A$8:$A$11,B570,Holiday!$C$8:$C$11),0)</f>
        <v>0</v>
      </c>
      <c r="O570" s="7">
        <f t="shared" ca="1" si="104"/>
        <v>59</v>
      </c>
      <c r="P570" s="19">
        <f t="shared" ca="1" si="105"/>
        <v>57.82</v>
      </c>
      <c r="Q570" s="7">
        <f t="shared" ca="1" si="106"/>
        <v>0</v>
      </c>
      <c r="R570" s="8">
        <f ca="1">VLOOKUP(M570,'Payment Method'!$A$8:$B$12,2,0)</f>
        <v>0.02</v>
      </c>
      <c r="S570" s="9">
        <f t="shared" ca="1" si="96"/>
        <v>1.1799999999999997</v>
      </c>
      <c r="T570" s="8">
        <v>0.01</v>
      </c>
      <c r="U570" s="9">
        <f t="shared" ca="1" si="97"/>
        <v>0.57820000000000249</v>
      </c>
      <c r="V570" s="7">
        <f t="shared" ca="1" si="98"/>
        <v>0</v>
      </c>
      <c r="W570" s="7">
        <f t="shared" ca="1" si="99"/>
        <v>57.241799999999998</v>
      </c>
      <c r="X570" s="5" t="str">
        <f t="shared" ca="1" si="107"/>
        <v>Tiktok</v>
      </c>
      <c r="Y570" s="78">
        <f>IF(COUNTIF($C$1:C569,B569)=1,10,"")</f>
        <v>10</v>
      </c>
    </row>
    <row r="571" spans="1:25" x14ac:dyDescent="0.3">
      <c r="A571" s="76">
        <v>570</v>
      </c>
      <c r="B571" s="6">
        <v>46069</v>
      </c>
      <c r="C571" s="6">
        <v>46071</v>
      </c>
      <c r="D571" s="17" t="str">
        <f t="shared" si="100"/>
        <v>February</v>
      </c>
      <c r="E571" s="5" t="str">
        <f t="shared" ca="1" si="101"/>
        <v>STU-557</v>
      </c>
      <c r="F571" s="5" t="str">
        <f ca="1">IF(COUNTIF($E$2:E571,E571)=1,"New Customer","Returning Customer")</f>
        <v>Returning Customer</v>
      </c>
      <c r="G571" s="5" t="str">
        <f t="shared" ca="1" si="102"/>
        <v>Not specified</v>
      </c>
      <c r="H571" s="5" t="s">
        <v>137</v>
      </c>
      <c r="I571" s="5" t="str" cm="1">
        <f t="array" aca="1" ref="I571" ca="1">INDEX(Courses!$B$9:$B$16,RANDBETWEEN(1,8))</f>
        <v>PowerPoint</v>
      </c>
      <c r="J571" s="5" t="str">
        <f ca="1">VLOOKUP(I571,Courses!$B$9:$C$16,2,0)</f>
        <v>Microsoft Office</v>
      </c>
      <c r="K571" s="7">
        <f ca="1">VLOOKUP(I571,Courses!$B$9:$D$16,3,0)</f>
        <v>29</v>
      </c>
      <c r="L571" s="5" t="str">
        <f t="shared" ca="1" si="103"/>
        <v>Paid</v>
      </c>
      <c r="M571" s="8" t="str" cm="1">
        <f t="array" aca="1" ref="M571" ca="1">INDEX('Payment Method'!$A$8:$A$12,RANDBETWEEN(1,5))</f>
        <v>Mastercard Debit</v>
      </c>
      <c r="N571" s="7">
        <f>IFERROR(SUMIF(Holiday!$A$8:$A$11,B571,Holiday!$C$8:$C$11),0)</f>
        <v>0</v>
      </c>
      <c r="O571" s="7">
        <f t="shared" ca="1" si="104"/>
        <v>29</v>
      </c>
      <c r="P571" s="19">
        <f t="shared" ca="1" si="105"/>
        <v>28.42</v>
      </c>
      <c r="Q571" s="7">
        <f t="shared" ca="1" si="106"/>
        <v>0</v>
      </c>
      <c r="R571" s="8">
        <f ca="1">VLOOKUP(M571,'Payment Method'!$A$8:$B$12,2,0)</f>
        <v>0.02</v>
      </c>
      <c r="S571" s="9">
        <f t="shared" ca="1" si="96"/>
        <v>0.57999999999999829</v>
      </c>
      <c r="T571" s="8">
        <v>0.01</v>
      </c>
      <c r="U571" s="9">
        <f t="shared" ca="1" si="97"/>
        <v>0.28419999999999845</v>
      </c>
      <c r="V571" s="7">
        <f t="shared" ca="1" si="98"/>
        <v>0</v>
      </c>
      <c r="W571" s="7">
        <f t="shared" ca="1" si="99"/>
        <v>28.135800000000003</v>
      </c>
      <c r="X571" s="5" t="str">
        <f t="shared" ca="1" si="107"/>
        <v>Tiktok</v>
      </c>
      <c r="Y571" s="78">
        <f>IF(COUNTIF($C$1:C570,B570)=1,10,"")</f>
        <v>10</v>
      </c>
    </row>
    <row r="572" spans="1:25" x14ac:dyDescent="0.3">
      <c r="A572" s="75">
        <v>571</v>
      </c>
      <c r="B572" s="6">
        <v>46039</v>
      </c>
      <c r="C572" s="6">
        <v>46040</v>
      </c>
      <c r="D572" s="17" t="str">
        <f t="shared" si="100"/>
        <v>January</v>
      </c>
      <c r="E572" s="5" t="str">
        <f t="shared" ca="1" si="101"/>
        <v>STU-250</v>
      </c>
      <c r="F572" s="5" t="str">
        <f ca="1">IF(COUNTIF($E$2:E572,E572)=1,"New Customer","Returning Customer")</f>
        <v>New Customer</v>
      </c>
      <c r="G572" s="5" t="str">
        <f t="shared" ca="1" si="102"/>
        <v>Female</v>
      </c>
      <c r="H572" s="5" t="s">
        <v>137</v>
      </c>
      <c r="I572" s="5" t="str" cm="1">
        <f t="array" aca="1" ref="I572" ca="1">INDEX(Courses!$B$9:$B$16,RANDBETWEEN(1,8))</f>
        <v>Adolescent Psychology</v>
      </c>
      <c r="J572" s="5" t="str">
        <f ca="1">VLOOKUP(I572,Courses!$B$9:$C$16,2,0)</f>
        <v>Psychology</v>
      </c>
      <c r="K572" s="7">
        <f ca="1">VLOOKUP(I572,Courses!$B$9:$D$16,3,0)</f>
        <v>29</v>
      </c>
      <c r="L572" s="5" t="str">
        <f t="shared" ca="1" si="103"/>
        <v>Pending</v>
      </c>
      <c r="M572" s="8" t="str" cm="1">
        <f t="array" aca="1" ref="M572" ca="1">INDEX('Payment Method'!$A$8:$A$12,RANDBETWEEN(1,5))</f>
        <v>Visa Credit</v>
      </c>
      <c r="N572" s="7">
        <f>IFERROR(SUMIF(Holiday!$A$8:$A$11,B572,Holiday!$C$8:$C$11),0)</f>
        <v>0</v>
      </c>
      <c r="O572" s="7">
        <f t="shared" ca="1" si="104"/>
        <v>29</v>
      </c>
      <c r="P572" s="19">
        <f t="shared" ca="1" si="105"/>
        <v>27.984999999999999</v>
      </c>
      <c r="Q572" s="7">
        <f t="shared" ca="1" si="106"/>
        <v>27.70515</v>
      </c>
      <c r="R572" s="8">
        <f ca="1">VLOOKUP(M572,'Payment Method'!$A$8:$B$12,2,0)</f>
        <v>3.5000000000000003E-2</v>
      </c>
      <c r="S572" s="9">
        <f t="shared" ca="1" si="96"/>
        <v>1.0150000000000006</v>
      </c>
      <c r="T572" s="8">
        <v>0.01</v>
      </c>
      <c r="U572" s="9">
        <f t="shared" ca="1" si="97"/>
        <v>0.27984999999999971</v>
      </c>
      <c r="V572" s="7">
        <f t="shared" ca="1" si="98"/>
        <v>0</v>
      </c>
      <c r="W572" s="7">
        <f t="shared" ca="1" si="99"/>
        <v>0</v>
      </c>
      <c r="X572" s="5" t="str">
        <f t="shared" ca="1" si="107"/>
        <v>Facebook</v>
      </c>
      <c r="Y572" s="78" t="str">
        <f>IF(COUNTIF($C$1:C571,B571)=1,10,"")</f>
        <v/>
      </c>
    </row>
    <row r="573" spans="1:25" x14ac:dyDescent="0.3">
      <c r="A573" s="76">
        <v>572</v>
      </c>
      <c r="B573" s="6">
        <v>46118</v>
      </c>
      <c r="C573" s="6">
        <v>46118</v>
      </c>
      <c r="D573" s="17" t="str">
        <f t="shared" si="100"/>
        <v>April</v>
      </c>
      <c r="E573" s="5" t="str">
        <f t="shared" ca="1" si="101"/>
        <v>STU-416</v>
      </c>
      <c r="F573" s="5" t="str">
        <f ca="1">IF(COUNTIF($E$2:E573,E573)=1,"New Customer","Returning Customer")</f>
        <v>New Customer</v>
      </c>
      <c r="G573" s="5" t="str">
        <f t="shared" ca="1" si="102"/>
        <v>Male</v>
      </c>
      <c r="H573" s="5" t="s">
        <v>136</v>
      </c>
      <c r="I573" s="5" t="str" cm="1">
        <f t="array" aca="1" ref="I573" ca="1">INDEX(Courses!$B$9:$B$16,RANDBETWEEN(1,8))</f>
        <v>SQL</v>
      </c>
      <c r="J573" s="5" t="str">
        <f ca="1">VLOOKUP(I573,Courses!$B$9:$C$16,2,0)</f>
        <v>Data Analytics</v>
      </c>
      <c r="K573" s="7">
        <f ca="1">VLOOKUP(I573,Courses!$B$9:$D$16,3,0)</f>
        <v>99</v>
      </c>
      <c r="L573" s="5" t="str">
        <f t="shared" ca="1" si="103"/>
        <v>Paid</v>
      </c>
      <c r="M573" s="8" t="str" cm="1">
        <f t="array" aca="1" ref="M573" ca="1">INDEX('Payment Method'!$A$8:$A$12,RANDBETWEEN(1,5))</f>
        <v>Bank Transfer</v>
      </c>
      <c r="N573" s="7">
        <f>IFERROR(SUMIF(Holiday!$A$8:$A$11,B573,Holiday!$C$8:$C$11),0)</f>
        <v>0</v>
      </c>
      <c r="O573" s="7">
        <f t="shared" ca="1" si="104"/>
        <v>99</v>
      </c>
      <c r="P573" s="19">
        <f t="shared" ca="1" si="105"/>
        <v>99</v>
      </c>
      <c r="Q573" s="7">
        <f t="shared" ca="1" si="106"/>
        <v>0</v>
      </c>
      <c r="R573" s="8">
        <f ca="1">VLOOKUP(M573,'Payment Method'!$A$8:$B$12,2,0)</f>
        <v>0</v>
      </c>
      <c r="S573" s="9">
        <f t="shared" ca="1" si="96"/>
        <v>0</v>
      </c>
      <c r="T573" s="8">
        <v>0.01</v>
      </c>
      <c r="U573" s="9">
        <f t="shared" ca="1" si="97"/>
        <v>0.98999999999999488</v>
      </c>
      <c r="V573" s="7">
        <f t="shared" ca="1" si="98"/>
        <v>0</v>
      </c>
      <c r="W573" s="7">
        <f t="shared" ca="1" si="99"/>
        <v>98.01</v>
      </c>
      <c r="X573" s="5" t="str">
        <f t="shared" ca="1" si="107"/>
        <v>Instagram</v>
      </c>
      <c r="Y573" s="78" t="str">
        <f>IF(COUNTIF($C$1:C572,B572)=1,10,"")</f>
        <v/>
      </c>
    </row>
    <row r="574" spans="1:25" x14ac:dyDescent="0.3">
      <c r="A574" s="75">
        <v>573</v>
      </c>
      <c r="B574" s="6">
        <v>46124</v>
      </c>
      <c r="C574" s="6">
        <v>46129</v>
      </c>
      <c r="D574" s="17" t="str">
        <f t="shared" si="100"/>
        <v>April</v>
      </c>
      <c r="E574" s="5" t="str">
        <f t="shared" ca="1" si="101"/>
        <v>STU-993</v>
      </c>
      <c r="F574" s="5" t="str">
        <f ca="1">IF(COUNTIF($E$2:E574,E574)=1,"New Customer","Returning Customer")</f>
        <v>New Customer</v>
      </c>
      <c r="G574" s="5" t="str">
        <f t="shared" ca="1" si="102"/>
        <v>Not specified</v>
      </c>
      <c r="H574" s="5" t="s">
        <v>141</v>
      </c>
      <c r="I574" s="5" t="str" cm="1">
        <f t="array" aca="1" ref="I574" ca="1">INDEX(Courses!$B$9:$B$16,RANDBETWEEN(1,8))</f>
        <v>Tax Code</v>
      </c>
      <c r="J574" s="5" t="str">
        <f ca="1">VLOOKUP(I574,Courses!$B$9:$C$16,2,0)</f>
        <v>Finance &amp; Taxation</v>
      </c>
      <c r="K574" s="7">
        <f ca="1">VLOOKUP(I574,Courses!$B$9:$D$16,3,0)</f>
        <v>59</v>
      </c>
      <c r="L574" s="5" t="str">
        <f t="shared" ca="1" si="103"/>
        <v>Paid</v>
      </c>
      <c r="M574" s="8" t="str" cm="1">
        <f t="array" aca="1" ref="M574" ca="1">INDEX('Payment Method'!$A$8:$A$12,RANDBETWEEN(1,5))</f>
        <v>Mastercard Credit</v>
      </c>
      <c r="N574" s="7">
        <f>IFERROR(SUMIF(Holiday!$A$8:$A$11,B574,Holiday!$C$8:$C$11),0)</f>
        <v>0</v>
      </c>
      <c r="O574" s="7">
        <f t="shared" ca="1" si="104"/>
        <v>59</v>
      </c>
      <c r="P574" s="19">
        <f t="shared" ca="1" si="105"/>
        <v>56.935000000000002</v>
      </c>
      <c r="Q574" s="7">
        <f t="shared" ca="1" si="106"/>
        <v>0</v>
      </c>
      <c r="R574" s="8">
        <f ca="1">VLOOKUP(M574,'Payment Method'!$A$8:$B$12,2,0)</f>
        <v>3.5000000000000003E-2</v>
      </c>
      <c r="S574" s="9">
        <f t="shared" ca="1" si="96"/>
        <v>2.0649999999999977</v>
      </c>
      <c r="T574" s="8">
        <v>0.01</v>
      </c>
      <c r="U574" s="9">
        <f t="shared" ca="1" si="97"/>
        <v>0.56935000000000002</v>
      </c>
      <c r="V574" s="7">
        <f t="shared" ca="1" si="98"/>
        <v>0</v>
      </c>
      <c r="W574" s="7">
        <f t="shared" ca="1" si="99"/>
        <v>56.365650000000002</v>
      </c>
      <c r="X574" s="5" t="str">
        <f t="shared" ca="1" si="107"/>
        <v>Tiktok</v>
      </c>
      <c r="Y574" s="78" t="str">
        <f>IF(COUNTIF($C$1:C573,B573)=1,10,"")</f>
        <v/>
      </c>
    </row>
    <row r="575" spans="1:25" x14ac:dyDescent="0.3">
      <c r="A575" s="76">
        <v>574</v>
      </c>
      <c r="B575" s="6">
        <v>46167</v>
      </c>
      <c r="C575" s="6">
        <v>46171</v>
      </c>
      <c r="D575" s="17" t="str">
        <f t="shared" si="100"/>
        <v>May</v>
      </c>
      <c r="E575" s="5" t="str">
        <f t="shared" ca="1" si="101"/>
        <v>STU-720</v>
      </c>
      <c r="F575" s="5" t="str">
        <f ca="1">IF(COUNTIF($E$2:E575,E575)=1,"New Customer","Returning Customer")</f>
        <v>New Customer</v>
      </c>
      <c r="G575" s="5" t="str">
        <f t="shared" ca="1" si="102"/>
        <v>Not specified</v>
      </c>
      <c r="H575" s="5" t="s">
        <v>138</v>
      </c>
      <c r="I575" s="5" t="str" cm="1">
        <f t="array" aca="1" ref="I575" ca="1">INDEX(Courses!$B$9:$B$16,RANDBETWEEN(1,8))</f>
        <v>Microsoft Word</v>
      </c>
      <c r="J575" s="5" t="str">
        <f ca="1">VLOOKUP(I575,Courses!$B$9:$C$16,2,0)</f>
        <v>Microsoft Office</v>
      </c>
      <c r="K575" s="7">
        <f ca="1">VLOOKUP(I575,Courses!$B$9:$D$16,3,0)</f>
        <v>29</v>
      </c>
      <c r="L575" s="5" t="str">
        <f t="shared" ca="1" si="103"/>
        <v>Paid</v>
      </c>
      <c r="M575" s="8" t="str" cm="1">
        <f t="array" aca="1" ref="M575" ca="1">INDEX('Payment Method'!$A$8:$A$12,RANDBETWEEN(1,5))</f>
        <v>Bank Transfer</v>
      </c>
      <c r="N575" s="7">
        <f>IFERROR(SUMIF(Holiday!$A$8:$A$11,B575,Holiday!$C$8:$C$11),0)</f>
        <v>0</v>
      </c>
      <c r="O575" s="7">
        <f t="shared" ca="1" si="104"/>
        <v>29</v>
      </c>
      <c r="P575" s="19">
        <f t="shared" ca="1" si="105"/>
        <v>29</v>
      </c>
      <c r="Q575" s="7">
        <f t="shared" ca="1" si="106"/>
        <v>0</v>
      </c>
      <c r="R575" s="8">
        <f ca="1">VLOOKUP(M575,'Payment Method'!$A$8:$B$12,2,0)</f>
        <v>0</v>
      </c>
      <c r="S575" s="9">
        <f t="shared" ca="1" si="96"/>
        <v>0</v>
      </c>
      <c r="T575" s="8">
        <v>0.01</v>
      </c>
      <c r="U575" s="9">
        <f t="shared" ca="1" si="97"/>
        <v>0.28999999999999915</v>
      </c>
      <c r="V575" s="7">
        <f t="shared" ca="1" si="98"/>
        <v>0</v>
      </c>
      <c r="W575" s="7">
        <f t="shared" ca="1" si="99"/>
        <v>28.71</v>
      </c>
      <c r="X575" s="5" t="str">
        <f t="shared" ca="1" si="107"/>
        <v>Instagram</v>
      </c>
      <c r="Y575" s="78">
        <f>IF(COUNTIF($C$1:C574,B574)=1,10,"")</f>
        <v>10</v>
      </c>
    </row>
    <row r="576" spans="1:25" x14ac:dyDescent="0.3">
      <c r="A576" s="75">
        <v>575</v>
      </c>
      <c r="B576" s="6">
        <v>46052</v>
      </c>
      <c r="C576" s="6">
        <v>46057</v>
      </c>
      <c r="D576" s="17" t="str">
        <f t="shared" si="100"/>
        <v>February</v>
      </c>
      <c r="E576" s="5" t="str">
        <f t="shared" ca="1" si="101"/>
        <v>STU-97</v>
      </c>
      <c r="F576" s="5" t="str">
        <f ca="1">IF(COUNTIF($E$2:E576,E576)=1,"New Customer","Returning Customer")</f>
        <v>New Customer</v>
      </c>
      <c r="G576" s="5" t="str">
        <f t="shared" ca="1" si="102"/>
        <v>Female</v>
      </c>
      <c r="H576" s="5" t="s">
        <v>141</v>
      </c>
      <c r="I576" s="5" t="str" cm="1">
        <f t="array" aca="1" ref="I576" ca="1">INDEX(Courses!$B$9:$B$16,RANDBETWEEN(1,8))</f>
        <v>PowerPoint</v>
      </c>
      <c r="J576" s="5" t="str">
        <f ca="1">VLOOKUP(I576,Courses!$B$9:$C$16,2,0)</f>
        <v>Microsoft Office</v>
      </c>
      <c r="K576" s="7">
        <f ca="1">VLOOKUP(I576,Courses!$B$9:$D$16,3,0)</f>
        <v>29</v>
      </c>
      <c r="L576" s="5" t="str">
        <f t="shared" ca="1" si="103"/>
        <v>Refunded</v>
      </c>
      <c r="M576" s="8" t="str" cm="1">
        <f t="array" aca="1" ref="M576" ca="1">INDEX('Payment Method'!$A$8:$A$12,RANDBETWEEN(1,5))</f>
        <v>Bank Transfer</v>
      </c>
      <c r="N576" s="7">
        <f>IFERROR(SUMIF(Holiday!$A$8:$A$11,B576,Holiday!$C$8:$C$11),0)</f>
        <v>0</v>
      </c>
      <c r="O576" s="7">
        <f t="shared" ca="1" si="104"/>
        <v>29</v>
      </c>
      <c r="P576" s="19">
        <f t="shared" ca="1" si="105"/>
        <v>29</v>
      </c>
      <c r="Q576" s="7">
        <f t="shared" ca="1" si="106"/>
        <v>0</v>
      </c>
      <c r="R576" s="8">
        <f ca="1">VLOOKUP(M576,'Payment Method'!$A$8:$B$12,2,0)</f>
        <v>0</v>
      </c>
      <c r="S576" s="9">
        <f t="shared" ca="1" si="96"/>
        <v>0</v>
      </c>
      <c r="T576" s="8">
        <v>0.01</v>
      </c>
      <c r="U576" s="9">
        <f t="shared" ca="1" si="97"/>
        <v>0.28999999999999915</v>
      </c>
      <c r="V576" s="7">
        <f t="shared" ca="1" si="98"/>
        <v>28.71</v>
      </c>
      <c r="W576" s="7">
        <f t="shared" ca="1" si="99"/>
        <v>0</v>
      </c>
      <c r="X576" s="5" t="str">
        <f t="shared" ca="1" si="107"/>
        <v>Tiktok</v>
      </c>
      <c r="Y576" s="78">
        <f>IF(COUNTIF($C$1:C575,B575)=1,10,"")</f>
        <v>10</v>
      </c>
    </row>
    <row r="577" spans="1:25" x14ac:dyDescent="0.3">
      <c r="A577" s="76">
        <v>576</v>
      </c>
      <c r="B577" s="6">
        <v>46084</v>
      </c>
      <c r="C577" s="6">
        <v>46088</v>
      </c>
      <c r="D577" s="17" t="str">
        <f t="shared" si="100"/>
        <v>March</v>
      </c>
      <c r="E577" s="5" t="str">
        <f t="shared" ca="1" si="101"/>
        <v>STU-538</v>
      </c>
      <c r="F577" s="5" t="str">
        <f ca="1">IF(COUNTIF($E$2:E577,E577)=1,"New Customer","Returning Customer")</f>
        <v>New Customer</v>
      </c>
      <c r="G577" s="5" t="str">
        <f t="shared" ca="1" si="102"/>
        <v>Not specified</v>
      </c>
      <c r="H577" s="5" t="s">
        <v>139</v>
      </c>
      <c r="I577" s="5" t="str" cm="1">
        <f t="array" aca="1" ref="I577" ca="1">INDEX(Courses!$B$9:$B$16,RANDBETWEEN(1,8))</f>
        <v>PowerPoint</v>
      </c>
      <c r="J577" s="5" t="str">
        <f ca="1">VLOOKUP(I577,Courses!$B$9:$C$16,2,0)</f>
        <v>Microsoft Office</v>
      </c>
      <c r="K577" s="7">
        <f ca="1">VLOOKUP(I577,Courses!$B$9:$D$16,3,0)</f>
        <v>29</v>
      </c>
      <c r="L577" s="5" t="str">
        <f t="shared" ca="1" si="103"/>
        <v>Pending</v>
      </c>
      <c r="M577" s="8" t="str" cm="1">
        <f t="array" aca="1" ref="M577" ca="1">INDEX('Payment Method'!$A$8:$A$12,RANDBETWEEN(1,5))</f>
        <v>Bank Transfer</v>
      </c>
      <c r="N577" s="7">
        <f>IFERROR(SUMIF(Holiday!$A$8:$A$11,B577,Holiday!$C$8:$C$11),0)</f>
        <v>20</v>
      </c>
      <c r="O577" s="7">
        <f t="shared" ca="1" si="104"/>
        <v>-551</v>
      </c>
      <c r="P577" s="19">
        <f t="shared" ca="1" si="105"/>
        <v>-551</v>
      </c>
      <c r="Q577" s="7">
        <f t="shared" ca="1" si="106"/>
        <v>-545.49</v>
      </c>
      <c r="R577" s="8">
        <f ca="1">VLOOKUP(M577,'Payment Method'!$A$8:$B$12,2,0)</f>
        <v>0</v>
      </c>
      <c r="S577" s="9">
        <f t="shared" ca="1" si="96"/>
        <v>0</v>
      </c>
      <c r="T577" s="8">
        <v>0.01</v>
      </c>
      <c r="U577" s="9">
        <f t="shared" ca="1" si="97"/>
        <v>-5.5099999999999909</v>
      </c>
      <c r="V577" s="7">
        <f t="shared" ca="1" si="98"/>
        <v>0</v>
      </c>
      <c r="W577" s="7">
        <f t="shared" ca="1" si="99"/>
        <v>0</v>
      </c>
      <c r="X577" s="5" t="str">
        <f t="shared" ca="1" si="107"/>
        <v>Facebook</v>
      </c>
      <c r="Y577" s="78" t="str">
        <f>IF(COUNTIF($C$1:C576,B576)=1,10,"")</f>
        <v/>
      </c>
    </row>
    <row r="578" spans="1:25" x14ac:dyDescent="0.3">
      <c r="A578" s="75">
        <v>577</v>
      </c>
      <c r="B578" s="6">
        <v>46227</v>
      </c>
      <c r="C578" s="6">
        <v>46227</v>
      </c>
      <c r="D578" s="17" t="str">
        <f t="shared" si="100"/>
        <v>July</v>
      </c>
      <c r="E578" s="5" t="str">
        <f t="shared" ca="1" si="101"/>
        <v>STU-635</v>
      </c>
      <c r="F578" s="5" t="str">
        <f ca="1">IF(COUNTIF($E$2:E578,E578)=1,"New Customer","Returning Customer")</f>
        <v>New Customer</v>
      </c>
      <c r="G578" s="5" t="str">
        <f t="shared" ca="1" si="102"/>
        <v>Not specified</v>
      </c>
      <c r="H578" s="5" t="s">
        <v>138</v>
      </c>
      <c r="I578" s="5" t="str" cm="1">
        <f t="array" aca="1" ref="I578" ca="1">INDEX(Courses!$B$9:$B$16,RANDBETWEEN(1,8))</f>
        <v>Adolescent Psychology</v>
      </c>
      <c r="J578" s="5" t="str">
        <f ca="1">VLOOKUP(I578,Courses!$B$9:$C$16,2,0)</f>
        <v>Psychology</v>
      </c>
      <c r="K578" s="7">
        <f ca="1">VLOOKUP(I578,Courses!$B$9:$D$16,3,0)</f>
        <v>29</v>
      </c>
      <c r="L578" s="5" t="str">
        <f t="shared" ca="1" si="103"/>
        <v>Paid</v>
      </c>
      <c r="M578" s="8" t="str" cm="1">
        <f t="array" aca="1" ref="M578" ca="1">INDEX('Payment Method'!$A$8:$A$12,RANDBETWEEN(1,5))</f>
        <v>Bank Transfer</v>
      </c>
      <c r="N578" s="7">
        <f>IFERROR(SUMIF(Holiday!$A$8:$A$11,B578,Holiday!$C$8:$C$11),0)</f>
        <v>0</v>
      </c>
      <c r="O578" s="7">
        <f t="shared" ca="1" si="104"/>
        <v>29</v>
      </c>
      <c r="P578" s="19">
        <f t="shared" ca="1" si="105"/>
        <v>29</v>
      </c>
      <c r="Q578" s="7">
        <f t="shared" ca="1" si="106"/>
        <v>0</v>
      </c>
      <c r="R578" s="8">
        <f ca="1">VLOOKUP(M578,'Payment Method'!$A$8:$B$12,2,0)</f>
        <v>0</v>
      </c>
      <c r="S578" s="9">
        <f t="shared" ref="S578:S641" ca="1" si="108">O578-(O578-O578*R578)</f>
        <v>0</v>
      </c>
      <c r="T578" s="8">
        <v>0.01</v>
      </c>
      <c r="U578" s="9">
        <f t="shared" ref="U578:U641" ca="1" si="109">O578-S578-((O578-S578)-(O578-S578)*T578)</f>
        <v>0.28999999999999915</v>
      </c>
      <c r="V578" s="7">
        <f t="shared" ref="V578:V641" ca="1" si="110">IF(L578="refunded",(K578-K578*N578)-(K578-K578*N578)*R578-((K578-K578*N578)-(K578-K578*N578)*R578)*T578,0)</f>
        <v>0</v>
      </c>
      <c r="W578" s="7">
        <f t="shared" ref="W578:W641" ca="1" si="111">IF(L578="paid",(K578-K578*N578)-(K578-K578*N578)*R578-((K578-K578*N578)-(K578-K578*N578)*R578)*T578,0)</f>
        <v>28.71</v>
      </c>
      <c r="X578" s="5" t="str">
        <f t="shared" ca="1" si="107"/>
        <v>Instagram</v>
      </c>
      <c r="Y578" s="78" t="str">
        <f>IF(COUNTIF($C$1:C577,B577)=1,10,"")</f>
        <v/>
      </c>
    </row>
    <row r="579" spans="1:25" x14ac:dyDescent="0.3">
      <c r="A579" s="76">
        <v>578</v>
      </c>
      <c r="B579" s="6">
        <v>46025</v>
      </c>
      <c r="C579" s="6">
        <v>46026</v>
      </c>
      <c r="D579" s="17" t="str">
        <f t="shared" ref="D579:D642" si="112">TEXT(C579,"mmmm")</f>
        <v>January</v>
      </c>
      <c r="E579" s="5" t="str">
        <f t="shared" ref="E579:E642" ca="1" si="113">"STU-"&amp;RANDBETWEEN(1,1000)</f>
        <v>STU-121</v>
      </c>
      <c r="F579" s="5" t="str">
        <f ca="1">IF(COUNTIF($E$2:E579,E579)=1,"New Customer","Returning Customer")</f>
        <v>New Customer</v>
      </c>
      <c r="G579" s="5" t="str">
        <f t="shared" ref="G579:G642" ca="1" si="114">CHOOSE(RANDBETWEEN(1,3),"Male","Female","Not specified")</f>
        <v>Not specified</v>
      </c>
      <c r="H579" s="5" t="s">
        <v>141</v>
      </c>
      <c r="I579" s="5" t="str" cm="1">
        <f t="array" aca="1" ref="I579" ca="1">INDEX(Courses!$B$9:$B$16,RANDBETWEEN(1,8))</f>
        <v>Tax Code</v>
      </c>
      <c r="J579" s="5" t="str">
        <f ca="1">VLOOKUP(I579,Courses!$B$9:$C$16,2,0)</f>
        <v>Finance &amp; Taxation</v>
      </c>
      <c r="K579" s="7">
        <f ca="1">VLOOKUP(I579,Courses!$B$9:$D$16,3,0)</f>
        <v>59</v>
      </c>
      <c r="L579" s="5" t="str">
        <f t="shared" ref="L579:L642" ca="1" si="115">IF(RAND()&lt;0.6,"Paid",IF(RAND()&lt;0.75,"Pending","Refunded"))</f>
        <v>Refunded</v>
      </c>
      <c r="M579" s="8" t="str" cm="1">
        <f t="array" aca="1" ref="M579" ca="1">INDEX('Payment Method'!$A$8:$A$12,RANDBETWEEN(1,5))</f>
        <v>Mastercard Credit</v>
      </c>
      <c r="N579" s="7">
        <f>IFERROR(SUMIF(Holiday!$A$8:$A$11,B579,Holiday!$C$8:$C$11),0)</f>
        <v>0</v>
      </c>
      <c r="O579" s="7">
        <f t="shared" ref="O579:O642" ca="1" si="116">K579-K579*N579</f>
        <v>59</v>
      </c>
      <c r="P579" s="19">
        <f t="shared" ref="P579:P642" ca="1" si="117">O579-S579</f>
        <v>56.935000000000002</v>
      </c>
      <c r="Q579" s="7">
        <f t="shared" ref="Q579:Q642" ca="1" si="118">IF(L579="pending",(K579-K579*N579)-(K579-K579*N579)*R579-((K579-K579*N579)-(K579-K579*N579)*R579)*T579,0)</f>
        <v>0</v>
      </c>
      <c r="R579" s="8">
        <f ca="1">VLOOKUP(M579,'Payment Method'!$A$8:$B$12,2,0)</f>
        <v>3.5000000000000003E-2</v>
      </c>
      <c r="S579" s="9">
        <f t="shared" ca="1" si="108"/>
        <v>2.0649999999999977</v>
      </c>
      <c r="T579" s="8">
        <v>0.01</v>
      </c>
      <c r="U579" s="9">
        <f t="shared" ca="1" si="109"/>
        <v>0.56935000000000002</v>
      </c>
      <c r="V579" s="7">
        <f t="shared" ca="1" si="110"/>
        <v>56.365650000000002</v>
      </c>
      <c r="W579" s="7">
        <f t="shared" ca="1" si="111"/>
        <v>0</v>
      </c>
      <c r="X579" s="5" t="str">
        <f t="shared" ref="X579:X642" ca="1" si="119">CHOOSE(RANDBETWEEN(1,3),"Facebook","Instagram","Tiktok")</f>
        <v>Instagram</v>
      </c>
      <c r="Y579" s="78" t="str">
        <f>IF(COUNTIF($C$1:C578,B578)=1,10,"")</f>
        <v/>
      </c>
    </row>
    <row r="580" spans="1:25" x14ac:dyDescent="0.3">
      <c r="A580" s="75">
        <v>579</v>
      </c>
      <c r="B580" s="6">
        <v>46179</v>
      </c>
      <c r="C580" s="6">
        <v>46183</v>
      </c>
      <c r="D580" s="17" t="str">
        <f t="shared" si="112"/>
        <v>June</v>
      </c>
      <c r="E580" s="5" t="str">
        <f t="shared" ca="1" si="113"/>
        <v>STU-183</v>
      </c>
      <c r="F580" s="5" t="str">
        <f ca="1">IF(COUNTIF($E$2:E580,E580)=1,"New Customer","Returning Customer")</f>
        <v>New Customer</v>
      </c>
      <c r="G580" s="5" t="str">
        <f t="shared" ca="1" si="114"/>
        <v>Female</v>
      </c>
      <c r="H580" s="5" t="s">
        <v>139</v>
      </c>
      <c r="I580" s="5" t="str" cm="1">
        <f t="array" aca="1" ref="I580" ca="1">INDEX(Courses!$B$9:$B$16,RANDBETWEEN(1,8))</f>
        <v>PowerPoint</v>
      </c>
      <c r="J580" s="5" t="str">
        <f ca="1">VLOOKUP(I580,Courses!$B$9:$C$16,2,0)</f>
        <v>Microsoft Office</v>
      </c>
      <c r="K580" s="7">
        <f ca="1">VLOOKUP(I580,Courses!$B$9:$D$16,3,0)</f>
        <v>29</v>
      </c>
      <c r="L580" s="5" t="str">
        <f t="shared" ca="1" si="115"/>
        <v>Paid</v>
      </c>
      <c r="M580" s="8" t="str" cm="1">
        <f t="array" aca="1" ref="M580" ca="1">INDEX('Payment Method'!$A$8:$A$12,RANDBETWEEN(1,5))</f>
        <v>Visa Debit</v>
      </c>
      <c r="N580" s="7">
        <f>IFERROR(SUMIF(Holiday!$A$8:$A$11,B580,Holiday!$C$8:$C$11),0)</f>
        <v>0</v>
      </c>
      <c r="O580" s="7">
        <f t="shared" ca="1" si="116"/>
        <v>29</v>
      </c>
      <c r="P580" s="19">
        <f t="shared" ca="1" si="117"/>
        <v>28.42</v>
      </c>
      <c r="Q580" s="7">
        <f t="shared" ca="1" si="118"/>
        <v>0</v>
      </c>
      <c r="R580" s="8">
        <f ca="1">VLOOKUP(M580,'Payment Method'!$A$8:$B$12,2,0)</f>
        <v>0.02</v>
      </c>
      <c r="S580" s="9">
        <f t="shared" ca="1" si="108"/>
        <v>0.57999999999999829</v>
      </c>
      <c r="T580" s="8">
        <v>0.01</v>
      </c>
      <c r="U580" s="9">
        <f t="shared" ca="1" si="109"/>
        <v>0.28419999999999845</v>
      </c>
      <c r="V580" s="7">
        <f t="shared" ca="1" si="110"/>
        <v>0</v>
      </c>
      <c r="W580" s="7">
        <f t="shared" ca="1" si="111"/>
        <v>28.135800000000003</v>
      </c>
      <c r="X580" s="5" t="str">
        <f t="shared" ca="1" si="119"/>
        <v>Instagram</v>
      </c>
      <c r="Y580" s="78">
        <f>IF(COUNTIF($C$1:C579,B579)=1,10,"")</f>
        <v>10</v>
      </c>
    </row>
    <row r="581" spans="1:25" x14ac:dyDescent="0.3">
      <c r="A581" s="76">
        <v>580</v>
      </c>
      <c r="B581" s="6">
        <v>46152</v>
      </c>
      <c r="C581" s="6">
        <v>46157</v>
      </c>
      <c r="D581" s="17" t="str">
        <f t="shared" si="112"/>
        <v>May</v>
      </c>
      <c r="E581" s="5" t="str">
        <f t="shared" ca="1" si="113"/>
        <v>STU-680</v>
      </c>
      <c r="F581" s="5" t="str">
        <f ca="1">IF(COUNTIF($E$2:E581,E581)=1,"New Customer","Returning Customer")</f>
        <v>Returning Customer</v>
      </c>
      <c r="G581" s="5" t="str">
        <f t="shared" ca="1" si="114"/>
        <v>Female</v>
      </c>
      <c r="H581" s="5" t="s">
        <v>142</v>
      </c>
      <c r="I581" s="5" t="str" cm="1">
        <f t="array" aca="1" ref="I581" ca="1">INDEX(Courses!$B$9:$B$16,RANDBETWEEN(1,8))</f>
        <v>Complete Excel Course</v>
      </c>
      <c r="J581" s="5" t="str">
        <f ca="1">VLOOKUP(I581,Courses!$B$9:$C$16,2,0)</f>
        <v>Microsoft Office</v>
      </c>
      <c r="K581" s="7">
        <f ca="1">VLOOKUP(I581,Courses!$B$9:$D$16,3,0)</f>
        <v>59</v>
      </c>
      <c r="L581" s="5" t="str">
        <f t="shared" ca="1" si="115"/>
        <v>Paid</v>
      </c>
      <c r="M581" s="8" t="str" cm="1">
        <f t="array" aca="1" ref="M581" ca="1">INDEX('Payment Method'!$A$8:$A$12,RANDBETWEEN(1,5))</f>
        <v>Mastercard Credit</v>
      </c>
      <c r="N581" s="7">
        <f>IFERROR(SUMIF(Holiday!$A$8:$A$11,B581,Holiday!$C$8:$C$11),0)</f>
        <v>0</v>
      </c>
      <c r="O581" s="7">
        <f t="shared" ca="1" si="116"/>
        <v>59</v>
      </c>
      <c r="P581" s="19">
        <f t="shared" ca="1" si="117"/>
        <v>56.935000000000002</v>
      </c>
      <c r="Q581" s="7">
        <f t="shared" ca="1" si="118"/>
        <v>0</v>
      </c>
      <c r="R581" s="8">
        <f ca="1">VLOOKUP(M581,'Payment Method'!$A$8:$B$12,2,0)</f>
        <v>3.5000000000000003E-2</v>
      </c>
      <c r="S581" s="9">
        <f t="shared" ca="1" si="108"/>
        <v>2.0649999999999977</v>
      </c>
      <c r="T581" s="8">
        <v>0.01</v>
      </c>
      <c r="U581" s="9">
        <f t="shared" ca="1" si="109"/>
        <v>0.56935000000000002</v>
      </c>
      <c r="V581" s="7">
        <f t="shared" ca="1" si="110"/>
        <v>0</v>
      </c>
      <c r="W581" s="7">
        <f t="shared" ca="1" si="111"/>
        <v>56.365650000000002</v>
      </c>
      <c r="X581" s="5" t="str">
        <f t="shared" ca="1" si="119"/>
        <v>Instagram</v>
      </c>
      <c r="Y581" s="78" t="str">
        <f>IF(COUNTIF($C$1:C580,B580)=1,10,"")</f>
        <v/>
      </c>
    </row>
    <row r="582" spans="1:25" x14ac:dyDescent="0.3">
      <c r="A582" s="75">
        <v>581</v>
      </c>
      <c r="B582" s="6">
        <v>46204</v>
      </c>
      <c r="C582" s="6">
        <v>46207</v>
      </c>
      <c r="D582" s="17" t="str">
        <f t="shared" si="112"/>
        <v>July</v>
      </c>
      <c r="E582" s="5" t="str">
        <f t="shared" ca="1" si="113"/>
        <v>STU-26</v>
      </c>
      <c r="F582" s="5" t="str">
        <f ca="1">IF(COUNTIF($E$2:E582,E582)=1,"New Customer","Returning Customer")</f>
        <v>New Customer</v>
      </c>
      <c r="G582" s="5" t="str">
        <f t="shared" ca="1" si="114"/>
        <v>Female</v>
      </c>
      <c r="H582" s="5" t="s">
        <v>137</v>
      </c>
      <c r="I582" s="5" t="str" cm="1">
        <f t="array" aca="1" ref="I582" ca="1">INDEX(Courses!$B$9:$B$16,RANDBETWEEN(1,8))</f>
        <v>Microsoft Word</v>
      </c>
      <c r="J582" s="5" t="str">
        <f ca="1">VLOOKUP(I582,Courses!$B$9:$C$16,2,0)</f>
        <v>Microsoft Office</v>
      </c>
      <c r="K582" s="7">
        <f ca="1">VLOOKUP(I582,Courses!$B$9:$D$16,3,0)</f>
        <v>29</v>
      </c>
      <c r="L582" s="5" t="str">
        <f t="shared" ca="1" si="115"/>
        <v>Paid</v>
      </c>
      <c r="M582" s="8" t="str" cm="1">
        <f t="array" aca="1" ref="M582" ca="1">INDEX('Payment Method'!$A$8:$A$12,RANDBETWEEN(1,5))</f>
        <v>Mastercard Debit</v>
      </c>
      <c r="N582" s="7">
        <f>IFERROR(SUMIF(Holiday!$A$8:$A$11,B582,Holiday!$C$8:$C$11),0)</f>
        <v>0</v>
      </c>
      <c r="O582" s="7">
        <f t="shared" ca="1" si="116"/>
        <v>29</v>
      </c>
      <c r="P582" s="19">
        <f t="shared" ca="1" si="117"/>
        <v>28.42</v>
      </c>
      <c r="Q582" s="7">
        <f t="shared" ca="1" si="118"/>
        <v>0</v>
      </c>
      <c r="R582" s="8">
        <f ca="1">VLOOKUP(M582,'Payment Method'!$A$8:$B$12,2,0)</f>
        <v>0.02</v>
      </c>
      <c r="S582" s="9">
        <f t="shared" ca="1" si="108"/>
        <v>0.57999999999999829</v>
      </c>
      <c r="T582" s="8">
        <v>0.01</v>
      </c>
      <c r="U582" s="9">
        <f t="shared" ca="1" si="109"/>
        <v>0.28419999999999845</v>
      </c>
      <c r="V582" s="7">
        <f t="shared" ca="1" si="110"/>
        <v>0</v>
      </c>
      <c r="W582" s="7">
        <f t="shared" ca="1" si="111"/>
        <v>28.135800000000003</v>
      </c>
      <c r="X582" s="5" t="str">
        <f t="shared" ca="1" si="119"/>
        <v>Facebook</v>
      </c>
      <c r="Y582" s="78" t="str">
        <f>IF(COUNTIF($C$1:C581,B581)=1,10,"")</f>
        <v/>
      </c>
    </row>
    <row r="583" spans="1:25" x14ac:dyDescent="0.3">
      <c r="A583" s="76">
        <v>582</v>
      </c>
      <c r="B583" s="6">
        <v>46189</v>
      </c>
      <c r="C583" s="6">
        <v>46191</v>
      </c>
      <c r="D583" s="17" t="str">
        <f t="shared" si="112"/>
        <v>June</v>
      </c>
      <c r="E583" s="5" t="str">
        <f t="shared" ca="1" si="113"/>
        <v>STU-315</v>
      </c>
      <c r="F583" s="5" t="str">
        <f ca="1">IF(COUNTIF($E$2:E583,E583)=1,"New Customer","Returning Customer")</f>
        <v>Returning Customer</v>
      </c>
      <c r="G583" s="5" t="str">
        <f t="shared" ca="1" si="114"/>
        <v>Not specified</v>
      </c>
      <c r="H583" s="5" t="s">
        <v>140</v>
      </c>
      <c r="I583" s="5" t="str" cm="1">
        <f t="array" aca="1" ref="I583" ca="1">INDEX(Courses!$B$9:$B$16,RANDBETWEEN(1,8))</f>
        <v>Microsoft Word</v>
      </c>
      <c r="J583" s="5" t="str">
        <f ca="1">VLOOKUP(I583,Courses!$B$9:$C$16,2,0)</f>
        <v>Microsoft Office</v>
      </c>
      <c r="K583" s="7">
        <f ca="1">VLOOKUP(I583,Courses!$B$9:$D$16,3,0)</f>
        <v>29</v>
      </c>
      <c r="L583" s="5" t="str">
        <f t="shared" ca="1" si="115"/>
        <v>Pending</v>
      </c>
      <c r="M583" s="8" t="str" cm="1">
        <f t="array" aca="1" ref="M583" ca="1">INDEX('Payment Method'!$A$8:$A$12,RANDBETWEEN(1,5))</f>
        <v>Mastercard Debit</v>
      </c>
      <c r="N583" s="7">
        <f>IFERROR(SUMIF(Holiday!$A$8:$A$11,B583,Holiday!$C$8:$C$11),0)</f>
        <v>0</v>
      </c>
      <c r="O583" s="7">
        <f t="shared" ca="1" si="116"/>
        <v>29</v>
      </c>
      <c r="P583" s="19">
        <f t="shared" ca="1" si="117"/>
        <v>28.42</v>
      </c>
      <c r="Q583" s="7">
        <f t="shared" ca="1" si="118"/>
        <v>28.135800000000003</v>
      </c>
      <c r="R583" s="8">
        <f ca="1">VLOOKUP(M583,'Payment Method'!$A$8:$B$12,2,0)</f>
        <v>0.02</v>
      </c>
      <c r="S583" s="9">
        <f t="shared" ca="1" si="108"/>
        <v>0.57999999999999829</v>
      </c>
      <c r="T583" s="8">
        <v>0.01</v>
      </c>
      <c r="U583" s="9">
        <f t="shared" ca="1" si="109"/>
        <v>0.28419999999999845</v>
      </c>
      <c r="V583" s="7">
        <f t="shared" ca="1" si="110"/>
        <v>0</v>
      </c>
      <c r="W583" s="7">
        <f t="shared" ca="1" si="111"/>
        <v>0</v>
      </c>
      <c r="X583" s="5" t="str">
        <f t="shared" ca="1" si="119"/>
        <v>Instagram</v>
      </c>
      <c r="Y583" s="78" t="str">
        <f>IF(COUNTIF($C$1:C582,B582)=1,10,"")</f>
        <v/>
      </c>
    </row>
    <row r="584" spans="1:25" x14ac:dyDescent="0.3">
      <c r="A584" s="75">
        <v>583</v>
      </c>
      <c r="B584" s="6">
        <v>46043</v>
      </c>
      <c r="C584" s="6">
        <v>46046</v>
      </c>
      <c r="D584" s="17" t="str">
        <f t="shared" si="112"/>
        <v>January</v>
      </c>
      <c r="E584" s="5" t="str">
        <f t="shared" ca="1" si="113"/>
        <v>STU-589</v>
      </c>
      <c r="F584" s="5" t="str">
        <f ca="1">IF(COUNTIF($E$2:E584,E584)=1,"New Customer","Returning Customer")</f>
        <v>Returning Customer</v>
      </c>
      <c r="G584" s="5" t="str">
        <f t="shared" ca="1" si="114"/>
        <v>Female</v>
      </c>
      <c r="H584" s="5" t="s">
        <v>142</v>
      </c>
      <c r="I584" s="5" t="str" cm="1">
        <f t="array" aca="1" ref="I584" ca="1">INDEX(Courses!$B$9:$B$16,RANDBETWEEN(1,8))</f>
        <v>PowerPoint</v>
      </c>
      <c r="J584" s="5" t="str">
        <f ca="1">VLOOKUP(I584,Courses!$B$9:$C$16,2,0)</f>
        <v>Microsoft Office</v>
      </c>
      <c r="K584" s="7">
        <f ca="1">VLOOKUP(I584,Courses!$B$9:$D$16,3,0)</f>
        <v>29</v>
      </c>
      <c r="L584" s="5" t="str">
        <f t="shared" ca="1" si="115"/>
        <v>Pending</v>
      </c>
      <c r="M584" s="8" t="str" cm="1">
        <f t="array" aca="1" ref="M584" ca="1">INDEX('Payment Method'!$A$8:$A$12,RANDBETWEEN(1,5))</f>
        <v>Bank Transfer</v>
      </c>
      <c r="N584" s="7">
        <f>IFERROR(SUMIF(Holiday!$A$8:$A$11,B584,Holiday!$C$8:$C$11),0)</f>
        <v>0</v>
      </c>
      <c r="O584" s="7">
        <f t="shared" ca="1" si="116"/>
        <v>29</v>
      </c>
      <c r="P584" s="19">
        <f t="shared" ca="1" si="117"/>
        <v>29</v>
      </c>
      <c r="Q584" s="7">
        <f t="shared" ca="1" si="118"/>
        <v>28.71</v>
      </c>
      <c r="R584" s="8">
        <f ca="1">VLOOKUP(M584,'Payment Method'!$A$8:$B$12,2,0)</f>
        <v>0</v>
      </c>
      <c r="S584" s="9">
        <f t="shared" ca="1" si="108"/>
        <v>0</v>
      </c>
      <c r="T584" s="8">
        <v>0.01</v>
      </c>
      <c r="U584" s="9">
        <f t="shared" ca="1" si="109"/>
        <v>0.28999999999999915</v>
      </c>
      <c r="V584" s="7">
        <f t="shared" ca="1" si="110"/>
        <v>0</v>
      </c>
      <c r="W584" s="7">
        <f t="shared" ca="1" si="111"/>
        <v>0</v>
      </c>
      <c r="X584" s="5" t="str">
        <f t="shared" ca="1" si="119"/>
        <v>Instagram</v>
      </c>
      <c r="Y584" s="78" t="str">
        <f>IF(COUNTIF($C$1:C583,B583)=1,10,"")</f>
        <v/>
      </c>
    </row>
    <row r="585" spans="1:25" x14ac:dyDescent="0.3">
      <c r="A585" s="76">
        <v>584</v>
      </c>
      <c r="B585" s="6">
        <v>46056</v>
      </c>
      <c r="C585" s="6">
        <v>46059</v>
      </c>
      <c r="D585" s="17" t="str">
        <f t="shared" si="112"/>
        <v>February</v>
      </c>
      <c r="E585" s="5" t="str">
        <f t="shared" ca="1" si="113"/>
        <v>STU-645</v>
      </c>
      <c r="F585" s="5" t="str">
        <f ca="1">IF(COUNTIF($E$2:E585,E585)=1,"New Customer","Returning Customer")</f>
        <v>Returning Customer</v>
      </c>
      <c r="G585" s="5" t="str">
        <f t="shared" ca="1" si="114"/>
        <v>Male</v>
      </c>
      <c r="H585" s="5" t="s">
        <v>135</v>
      </c>
      <c r="I585" s="5" t="str" cm="1">
        <f t="array" aca="1" ref="I585" ca="1">INDEX(Courses!$B$9:$B$16,RANDBETWEEN(1,8))</f>
        <v>Microsoft Word</v>
      </c>
      <c r="J585" s="5" t="str">
        <f ca="1">VLOOKUP(I585,Courses!$B$9:$C$16,2,0)</f>
        <v>Microsoft Office</v>
      </c>
      <c r="K585" s="7">
        <f ca="1">VLOOKUP(I585,Courses!$B$9:$D$16,3,0)</f>
        <v>29</v>
      </c>
      <c r="L585" s="5" t="str">
        <f t="shared" ca="1" si="115"/>
        <v>Paid</v>
      </c>
      <c r="M585" s="8" t="str" cm="1">
        <f t="array" aca="1" ref="M585" ca="1">INDEX('Payment Method'!$A$8:$A$12,RANDBETWEEN(1,5))</f>
        <v>Mastercard Debit</v>
      </c>
      <c r="N585" s="7">
        <f>IFERROR(SUMIF(Holiday!$A$8:$A$11,B585,Holiday!$C$8:$C$11),0)</f>
        <v>0</v>
      </c>
      <c r="O585" s="7">
        <f t="shared" ca="1" si="116"/>
        <v>29</v>
      </c>
      <c r="P585" s="19">
        <f t="shared" ca="1" si="117"/>
        <v>28.42</v>
      </c>
      <c r="Q585" s="7">
        <f t="shared" ca="1" si="118"/>
        <v>0</v>
      </c>
      <c r="R585" s="8">
        <f ca="1">VLOOKUP(M585,'Payment Method'!$A$8:$B$12,2,0)</f>
        <v>0.02</v>
      </c>
      <c r="S585" s="9">
        <f t="shared" ca="1" si="108"/>
        <v>0.57999999999999829</v>
      </c>
      <c r="T585" s="8">
        <v>0.01</v>
      </c>
      <c r="U585" s="9">
        <f t="shared" ca="1" si="109"/>
        <v>0.28419999999999845</v>
      </c>
      <c r="V585" s="7">
        <f t="shared" ca="1" si="110"/>
        <v>0</v>
      </c>
      <c r="W585" s="7">
        <f t="shared" ca="1" si="111"/>
        <v>28.135800000000003</v>
      </c>
      <c r="X585" s="5" t="str">
        <f t="shared" ca="1" si="119"/>
        <v>Facebook</v>
      </c>
      <c r="Y585" s="78" t="str">
        <f>IF(COUNTIF($C$1:C584,B584)=1,10,"")</f>
        <v/>
      </c>
    </row>
    <row r="586" spans="1:25" x14ac:dyDescent="0.3">
      <c r="A586" s="75">
        <v>585</v>
      </c>
      <c r="B586" s="6">
        <v>46105</v>
      </c>
      <c r="C586" s="6">
        <v>46106</v>
      </c>
      <c r="D586" s="17" t="str">
        <f t="shared" si="112"/>
        <v>March</v>
      </c>
      <c r="E586" s="5" t="str">
        <f t="shared" ca="1" si="113"/>
        <v>STU-959</v>
      </c>
      <c r="F586" s="5" t="str">
        <f ca="1">IF(COUNTIF($E$2:E586,E586)=1,"New Customer","Returning Customer")</f>
        <v>New Customer</v>
      </c>
      <c r="G586" s="5" t="str">
        <f t="shared" ca="1" si="114"/>
        <v>Not specified</v>
      </c>
      <c r="H586" s="5" t="s">
        <v>137</v>
      </c>
      <c r="I586" s="5" t="str" cm="1">
        <f t="array" aca="1" ref="I586" ca="1">INDEX(Courses!$B$9:$B$16,RANDBETWEEN(1,8))</f>
        <v>Excel Basics</v>
      </c>
      <c r="J586" s="5" t="str">
        <f ca="1">VLOOKUP(I586,Courses!$B$9:$C$16,2,0)</f>
        <v>Microsoft Office</v>
      </c>
      <c r="K586" s="7">
        <f ca="1">VLOOKUP(I586,Courses!$B$9:$D$16,3,0)</f>
        <v>29</v>
      </c>
      <c r="L586" s="5" t="str">
        <f t="shared" ca="1" si="115"/>
        <v>Paid</v>
      </c>
      <c r="M586" s="8" t="str" cm="1">
        <f t="array" aca="1" ref="M586" ca="1">INDEX('Payment Method'!$A$8:$A$12,RANDBETWEEN(1,5))</f>
        <v>Mastercard Credit</v>
      </c>
      <c r="N586" s="7">
        <f>IFERROR(SUMIF(Holiday!$A$8:$A$11,B586,Holiday!$C$8:$C$11),0)</f>
        <v>0</v>
      </c>
      <c r="O586" s="7">
        <f t="shared" ca="1" si="116"/>
        <v>29</v>
      </c>
      <c r="P586" s="19">
        <f t="shared" ca="1" si="117"/>
        <v>27.984999999999999</v>
      </c>
      <c r="Q586" s="7">
        <f t="shared" ca="1" si="118"/>
        <v>0</v>
      </c>
      <c r="R586" s="8">
        <f ca="1">VLOOKUP(M586,'Payment Method'!$A$8:$B$12,2,0)</f>
        <v>3.5000000000000003E-2</v>
      </c>
      <c r="S586" s="9">
        <f t="shared" ca="1" si="108"/>
        <v>1.0150000000000006</v>
      </c>
      <c r="T586" s="8">
        <v>0.01</v>
      </c>
      <c r="U586" s="9">
        <f t="shared" ca="1" si="109"/>
        <v>0.27984999999999971</v>
      </c>
      <c r="V586" s="7">
        <f t="shared" ca="1" si="110"/>
        <v>0</v>
      </c>
      <c r="W586" s="7">
        <f t="shared" ca="1" si="111"/>
        <v>27.70515</v>
      </c>
      <c r="X586" s="5" t="str">
        <f t="shared" ca="1" si="119"/>
        <v>Instagram</v>
      </c>
      <c r="Y586" s="78" t="str">
        <f>IF(COUNTIF($C$1:C585,B585)=1,10,"")</f>
        <v/>
      </c>
    </row>
    <row r="587" spans="1:25" x14ac:dyDescent="0.3">
      <c r="A587" s="76">
        <v>586</v>
      </c>
      <c r="B587" s="6">
        <v>46156</v>
      </c>
      <c r="C587" s="6">
        <v>46156</v>
      </c>
      <c r="D587" s="17" t="str">
        <f t="shared" si="112"/>
        <v>May</v>
      </c>
      <c r="E587" s="5" t="str">
        <f t="shared" ca="1" si="113"/>
        <v>STU-822</v>
      </c>
      <c r="F587" s="5" t="str">
        <f ca="1">IF(COUNTIF($E$2:E587,E587)=1,"New Customer","Returning Customer")</f>
        <v>New Customer</v>
      </c>
      <c r="G587" s="5" t="str">
        <f t="shared" ca="1" si="114"/>
        <v>Female</v>
      </c>
      <c r="H587" s="5" t="s">
        <v>141</v>
      </c>
      <c r="I587" s="5" t="str" cm="1">
        <f t="array" aca="1" ref="I587" ca="1">INDEX(Courses!$B$9:$B$16,RANDBETWEEN(1,8))</f>
        <v>Microsoft Word</v>
      </c>
      <c r="J587" s="5" t="str">
        <f ca="1">VLOOKUP(I587,Courses!$B$9:$C$16,2,0)</f>
        <v>Microsoft Office</v>
      </c>
      <c r="K587" s="7">
        <f ca="1">VLOOKUP(I587,Courses!$B$9:$D$16,3,0)</f>
        <v>29</v>
      </c>
      <c r="L587" s="5" t="str">
        <f t="shared" ca="1" si="115"/>
        <v>Pending</v>
      </c>
      <c r="M587" s="8" t="str" cm="1">
        <f t="array" aca="1" ref="M587" ca="1">INDEX('Payment Method'!$A$8:$A$12,RANDBETWEEN(1,5))</f>
        <v>Mastercard Debit</v>
      </c>
      <c r="N587" s="7">
        <f>IFERROR(SUMIF(Holiday!$A$8:$A$11,B587,Holiday!$C$8:$C$11),0)</f>
        <v>0</v>
      </c>
      <c r="O587" s="7">
        <f t="shared" ca="1" si="116"/>
        <v>29</v>
      </c>
      <c r="P587" s="19">
        <f t="shared" ca="1" si="117"/>
        <v>28.42</v>
      </c>
      <c r="Q587" s="7">
        <f t="shared" ca="1" si="118"/>
        <v>28.135800000000003</v>
      </c>
      <c r="R587" s="8">
        <f ca="1">VLOOKUP(M587,'Payment Method'!$A$8:$B$12,2,0)</f>
        <v>0.02</v>
      </c>
      <c r="S587" s="9">
        <f t="shared" ca="1" si="108"/>
        <v>0.57999999999999829</v>
      </c>
      <c r="T587" s="8">
        <v>0.01</v>
      </c>
      <c r="U587" s="9">
        <f t="shared" ca="1" si="109"/>
        <v>0.28419999999999845</v>
      </c>
      <c r="V587" s="7">
        <f t="shared" ca="1" si="110"/>
        <v>0</v>
      </c>
      <c r="W587" s="7">
        <f t="shared" ca="1" si="111"/>
        <v>0</v>
      </c>
      <c r="X587" s="5" t="str">
        <f t="shared" ca="1" si="119"/>
        <v>Tiktok</v>
      </c>
      <c r="Y587" s="78" t="str">
        <f>IF(COUNTIF($C$1:C586,B586)=1,10,"")</f>
        <v/>
      </c>
    </row>
    <row r="588" spans="1:25" x14ac:dyDescent="0.3">
      <c r="A588" s="75">
        <v>587</v>
      </c>
      <c r="B588" s="6">
        <v>46163</v>
      </c>
      <c r="C588" s="6">
        <v>46163</v>
      </c>
      <c r="D588" s="17" t="str">
        <f t="shared" si="112"/>
        <v>May</v>
      </c>
      <c r="E588" s="5" t="str">
        <f t="shared" ca="1" si="113"/>
        <v>STU-104</v>
      </c>
      <c r="F588" s="5" t="str">
        <f ca="1">IF(COUNTIF($E$2:E588,E588)=1,"New Customer","Returning Customer")</f>
        <v>Returning Customer</v>
      </c>
      <c r="G588" s="5" t="str">
        <f t="shared" ca="1" si="114"/>
        <v>Female</v>
      </c>
      <c r="H588" s="5" t="s">
        <v>137</v>
      </c>
      <c r="I588" s="5" t="str" cm="1">
        <f t="array" aca="1" ref="I588" ca="1">INDEX(Courses!$B$9:$B$16,RANDBETWEEN(1,8))</f>
        <v>Complete Excel Course</v>
      </c>
      <c r="J588" s="5" t="str">
        <f ca="1">VLOOKUP(I588,Courses!$B$9:$C$16,2,0)</f>
        <v>Microsoft Office</v>
      </c>
      <c r="K588" s="7">
        <f ca="1">VLOOKUP(I588,Courses!$B$9:$D$16,3,0)</f>
        <v>59</v>
      </c>
      <c r="L588" s="5" t="str">
        <f t="shared" ca="1" si="115"/>
        <v>Paid</v>
      </c>
      <c r="M588" s="8" t="str" cm="1">
        <f t="array" aca="1" ref="M588" ca="1">INDEX('Payment Method'!$A$8:$A$12,RANDBETWEEN(1,5))</f>
        <v>Mastercard Debit</v>
      </c>
      <c r="N588" s="7">
        <f>IFERROR(SUMIF(Holiday!$A$8:$A$11,B588,Holiday!$C$8:$C$11),0)</f>
        <v>0</v>
      </c>
      <c r="O588" s="7">
        <f t="shared" ca="1" si="116"/>
        <v>59</v>
      </c>
      <c r="P588" s="19">
        <f t="shared" ca="1" si="117"/>
        <v>57.82</v>
      </c>
      <c r="Q588" s="7">
        <f t="shared" ca="1" si="118"/>
        <v>0</v>
      </c>
      <c r="R588" s="8">
        <f ca="1">VLOOKUP(M588,'Payment Method'!$A$8:$B$12,2,0)</f>
        <v>0.02</v>
      </c>
      <c r="S588" s="9">
        <f t="shared" ca="1" si="108"/>
        <v>1.1799999999999997</v>
      </c>
      <c r="T588" s="8">
        <v>0.01</v>
      </c>
      <c r="U588" s="9">
        <f t="shared" ca="1" si="109"/>
        <v>0.57820000000000249</v>
      </c>
      <c r="V588" s="7">
        <f t="shared" ca="1" si="110"/>
        <v>0</v>
      </c>
      <c r="W588" s="7">
        <f t="shared" ca="1" si="111"/>
        <v>57.241799999999998</v>
      </c>
      <c r="X588" s="5" t="str">
        <f t="shared" ca="1" si="119"/>
        <v>Instagram</v>
      </c>
      <c r="Y588" s="78" t="str">
        <f>IF(COUNTIF($C$1:C587,B587)=1,10,"")</f>
        <v/>
      </c>
    </row>
    <row r="589" spans="1:25" x14ac:dyDescent="0.3">
      <c r="A589" s="76">
        <v>588</v>
      </c>
      <c r="B589" s="6">
        <v>46049</v>
      </c>
      <c r="C589" s="6">
        <v>46052</v>
      </c>
      <c r="D589" s="17" t="str">
        <f t="shared" si="112"/>
        <v>January</v>
      </c>
      <c r="E589" s="5" t="str">
        <f t="shared" ca="1" si="113"/>
        <v>STU-649</v>
      </c>
      <c r="F589" s="5" t="str">
        <f ca="1">IF(COUNTIF($E$2:E589,E589)=1,"New Customer","Returning Customer")</f>
        <v>Returning Customer</v>
      </c>
      <c r="G589" s="5" t="str">
        <f t="shared" ca="1" si="114"/>
        <v>Female</v>
      </c>
      <c r="H589" s="5" t="s">
        <v>135</v>
      </c>
      <c r="I589" s="5" t="str" cm="1">
        <f t="array" aca="1" ref="I589" ca="1">INDEX(Courses!$B$9:$B$16,RANDBETWEEN(1,8))</f>
        <v>Tax Code</v>
      </c>
      <c r="J589" s="5" t="str">
        <f ca="1">VLOOKUP(I589,Courses!$B$9:$C$16,2,0)</f>
        <v>Finance &amp; Taxation</v>
      </c>
      <c r="K589" s="7">
        <f ca="1">VLOOKUP(I589,Courses!$B$9:$D$16,3,0)</f>
        <v>59</v>
      </c>
      <c r="L589" s="5" t="str">
        <f t="shared" ca="1" si="115"/>
        <v>Paid</v>
      </c>
      <c r="M589" s="8" t="str" cm="1">
        <f t="array" aca="1" ref="M589" ca="1">INDEX('Payment Method'!$A$8:$A$12,RANDBETWEEN(1,5))</f>
        <v>Mastercard Credit</v>
      </c>
      <c r="N589" s="7">
        <f>IFERROR(SUMIF(Holiday!$A$8:$A$11,B589,Holiday!$C$8:$C$11),0)</f>
        <v>0</v>
      </c>
      <c r="O589" s="7">
        <f t="shared" ca="1" si="116"/>
        <v>59</v>
      </c>
      <c r="P589" s="19">
        <f t="shared" ca="1" si="117"/>
        <v>56.935000000000002</v>
      </c>
      <c r="Q589" s="7">
        <f t="shared" ca="1" si="118"/>
        <v>0</v>
      </c>
      <c r="R589" s="8">
        <f ca="1">VLOOKUP(M589,'Payment Method'!$A$8:$B$12,2,0)</f>
        <v>3.5000000000000003E-2</v>
      </c>
      <c r="S589" s="9">
        <f t="shared" ca="1" si="108"/>
        <v>2.0649999999999977</v>
      </c>
      <c r="T589" s="8">
        <v>0.01</v>
      </c>
      <c r="U589" s="9">
        <f t="shared" ca="1" si="109"/>
        <v>0.56935000000000002</v>
      </c>
      <c r="V589" s="7">
        <f t="shared" ca="1" si="110"/>
        <v>0</v>
      </c>
      <c r="W589" s="7">
        <f t="shared" ca="1" si="111"/>
        <v>56.365650000000002</v>
      </c>
      <c r="X589" s="5" t="str">
        <f t="shared" ca="1" si="119"/>
        <v>Tiktok</v>
      </c>
      <c r="Y589" s="78" t="str">
        <f>IF(COUNTIF($C$1:C588,B588)=1,10,"")</f>
        <v/>
      </c>
    </row>
    <row r="590" spans="1:25" x14ac:dyDescent="0.3">
      <c r="A590" s="75">
        <v>589</v>
      </c>
      <c r="B590" s="6">
        <v>46208</v>
      </c>
      <c r="C590" s="6">
        <v>46210</v>
      </c>
      <c r="D590" s="17" t="str">
        <f t="shared" si="112"/>
        <v>July</v>
      </c>
      <c r="E590" s="5" t="str">
        <f t="shared" ca="1" si="113"/>
        <v>STU-883</v>
      </c>
      <c r="F590" s="5" t="str">
        <f ca="1">IF(COUNTIF($E$2:E590,E590)=1,"New Customer","Returning Customer")</f>
        <v>New Customer</v>
      </c>
      <c r="G590" s="5" t="str">
        <f t="shared" ca="1" si="114"/>
        <v>Not specified</v>
      </c>
      <c r="H590" s="5" t="s">
        <v>137</v>
      </c>
      <c r="I590" s="5" t="str" cm="1">
        <f t="array" aca="1" ref="I590" ca="1">INDEX(Courses!$B$9:$B$16,RANDBETWEEN(1,8))</f>
        <v>Power BI</v>
      </c>
      <c r="J590" s="5" t="str">
        <f ca="1">VLOOKUP(I590,Courses!$B$9:$C$16,2,0)</f>
        <v>Data Analytics</v>
      </c>
      <c r="K590" s="7">
        <f ca="1">VLOOKUP(I590,Courses!$B$9:$D$16,3,0)</f>
        <v>59</v>
      </c>
      <c r="L590" s="5" t="str">
        <f t="shared" ca="1" si="115"/>
        <v>Pending</v>
      </c>
      <c r="M590" s="8" t="str" cm="1">
        <f t="array" aca="1" ref="M590" ca="1">INDEX('Payment Method'!$A$8:$A$12,RANDBETWEEN(1,5))</f>
        <v>Mastercard Credit</v>
      </c>
      <c r="N590" s="7">
        <f>IFERROR(SUMIF(Holiday!$A$8:$A$11,B590,Holiday!$C$8:$C$11),0)</f>
        <v>0</v>
      </c>
      <c r="O590" s="7">
        <f t="shared" ca="1" si="116"/>
        <v>59</v>
      </c>
      <c r="P590" s="19">
        <f t="shared" ca="1" si="117"/>
        <v>56.935000000000002</v>
      </c>
      <c r="Q590" s="7">
        <f t="shared" ca="1" si="118"/>
        <v>56.365650000000002</v>
      </c>
      <c r="R590" s="8">
        <f ca="1">VLOOKUP(M590,'Payment Method'!$A$8:$B$12,2,0)</f>
        <v>3.5000000000000003E-2</v>
      </c>
      <c r="S590" s="9">
        <f t="shared" ca="1" si="108"/>
        <v>2.0649999999999977</v>
      </c>
      <c r="T590" s="8">
        <v>0.01</v>
      </c>
      <c r="U590" s="9">
        <f t="shared" ca="1" si="109"/>
        <v>0.56935000000000002</v>
      </c>
      <c r="V590" s="7">
        <f t="shared" ca="1" si="110"/>
        <v>0</v>
      </c>
      <c r="W590" s="7">
        <f t="shared" ca="1" si="111"/>
        <v>0</v>
      </c>
      <c r="X590" s="5" t="str">
        <f t="shared" ca="1" si="119"/>
        <v>Facebook</v>
      </c>
      <c r="Y590" s="78" t="str">
        <f>IF(COUNTIF($C$1:C589,B589)=1,10,"")</f>
        <v/>
      </c>
    </row>
    <row r="591" spans="1:25" x14ac:dyDescent="0.3">
      <c r="A591" s="76">
        <v>590</v>
      </c>
      <c r="B591" s="6">
        <v>46214</v>
      </c>
      <c r="C591" s="6">
        <v>46219</v>
      </c>
      <c r="D591" s="17" t="str">
        <f t="shared" si="112"/>
        <v>July</v>
      </c>
      <c r="E591" s="5" t="str">
        <f t="shared" ca="1" si="113"/>
        <v>STU-538</v>
      </c>
      <c r="F591" s="5" t="str">
        <f ca="1">IF(COUNTIF($E$2:E591,E591)=1,"New Customer","Returning Customer")</f>
        <v>Returning Customer</v>
      </c>
      <c r="G591" s="5" t="str">
        <f t="shared" ca="1" si="114"/>
        <v>Not specified</v>
      </c>
      <c r="H591" s="5" t="s">
        <v>138</v>
      </c>
      <c r="I591" s="5" t="str" cm="1">
        <f t="array" aca="1" ref="I591" ca="1">INDEX(Courses!$B$9:$B$16,RANDBETWEEN(1,8))</f>
        <v>SQL</v>
      </c>
      <c r="J591" s="5" t="str">
        <f ca="1">VLOOKUP(I591,Courses!$B$9:$C$16,2,0)</f>
        <v>Data Analytics</v>
      </c>
      <c r="K591" s="7">
        <f ca="1">VLOOKUP(I591,Courses!$B$9:$D$16,3,0)</f>
        <v>99</v>
      </c>
      <c r="L591" s="5" t="str">
        <f t="shared" ca="1" si="115"/>
        <v>Paid</v>
      </c>
      <c r="M591" s="8" t="str" cm="1">
        <f t="array" aca="1" ref="M591" ca="1">INDEX('Payment Method'!$A$8:$A$12,RANDBETWEEN(1,5))</f>
        <v>Visa Credit</v>
      </c>
      <c r="N591" s="7">
        <f>IFERROR(SUMIF(Holiday!$A$8:$A$11,B591,Holiday!$C$8:$C$11),0)</f>
        <v>0</v>
      </c>
      <c r="O591" s="7">
        <f t="shared" ca="1" si="116"/>
        <v>99</v>
      </c>
      <c r="P591" s="19">
        <f t="shared" ca="1" si="117"/>
        <v>95.534999999999997</v>
      </c>
      <c r="Q591" s="7">
        <f t="shared" ca="1" si="118"/>
        <v>0</v>
      </c>
      <c r="R591" s="8">
        <f ca="1">VLOOKUP(M591,'Payment Method'!$A$8:$B$12,2,0)</f>
        <v>3.5000000000000003E-2</v>
      </c>
      <c r="S591" s="9">
        <f t="shared" ca="1" si="108"/>
        <v>3.4650000000000034</v>
      </c>
      <c r="T591" s="8">
        <v>0.01</v>
      </c>
      <c r="U591" s="9">
        <f t="shared" ca="1" si="109"/>
        <v>0.9553499999999957</v>
      </c>
      <c r="V591" s="7">
        <f t="shared" ca="1" si="110"/>
        <v>0</v>
      </c>
      <c r="W591" s="7">
        <f t="shared" ca="1" si="111"/>
        <v>94.579650000000001</v>
      </c>
      <c r="X591" s="5" t="str">
        <f t="shared" ca="1" si="119"/>
        <v>Tiktok</v>
      </c>
      <c r="Y591" s="78" t="str">
        <f>IF(COUNTIF($C$1:C590,B590)=1,10,"")</f>
        <v/>
      </c>
    </row>
    <row r="592" spans="1:25" x14ac:dyDescent="0.3">
      <c r="A592" s="75">
        <v>591</v>
      </c>
      <c r="B592" s="6">
        <v>46219</v>
      </c>
      <c r="C592" s="6">
        <v>46222</v>
      </c>
      <c r="D592" s="17" t="str">
        <f t="shared" si="112"/>
        <v>July</v>
      </c>
      <c r="E592" s="5" t="str">
        <f t="shared" ca="1" si="113"/>
        <v>STU-77</v>
      </c>
      <c r="F592" s="5" t="str">
        <f ca="1">IF(COUNTIF($E$2:E592,E592)=1,"New Customer","Returning Customer")</f>
        <v>New Customer</v>
      </c>
      <c r="G592" s="5" t="str">
        <f t="shared" ca="1" si="114"/>
        <v>Not specified</v>
      </c>
      <c r="H592" s="5" t="s">
        <v>141</v>
      </c>
      <c r="I592" s="5" t="str" cm="1">
        <f t="array" aca="1" ref="I592" ca="1">INDEX(Courses!$B$9:$B$16,RANDBETWEEN(1,8))</f>
        <v>Power BI</v>
      </c>
      <c r="J592" s="5" t="str">
        <f ca="1">VLOOKUP(I592,Courses!$B$9:$C$16,2,0)</f>
        <v>Data Analytics</v>
      </c>
      <c r="K592" s="7">
        <f ca="1">VLOOKUP(I592,Courses!$B$9:$D$16,3,0)</f>
        <v>59</v>
      </c>
      <c r="L592" s="5" t="str">
        <f t="shared" ca="1" si="115"/>
        <v>Pending</v>
      </c>
      <c r="M592" s="8" t="str" cm="1">
        <f t="array" aca="1" ref="M592" ca="1">INDEX('Payment Method'!$A$8:$A$12,RANDBETWEEN(1,5))</f>
        <v>Visa Debit</v>
      </c>
      <c r="N592" s="7">
        <f>IFERROR(SUMIF(Holiday!$A$8:$A$11,B592,Holiday!$C$8:$C$11),0)</f>
        <v>0</v>
      </c>
      <c r="O592" s="7">
        <f t="shared" ca="1" si="116"/>
        <v>59</v>
      </c>
      <c r="P592" s="19">
        <f t="shared" ca="1" si="117"/>
        <v>57.82</v>
      </c>
      <c r="Q592" s="7">
        <f t="shared" ca="1" si="118"/>
        <v>57.241799999999998</v>
      </c>
      <c r="R592" s="8">
        <f ca="1">VLOOKUP(M592,'Payment Method'!$A$8:$B$12,2,0)</f>
        <v>0.02</v>
      </c>
      <c r="S592" s="9">
        <f t="shared" ca="1" si="108"/>
        <v>1.1799999999999997</v>
      </c>
      <c r="T592" s="8">
        <v>0.01</v>
      </c>
      <c r="U592" s="9">
        <f t="shared" ca="1" si="109"/>
        <v>0.57820000000000249</v>
      </c>
      <c r="V592" s="7">
        <f t="shared" ca="1" si="110"/>
        <v>0</v>
      </c>
      <c r="W592" s="7">
        <f t="shared" ca="1" si="111"/>
        <v>0</v>
      </c>
      <c r="X592" s="5" t="str">
        <f t="shared" ca="1" si="119"/>
        <v>Instagram</v>
      </c>
      <c r="Y592" s="78" t="str">
        <f>IF(COUNTIF($C$1:C591,B591)=1,10,"")</f>
        <v/>
      </c>
    </row>
    <row r="593" spans="1:25" x14ac:dyDescent="0.3">
      <c r="A593" s="76">
        <v>592</v>
      </c>
      <c r="B593" s="6">
        <v>46184</v>
      </c>
      <c r="C593" s="6">
        <v>46186</v>
      </c>
      <c r="D593" s="17" t="str">
        <f t="shared" si="112"/>
        <v>June</v>
      </c>
      <c r="E593" s="5" t="str">
        <f t="shared" ca="1" si="113"/>
        <v>STU-927</v>
      </c>
      <c r="F593" s="5" t="str">
        <f ca="1">IF(COUNTIF($E$2:E593,E593)=1,"New Customer","Returning Customer")</f>
        <v>New Customer</v>
      </c>
      <c r="G593" s="5" t="str">
        <f t="shared" ca="1" si="114"/>
        <v>Not specified</v>
      </c>
      <c r="H593" s="5" t="s">
        <v>137</v>
      </c>
      <c r="I593" s="5" t="str" cm="1">
        <f t="array" aca="1" ref="I593" ca="1">INDEX(Courses!$B$9:$B$16,RANDBETWEEN(1,8))</f>
        <v>SQL</v>
      </c>
      <c r="J593" s="5" t="str">
        <f ca="1">VLOOKUP(I593,Courses!$B$9:$C$16,2,0)</f>
        <v>Data Analytics</v>
      </c>
      <c r="K593" s="7">
        <f ca="1">VLOOKUP(I593,Courses!$B$9:$D$16,3,0)</f>
        <v>99</v>
      </c>
      <c r="L593" s="5" t="str">
        <f t="shared" ca="1" si="115"/>
        <v>Pending</v>
      </c>
      <c r="M593" s="8" t="str" cm="1">
        <f t="array" aca="1" ref="M593" ca="1">INDEX('Payment Method'!$A$8:$A$12,RANDBETWEEN(1,5))</f>
        <v>Mastercard Credit</v>
      </c>
      <c r="N593" s="7">
        <f>IFERROR(SUMIF(Holiday!$A$8:$A$11,B593,Holiday!$C$8:$C$11),0)</f>
        <v>0</v>
      </c>
      <c r="O593" s="7">
        <f t="shared" ca="1" si="116"/>
        <v>99</v>
      </c>
      <c r="P593" s="19">
        <f t="shared" ca="1" si="117"/>
        <v>95.534999999999997</v>
      </c>
      <c r="Q593" s="7">
        <f t="shared" ca="1" si="118"/>
        <v>94.579650000000001</v>
      </c>
      <c r="R593" s="8">
        <f ca="1">VLOOKUP(M593,'Payment Method'!$A$8:$B$12,2,0)</f>
        <v>3.5000000000000003E-2</v>
      </c>
      <c r="S593" s="9">
        <f t="shared" ca="1" si="108"/>
        <v>3.4650000000000034</v>
      </c>
      <c r="T593" s="8">
        <v>0.01</v>
      </c>
      <c r="U593" s="9">
        <f t="shared" ca="1" si="109"/>
        <v>0.9553499999999957</v>
      </c>
      <c r="V593" s="7">
        <f t="shared" ca="1" si="110"/>
        <v>0</v>
      </c>
      <c r="W593" s="7">
        <f t="shared" ca="1" si="111"/>
        <v>0</v>
      </c>
      <c r="X593" s="5" t="str">
        <f t="shared" ca="1" si="119"/>
        <v>Facebook</v>
      </c>
      <c r="Y593" s="78" t="str">
        <f>IF(COUNTIF($C$1:C592,B592)=1,10,"")</f>
        <v/>
      </c>
    </row>
    <row r="594" spans="1:25" x14ac:dyDescent="0.3">
      <c r="A594" s="75">
        <v>593</v>
      </c>
      <c r="B594" s="6">
        <v>46093</v>
      </c>
      <c r="C594" s="6">
        <v>46093</v>
      </c>
      <c r="D594" s="17" t="str">
        <f t="shared" si="112"/>
        <v>March</v>
      </c>
      <c r="E594" s="5" t="str">
        <f t="shared" ca="1" si="113"/>
        <v>STU-103</v>
      </c>
      <c r="F594" s="5" t="str">
        <f ca="1">IF(COUNTIF($E$2:E594,E594)=1,"New Customer","Returning Customer")</f>
        <v>New Customer</v>
      </c>
      <c r="G594" s="5" t="str">
        <f t="shared" ca="1" si="114"/>
        <v>Male</v>
      </c>
      <c r="H594" s="5" t="s">
        <v>136</v>
      </c>
      <c r="I594" s="5" t="str" cm="1">
        <f t="array" aca="1" ref="I594" ca="1">INDEX(Courses!$B$9:$B$16,RANDBETWEEN(1,8))</f>
        <v>Adolescent Psychology</v>
      </c>
      <c r="J594" s="5" t="str">
        <f ca="1">VLOOKUP(I594,Courses!$B$9:$C$16,2,0)</f>
        <v>Psychology</v>
      </c>
      <c r="K594" s="7">
        <f ca="1">VLOOKUP(I594,Courses!$B$9:$D$16,3,0)</f>
        <v>29</v>
      </c>
      <c r="L594" s="5" t="str">
        <f t="shared" ca="1" si="115"/>
        <v>Pending</v>
      </c>
      <c r="M594" s="8" t="str" cm="1">
        <f t="array" aca="1" ref="M594" ca="1">INDEX('Payment Method'!$A$8:$A$12,RANDBETWEEN(1,5))</f>
        <v>Mastercard Credit</v>
      </c>
      <c r="N594" s="7">
        <f>IFERROR(SUMIF(Holiday!$A$8:$A$11,B594,Holiday!$C$8:$C$11),0)</f>
        <v>0</v>
      </c>
      <c r="O594" s="7">
        <f t="shared" ca="1" si="116"/>
        <v>29</v>
      </c>
      <c r="P594" s="19">
        <f t="shared" ca="1" si="117"/>
        <v>27.984999999999999</v>
      </c>
      <c r="Q594" s="7">
        <f t="shared" ca="1" si="118"/>
        <v>27.70515</v>
      </c>
      <c r="R594" s="8">
        <f ca="1">VLOOKUP(M594,'Payment Method'!$A$8:$B$12,2,0)</f>
        <v>3.5000000000000003E-2</v>
      </c>
      <c r="S594" s="9">
        <f t="shared" ca="1" si="108"/>
        <v>1.0150000000000006</v>
      </c>
      <c r="T594" s="8">
        <v>0.01</v>
      </c>
      <c r="U594" s="9">
        <f t="shared" ca="1" si="109"/>
        <v>0.27984999999999971</v>
      </c>
      <c r="V594" s="7">
        <f t="shared" ca="1" si="110"/>
        <v>0</v>
      </c>
      <c r="W594" s="7">
        <f t="shared" ca="1" si="111"/>
        <v>0</v>
      </c>
      <c r="X594" s="5" t="str">
        <f t="shared" ca="1" si="119"/>
        <v>Instagram</v>
      </c>
      <c r="Y594" s="78" t="str">
        <f>IF(COUNTIF($C$1:C593,B593)=1,10,"")</f>
        <v/>
      </c>
    </row>
    <row r="595" spans="1:25" x14ac:dyDescent="0.3">
      <c r="A595" s="76">
        <v>594</v>
      </c>
      <c r="B595" s="6">
        <v>46202</v>
      </c>
      <c r="C595" s="6">
        <v>46207</v>
      </c>
      <c r="D595" s="17" t="str">
        <f t="shared" si="112"/>
        <v>July</v>
      </c>
      <c r="E595" s="5" t="str">
        <f t="shared" ca="1" si="113"/>
        <v>STU-661</v>
      </c>
      <c r="F595" s="5" t="str">
        <f ca="1">IF(COUNTIF($E$2:E595,E595)=1,"New Customer","Returning Customer")</f>
        <v>New Customer</v>
      </c>
      <c r="G595" s="5" t="str">
        <f t="shared" ca="1" si="114"/>
        <v>Not specified</v>
      </c>
      <c r="H595" s="5" t="s">
        <v>141</v>
      </c>
      <c r="I595" s="5" t="str" cm="1">
        <f t="array" aca="1" ref="I595" ca="1">INDEX(Courses!$B$9:$B$16,RANDBETWEEN(1,8))</f>
        <v>Complete Excel Course</v>
      </c>
      <c r="J595" s="5" t="str">
        <f ca="1">VLOOKUP(I595,Courses!$B$9:$C$16,2,0)</f>
        <v>Microsoft Office</v>
      </c>
      <c r="K595" s="7">
        <f ca="1">VLOOKUP(I595,Courses!$B$9:$D$16,3,0)</f>
        <v>59</v>
      </c>
      <c r="L595" s="5" t="str">
        <f t="shared" ca="1" si="115"/>
        <v>Pending</v>
      </c>
      <c r="M595" s="8" t="str" cm="1">
        <f t="array" aca="1" ref="M595" ca="1">INDEX('Payment Method'!$A$8:$A$12,RANDBETWEEN(1,5))</f>
        <v>Bank Transfer</v>
      </c>
      <c r="N595" s="7">
        <f>IFERROR(SUMIF(Holiday!$A$8:$A$11,B595,Holiday!$C$8:$C$11),0)</f>
        <v>0</v>
      </c>
      <c r="O595" s="7">
        <f t="shared" ca="1" si="116"/>
        <v>59</v>
      </c>
      <c r="P595" s="19">
        <f t="shared" ca="1" si="117"/>
        <v>59</v>
      </c>
      <c r="Q595" s="7">
        <f t="shared" ca="1" si="118"/>
        <v>58.41</v>
      </c>
      <c r="R595" s="8">
        <f ca="1">VLOOKUP(M595,'Payment Method'!$A$8:$B$12,2,0)</f>
        <v>0</v>
      </c>
      <c r="S595" s="9">
        <f t="shared" ca="1" si="108"/>
        <v>0</v>
      </c>
      <c r="T595" s="8">
        <v>0.01</v>
      </c>
      <c r="U595" s="9">
        <f t="shared" ca="1" si="109"/>
        <v>0.59000000000000341</v>
      </c>
      <c r="V595" s="7">
        <f t="shared" ca="1" si="110"/>
        <v>0</v>
      </c>
      <c r="W595" s="7">
        <f t="shared" ca="1" si="111"/>
        <v>0</v>
      </c>
      <c r="X595" s="5" t="str">
        <f t="shared" ca="1" si="119"/>
        <v>Instagram</v>
      </c>
      <c r="Y595" s="78" t="str">
        <f>IF(COUNTIF($C$1:C594,B594)=1,10,"")</f>
        <v/>
      </c>
    </row>
    <row r="596" spans="1:25" x14ac:dyDescent="0.3">
      <c r="A596" s="75">
        <v>595</v>
      </c>
      <c r="B596" s="6">
        <v>46209</v>
      </c>
      <c r="C596" s="6">
        <v>46213</v>
      </c>
      <c r="D596" s="17" t="str">
        <f t="shared" si="112"/>
        <v>July</v>
      </c>
      <c r="E596" s="5" t="str">
        <f t="shared" ca="1" si="113"/>
        <v>STU-471</v>
      </c>
      <c r="F596" s="5" t="str">
        <f ca="1">IF(COUNTIF($E$2:E596,E596)=1,"New Customer","Returning Customer")</f>
        <v>New Customer</v>
      </c>
      <c r="G596" s="5" t="str">
        <f t="shared" ca="1" si="114"/>
        <v>Not specified</v>
      </c>
      <c r="H596" s="5" t="s">
        <v>141</v>
      </c>
      <c r="I596" s="5" t="str" cm="1">
        <f t="array" aca="1" ref="I596" ca="1">INDEX(Courses!$B$9:$B$16,RANDBETWEEN(1,8))</f>
        <v>Tax Code</v>
      </c>
      <c r="J596" s="5" t="str">
        <f ca="1">VLOOKUP(I596,Courses!$B$9:$C$16,2,0)</f>
        <v>Finance &amp; Taxation</v>
      </c>
      <c r="K596" s="7">
        <f ca="1">VLOOKUP(I596,Courses!$B$9:$D$16,3,0)</f>
        <v>59</v>
      </c>
      <c r="L596" s="5" t="str">
        <f t="shared" ca="1" si="115"/>
        <v>Pending</v>
      </c>
      <c r="M596" s="8" t="str" cm="1">
        <f t="array" aca="1" ref="M596" ca="1">INDEX('Payment Method'!$A$8:$A$12,RANDBETWEEN(1,5))</f>
        <v>Mastercard Credit</v>
      </c>
      <c r="N596" s="7">
        <f>IFERROR(SUMIF(Holiday!$A$8:$A$11,B596,Holiday!$C$8:$C$11),0)</f>
        <v>0</v>
      </c>
      <c r="O596" s="7">
        <f t="shared" ca="1" si="116"/>
        <v>59</v>
      </c>
      <c r="P596" s="19">
        <f t="shared" ca="1" si="117"/>
        <v>56.935000000000002</v>
      </c>
      <c r="Q596" s="7">
        <f t="shared" ca="1" si="118"/>
        <v>56.365650000000002</v>
      </c>
      <c r="R596" s="8">
        <f ca="1">VLOOKUP(M596,'Payment Method'!$A$8:$B$12,2,0)</f>
        <v>3.5000000000000003E-2</v>
      </c>
      <c r="S596" s="9">
        <f t="shared" ca="1" si="108"/>
        <v>2.0649999999999977</v>
      </c>
      <c r="T596" s="8">
        <v>0.01</v>
      </c>
      <c r="U596" s="9">
        <f t="shared" ca="1" si="109"/>
        <v>0.56935000000000002</v>
      </c>
      <c r="V596" s="7">
        <f t="shared" ca="1" si="110"/>
        <v>0</v>
      </c>
      <c r="W596" s="7">
        <f t="shared" ca="1" si="111"/>
        <v>0</v>
      </c>
      <c r="X596" s="5" t="str">
        <f t="shared" ca="1" si="119"/>
        <v>Instagram</v>
      </c>
      <c r="Y596" s="78" t="str">
        <f>IF(COUNTIF($C$1:C595,B595)=1,10,"")</f>
        <v/>
      </c>
    </row>
    <row r="597" spans="1:25" x14ac:dyDescent="0.3">
      <c r="A597" s="76">
        <v>596</v>
      </c>
      <c r="B597" s="6">
        <v>46112</v>
      </c>
      <c r="C597" s="6">
        <v>46115</v>
      </c>
      <c r="D597" s="17" t="str">
        <f t="shared" si="112"/>
        <v>April</v>
      </c>
      <c r="E597" s="5" t="str">
        <f t="shared" ca="1" si="113"/>
        <v>STU-745</v>
      </c>
      <c r="F597" s="5" t="str">
        <f ca="1">IF(COUNTIF($E$2:E597,E597)=1,"New Customer","Returning Customer")</f>
        <v>Returning Customer</v>
      </c>
      <c r="G597" s="5" t="str">
        <f t="shared" ca="1" si="114"/>
        <v>Not specified</v>
      </c>
      <c r="H597" s="5" t="s">
        <v>142</v>
      </c>
      <c r="I597" s="5" t="str" cm="1">
        <f t="array" aca="1" ref="I597" ca="1">INDEX(Courses!$B$9:$B$16,RANDBETWEEN(1,8))</f>
        <v>Microsoft Word</v>
      </c>
      <c r="J597" s="5" t="str">
        <f ca="1">VLOOKUP(I597,Courses!$B$9:$C$16,2,0)</f>
        <v>Microsoft Office</v>
      </c>
      <c r="K597" s="7">
        <f ca="1">VLOOKUP(I597,Courses!$B$9:$D$16,3,0)</f>
        <v>29</v>
      </c>
      <c r="L597" s="5" t="str">
        <f t="shared" ca="1" si="115"/>
        <v>Pending</v>
      </c>
      <c r="M597" s="8" t="str" cm="1">
        <f t="array" aca="1" ref="M597" ca="1">INDEX('Payment Method'!$A$8:$A$12,RANDBETWEEN(1,5))</f>
        <v>Mastercard Debit</v>
      </c>
      <c r="N597" s="7">
        <f>IFERROR(SUMIF(Holiday!$A$8:$A$11,B597,Holiday!$C$8:$C$11),0)</f>
        <v>0</v>
      </c>
      <c r="O597" s="7">
        <f t="shared" ca="1" si="116"/>
        <v>29</v>
      </c>
      <c r="P597" s="19">
        <f t="shared" ca="1" si="117"/>
        <v>28.42</v>
      </c>
      <c r="Q597" s="7">
        <f t="shared" ca="1" si="118"/>
        <v>28.135800000000003</v>
      </c>
      <c r="R597" s="8">
        <f ca="1">VLOOKUP(M597,'Payment Method'!$A$8:$B$12,2,0)</f>
        <v>0.02</v>
      </c>
      <c r="S597" s="9">
        <f t="shared" ca="1" si="108"/>
        <v>0.57999999999999829</v>
      </c>
      <c r="T597" s="8">
        <v>0.01</v>
      </c>
      <c r="U597" s="9">
        <f t="shared" ca="1" si="109"/>
        <v>0.28419999999999845</v>
      </c>
      <c r="V597" s="7">
        <f t="shared" ca="1" si="110"/>
        <v>0</v>
      </c>
      <c r="W597" s="7">
        <f t="shared" ca="1" si="111"/>
        <v>0</v>
      </c>
      <c r="X597" s="5" t="str">
        <f t="shared" ca="1" si="119"/>
        <v>Instagram</v>
      </c>
      <c r="Y597" s="78">
        <f>IF(COUNTIF($C$1:C596,B596)=1,10,"")</f>
        <v>10</v>
      </c>
    </row>
    <row r="598" spans="1:25" x14ac:dyDescent="0.3">
      <c r="A598" s="75">
        <v>597</v>
      </c>
      <c r="B598" s="6">
        <v>46077</v>
      </c>
      <c r="C598" s="6">
        <v>46079</v>
      </c>
      <c r="D598" s="17" t="str">
        <f t="shared" si="112"/>
        <v>February</v>
      </c>
      <c r="E598" s="5" t="str">
        <f t="shared" ca="1" si="113"/>
        <v>STU-968</v>
      </c>
      <c r="F598" s="5" t="str">
        <f ca="1">IF(COUNTIF($E$2:E598,E598)=1,"New Customer","Returning Customer")</f>
        <v>New Customer</v>
      </c>
      <c r="G598" s="5" t="str">
        <f t="shared" ca="1" si="114"/>
        <v>Male</v>
      </c>
      <c r="H598" s="5" t="s">
        <v>135</v>
      </c>
      <c r="I598" s="5" t="str" cm="1">
        <f t="array" aca="1" ref="I598" ca="1">INDEX(Courses!$B$9:$B$16,RANDBETWEEN(1,8))</f>
        <v>Power BI</v>
      </c>
      <c r="J598" s="5" t="str">
        <f ca="1">VLOOKUP(I598,Courses!$B$9:$C$16,2,0)</f>
        <v>Data Analytics</v>
      </c>
      <c r="K598" s="7">
        <f ca="1">VLOOKUP(I598,Courses!$B$9:$D$16,3,0)</f>
        <v>59</v>
      </c>
      <c r="L598" s="5" t="str">
        <f t="shared" ca="1" si="115"/>
        <v>Pending</v>
      </c>
      <c r="M598" s="8" t="str" cm="1">
        <f t="array" aca="1" ref="M598" ca="1">INDEX('Payment Method'!$A$8:$A$12,RANDBETWEEN(1,5))</f>
        <v>Mastercard Debit</v>
      </c>
      <c r="N598" s="7">
        <f>IFERROR(SUMIF(Holiday!$A$8:$A$11,B598,Holiday!$C$8:$C$11),0)</f>
        <v>0</v>
      </c>
      <c r="O598" s="7">
        <f t="shared" ca="1" si="116"/>
        <v>59</v>
      </c>
      <c r="P598" s="19">
        <f t="shared" ca="1" si="117"/>
        <v>57.82</v>
      </c>
      <c r="Q598" s="7">
        <f t="shared" ca="1" si="118"/>
        <v>57.241799999999998</v>
      </c>
      <c r="R598" s="8">
        <f ca="1">VLOOKUP(M598,'Payment Method'!$A$8:$B$12,2,0)</f>
        <v>0.02</v>
      </c>
      <c r="S598" s="9">
        <f t="shared" ca="1" si="108"/>
        <v>1.1799999999999997</v>
      </c>
      <c r="T598" s="8">
        <v>0.01</v>
      </c>
      <c r="U598" s="9">
        <f t="shared" ca="1" si="109"/>
        <v>0.57820000000000249</v>
      </c>
      <c r="V598" s="7">
        <f t="shared" ca="1" si="110"/>
        <v>0</v>
      </c>
      <c r="W598" s="7">
        <f t="shared" ca="1" si="111"/>
        <v>0</v>
      </c>
      <c r="X598" s="5" t="str">
        <f t="shared" ca="1" si="119"/>
        <v>Facebook</v>
      </c>
      <c r="Y598" s="78" t="str">
        <f>IF(COUNTIF($C$1:C597,B597)=1,10,"")</f>
        <v/>
      </c>
    </row>
    <row r="599" spans="1:25" x14ac:dyDescent="0.3">
      <c r="A599" s="76">
        <v>598</v>
      </c>
      <c r="B599" s="6">
        <v>46083</v>
      </c>
      <c r="C599" s="6">
        <v>46084</v>
      </c>
      <c r="D599" s="17" t="str">
        <f t="shared" si="112"/>
        <v>March</v>
      </c>
      <c r="E599" s="5" t="str">
        <f t="shared" ca="1" si="113"/>
        <v>STU-854</v>
      </c>
      <c r="F599" s="5" t="str">
        <f ca="1">IF(COUNTIF($E$2:E599,E599)=1,"New Customer","Returning Customer")</f>
        <v>Returning Customer</v>
      </c>
      <c r="G599" s="5" t="str">
        <f t="shared" ca="1" si="114"/>
        <v>Male</v>
      </c>
      <c r="H599" s="5" t="s">
        <v>138</v>
      </c>
      <c r="I599" s="5" t="str" cm="1">
        <f t="array" aca="1" ref="I599" ca="1">INDEX(Courses!$B$9:$B$16,RANDBETWEEN(1,8))</f>
        <v>Excel Basics</v>
      </c>
      <c r="J599" s="5" t="str">
        <f ca="1">VLOOKUP(I599,Courses!$B$9:$C$16,2,0)</f>
        <v>Microsoft Office</v>
      </c>
      <c r="K599" s="7">
        <f ca="1">VLOOKUP(I599,Courses!$B$9:$D$16,3,0)</f>
        <v>29</v>
      </c>
      <c r="L599" s="5" t="str">
        <f t="shared" ca="1" si="115"/>
        <v>Paid</v>
      </c>
      <c r="M599" s="8" t="str" cm="1">
        <f t="array" aca="1" ref="M599" ca="1">INDEX('Payment Method'!$A$8:$A$12,RANDBETWEEN(1,5))</f>
        <v>Visa Debit</v>
      </c>
      <c r="N599" s="7">
        <f>IFERROR(SUMIF(Holiday!$A$8:$A$11,B599,Holiday!$C$8:$C$11),0)</f>
        <v>0</v>
      </c>
      <c r="O599" s="7">
        <f t="shared" ca="1" si="116"/>
        <v>29</v>
      </c>
      <c r="P599" s="19">
        <f t="shared" ca="1" si="117"/>
        <v>28.42</v>
      </c>
      <c r="Q599" s="7">
        <f t="shared" ca="1" si="118"/>
        <v>0</v>
      </c>
      <c r="R599" s="8">
        <f ca="1">VLOOKUP(M599,'Payment Method'!$A$8:$B$12,2,0)</f>
        <v>0.02</v>
      </c>
      <c r="S599" s="9">
        <f t="shared" ca="1" si="108"/>
        <v>0.57999999999999829</v>
      </c>
      <c r="T599" s="8">
        <v>0.01</v>
      </c>
      <c r="U599" s="9">
        <f t="shared" ca="1" si="109"/>
        <v>0.28419999999999845</v>
      </c>
      <c r="V599" s="7">
        <f t="shared" ca="1" si="110"/>
        <v>0</v>
      </c>
      <c r="W599" s="7">
        <f t="shared" ca="1" si="111"/>
        <v>28.135800000000003</v>
      </c>
      <c r="X599" s="5" t="str">
        <f t="shared" ca="1" si="119"/>
        <v>Facebook</v>
      </c>
      <c r="Y599" s="78" t="str">
        <f>IF(COUNTIF($C$1:C598,B598)=1,10,"")</f>
        <v/>
      </c>
    </row>
    <row r="600" spans="1:25" x14ac:dyDescent="0.3">
      <c r="A600" s="75">
        <v>599</v>
      </c>
      <c r="B600" s="6">
        <v>46158</v>
      </c>
      <c r="C600" s="6">
        <v>46162</v>
      </c>
      <c r="D600" s="17" t="str">
        <f t="shared" si="112"/>
        <v>May</v>
      </c>
      <c r="E600" s="5" t="str">
        <f t="shared" ca="1" si="113"/>
        <v>STU-219</v>
      </c>
      <c r="F600" s="5" t="str">
        <f ca="1">IF(COUNTIF($E$2:E600,E600)=1,"New Customer","Returning Customer")</f>
        <v>New Customer</v>
      </c>
      <c r="G600" s="5" t="str">
        <f t="shared" ca="1" si="114"/>
        <v>Male</v>
      </c>
      <c r="H600" s="5" t="s">
        <v>136</v>
      </c>
      <c r="I600" s="5" t="str" cm="1">
        <f t="array" aca="1" ref="I600" ca="1">INDEX(Courses!$B$9:$B$16,RANDBETWEEN(1,8))</f>
        <v>SQL</v>
      </c>
      <c r="J600" s="5" t="str">
        <f ca="1">VLOOKUP(I600,Courses!$B$9:$C$16,2,0)</f>
        <v>Data Analytics</v>
      </c>
      <c r="K600" s="7">
        <f ca="1">VLOOKUP(I600,Courses!$B$9:$D$16,3,0)</f>
        <v>99</v>
      </c>
      <c r="L600" s="5" t="str">
        <f t="shared" ca="1" si="115"/>
        <v>Paid</v>
      </c>
      <c r="M600" s="8" t="str" cm="1">
        <f t="array" aca="1" ref="M600" ca="1">INDEX('Payment Method'!$A$8:$A$12,RANDBETWEEN(1,5))</f>
        <v>Bank Transfer</v>
      </c>
      <c r="N600" s="7">
        <f>IFERROR(SUMIF(Holiday!$A$8:$A$11,B600,Holiday!$C$8:$C$11),0)</f>
        <v>0</v>
      </c>
      <c r="O600" s="7">
        <f t="shared" ca="1" si="116"/>
        <v>99</v>
      </c>
      <c r="P600" s="19">
        <f t="shared" ca="1" si="117"/>
        <v>99</v>
      </c>
      <c r="Q600" s="7">
        <f t="shared" ca="1" si="118"/>
        <v>0</v>
      </c>
      <c r="R600" s="8">
        <f ca="1">VLOOKUP(M600,'Payment Method'!$A$8:$B$12,2,0)</f>
        <v>0</v>
      </c>
      <c r="S600" s="9">
        <f t="shared" ca="1" si="108"/>
        <v>0</v>
      </c>
      <c r="T600" s="8">
        <v>0.01</v>
      </c>
      <c r="U600" s="9">
        <f t="shared" ca="1" si="109"/>
        <v>0.98999999999999488</v>
      </c>
      <c r="V600" s="7">
        <f t="shared" ca="1" si="110"/>
        <v>0</v>
      </c>
      <c r="W600" s="7">
        <f t="shared" ca="1" si="111"/>
        <v>98.01</v>
      </c>
      <c r="X600" s="5" t="str">
        <f t="shared" ca="1" si="119"/>
        <v>Tiktok</v>
      </c>
      <c r="Y600" s="78" t="str">
        <f>IF(COUNTIF($C$1:C599,B599)=1,10,"")</f>
        <v/>
      </c>
    </row>
    <row r="601" spans="1:25" x14ac:dyDescent="0.3">
      <c r="A601" s="76">
        <v>600</v>
      </c>
      <c r="B601" s="6">
        <v>46230</v>
      </c>
      <c r="C601" s="6">
        <v>46232</v>
      </c>
      <c r="D601" s="17" t="str">
        <f t="shared" si="112"/>
        <v>July</v>
      </c>
      <c r="E601" s="5" t="str">
        <f t="shared" ca="1" si="113"/>
        <v>STU-472</v>
      </c>
      <c r="F601" s="5" t="str">
        <f ca="1">IF(COUNTIF($E$2:E601,E601)=1,"New Customer","Returning Customer")</f>
        <v>New Customer</v>
      </c>
      <c r="G601" s="5" t="str">
        <f t="shared" ca="1" si="114"/>
        <v>Not specified</v>
      </c>
      <c r="H601" s="5" t="s">
        <v>135</v>
      </c>
      <c r="I601" s="5" t="str" cm="1">
        <f t="array" aca="1" ref="I601" ca="1">INDEX(Courses!$B$9:$B$16,RANDBETWEEN(1,8))</f>
        <v>Tax Code</v>
      </c>
      <c r="J601" s="5" t="str">
        <f ca="1">VLOOKUP(I601,Courses!$B$9:$C$16,2,0)</f>
        <v>Finance &amp; Taxation</v>
      </c>
      <c r="K601" s="7">
        <f ca="1">VLOOKUP(I601,Courses!$B$9:$D$16,3,0)</f>
        <v>59</v>
      </c>
      <c r="L601" s="5" t="str">
        <f t="shared" ca="1" si="115"/>
        <v>Paid</v>
      </c>
      <c r="M601" s="8" t="str" cm="1">
        <f t="array" aca="1" ref="M601" ca="1">INDEX('Payment Method'!$A$8:$A$12,RANDBETWEEN(1,5))</f>
        <v>Bank Transfer</v>
      </c>
      <c r="N601" s="7">
        <f>IFERROR(SUMIF(Holiday!$A$8:$A$11,B601,Holiday!$C$8:$C$11),0)</f>
        <v>0</v>
      </c>
      <c r="O601" s="7">
        <f t="shared" ca="1" si="116"/>
        <v>59</v>
      </c>
      <c r="P601" s="19">
        <f t="shared" ca="1" si="117"/>
        <v>59</v>
      </c>
      <c r="Q601" s="7">
        <f t="shared" ca="1" si="118"/>
        <v>0</v>
      </c>
      <c r="R601" s="8">
        <f ca="1">VLOOKUP(M601,'Payment Method'!$A$8:$B$12,2,0)</f>
        <v>0</v>
      </c>
      <c r="S601" s="9">
        <f t="shared" ca="1" si="108"/>
        <v>0</v>
      </c>
      <c r="T601" s="8">
        <v>0.01</v>
      </c>
      <c r="U601" s="9">
        <f t="shared" ca="1" si="109"/>
        <v>0.59000000000000341</v>
      </c>
      <c r="V601" s="7">
        <f t="shared" ca="1" si="110"/>
        <v>0</v>
      </c>
      <c r="W601" s="7">
        <f t="shared" ca="1" si="111"/>
        <v>58.41</v>
      </c>
      <c r="X601" s="5" t="str">
        <f t="shared" ca="1" si="119"/>
        <v>Instagram</v>
      </c>
      <c r="Y601" s="78" t="str">
        <f>IF(COUNTIF($C$1:C600,B600)=1,10,"")</f>
        <v/>
      </c>
    </row>
    <row r="602" spans="1:25" x14ac:dyDescent="0.3">
      <c r="A602" s="75">
        <v>601</v>
      </c>
      <c r="B602" s="6">
        <v>46202</v>
      </c>
      <c r="C602" s="6">
        <v>46206</v>
      </c>
      <c r="D602" s="17" t="str">
        <f t="shared" si="112"/>
        <v>July</v>
      </c>
      <c r="E602" s="5" t="str">
        <f t="shared" ca="1" si="113"/>
        <v>STU-621</v>
      </c>
      <c r="F602" s="5" t="str">
        <f ca="1">IF(COUNTIF($E$2:E602,E602)=1,"New Customer","Returning Customer")</f>
        <v>Returning Customer</v>
      </c>
      <c r="G602" s="5" t="str">
        <f t="shared" ca="1" si="114"/>
        <v>Male</v>
      </c>
      <c r="H602" s="5" t="s">
        <v>142</v>
      </c>
      <c r="I602" s="5" t="str" cm="1">
        <f t="array" aca="1" ref="I602" ca="1">INDEX(Courses!$B$9:$B$16,RANDBETWEEN(1,8))</f>
        <v>Excel Basics</v>
      </c>
      <c r="J602" s="5" t="str">
        <f ca="1">VLOOKUP(I602,Courses!$B$9:$C$16,2,0)</f>
        <v>Microsoft Office</v>
      </c>
      <c r="K602" s="7">
        <f ca="1">VLOOKUP(I602,Courses!$B$9:$D$16,3,0)</f>
        <v>29</v>
      </c>
      <c r="L602" s="5" t="str">
        <f t="shared" ca="1" si="115"/>
        <v>Pending</v>
      </c>
      <c r="M602" s="8" t="str" cm="1">
        <f t="array" aca="1" ref="M602" ca="1">INDEX('Payment Method'!$A$8:$A$12,RANDBETWEEN(1,5))</f>
        <v>Bank Transfer</v>
      </c>
      <c r="N602" s="7">
        <f>IFERROR(SUMIF(Holiday!$A$8:$A$11,B602,Holiday!$C$8:$C$11),0)</f>
        <v>0</v>
      </c>
      <c r="O602" s="7">
        <f t="shared" ca="1" si="116"/>
        <v>29</v>
      </c>
      <c r="P602" s="19">
        <f t="shared" ca="1" si="117"/>
        <v>29</v>
      </c>
      <c r="Q602" s="7">
        <f t="shared" ca="1" si="118"/>
        <v>28.71</v>
      </c>
      <c r="R602" s="8">
        <f ca="1">VLOOKUP(M602,'Payment Method'!$A$8:$B$12,2,0)</f>
        <v>0</v>
      </c>
      <c r="S602" s="9">
        <f t="shared" ca="1" si="108"/>
        <v>0</v>
      </c>
      <c r="T602" s="8">
        <v>0.01</v>
      </c>
      <c r="U602" s="9">
        <f t="shared" ca="1" si="109"/>
        <v>0.28999999999999915</v>
      </c>
      <c r="V602" s="7">
        <f t="shared" ca="1" si="110"/>
        <v>0</v>
      </c>
      <c r="W602" s="7">
        <f t="shared" ca="1" si="111"/>
        <v>0</v>
      </c>
      <c r="X602" s="5" t="str">
        <f t="shared" ca="1" si="119"/>
        <v>Tiktok</v>
      </c>
      <c r="Y602" s="78" t="str">
        <f>IF(COUNTIF($C$1:C601,B601)=1,10,"")</f>
        <v/>
      </c>
    </row>
    <row r="603" spans="1:25" x14ac:dyDescent="0.3">
      <c r="A603" s="76">
        <v>602</v>
      </c>
      <c r="B603" s="6">
        <v>46145</v>
      </c>
      <c r="C603" s="6">
        <v>46146</v>
      </c>
      <c r="D603" s="17" t="str">
        <f t="shared" si="112"/>
        <v>May</v>
      </c>
      <c r="E603" s="5" t="str">
        <f t="shared" ca="1" si="113"/>
        <v>STU-556</v>
      </c>
      <c r="F603" s="5" t="str">
        <f ca="1">IF(COUNTIF($E$2:E603,E603)=1,"New Customer","Returning Customer")</f>
        <v>Returning Customer</v>
      </c>
      <c r="G603" s="5" t="str">
        <f t="shared" ca="1" si="114"/>
        <v>Not specified</v>
      </c>
      <c r="H603" s="5" t="s">
        <v>139</v>
      </c>
      <c r="I603" s="5" t="str" cm="1">
        <f t="array" aca="1" ref="I603" ca="1">INDEX(Courses!$B$9:$B$16,RANDBETWEEN(1,8))</f>
        <v>PowerPoint</v>
      </c>
      <c r="J603" s="5" t="str">
        <f ca="1">VLOOKUP(I603,Courses!$B$9:$C$16,2,0)</f>
        <v>Microsoft Office</v>
      </c>
      <c r="K603" s="7">
        <f ca="1">VLOOKUP(I603,Courses!$B$9:$D$16,3,0)</f>
        <v>29</v>
      </c>
      <c r="L603" s="5" t="str">
        <f t="shared" ca="1" si="115"/>
        <v>Pending</v>
      </c>
      <c r="M603" s="8" t="str" cm="1">
        <f t="array" aca="1" ref="M603" ca="1">INDEX('Payment Method'!$A$8:$A$12,RANDBETWEEN(1,5))</f>
        <v>Visa Credit</v>
      </c>
      <c r="N603" s="7">
        <f>IFERROR(SUMIF(Holiday!$A$8:$A$11,B603,Holiday!$C$8:$C$11),0)</f>
        <v>0</v>
      </c>
      <c r="O603" s="7">
        <f t="shared" ca="1" si="116"/>
        <v>29</v>
      </c>
      <c r="P603" s="19">
        <f t="shared" ca="1" si="117"/>
        <v>27.984999999999999</v>
      </c>
      <c r="Q603" s="7">
        <f t="shared" ca="1" si="118"/>
        <v>27.70515</v>
      </c>
      <c r="R603" s="8">
        <f ca="1">VLOOKUP(M603,'Payment Method'!$A$8:$B$12,2,0)</f>
        <v>3.5000000000000003E-2</v>
      </c>
      <c r="S603" s="9">
        <f t="shared" ca="1" si="108"/>
        <v>1.0150000000000006</v>
      </c>
      <c r="T603" s="8">
        <v>0.01</v>
      </c>
      <c r="U603" s="9">
        <f t="shared" ca="1" si="109"/>
        <v>0.27984999999999971</v>
      </c>
      <c r="V603" s="7">
        <f t="shared" ca="1" si="110"/>
        <v>0</v>
      </c>
      <c r="W603" s="7">
        <f t="shared" ca="1" si="111"/>
        <v>0</v>
      </c>
      <c r="X603" s="5" t="str">
        <f t="shared" ca="1" si="119"/>
        <v>Instagram</v>
      </c>
      <c r="Y603" s="78" t="str">
        <f>IF(COUNTIF($C$1:C602,B602)=1,10,"")</f>
        <v/>
      </c>
    </row>
    <row r="604" spans="1:25" x14ac:dyDescent="0.3">
      <c r="A604" s="75">
        <v>603</v>
      </c>
      <c r="B604" s="6">
        <v>46122</v>
      </c>
      <c r="C604" s="6">
        <v>46125</v>
      </c>
      <c r="D604" s="17" t="str">
        <f t="shared" si="112"/>
        <v>April</v>
      </c>
      <c r="E604" s="5" t="str">
        <f t="shared" ca="1" si="113"/>
        <v>STU-460</v>
      </c>
      <c r="F604" s="5" t="str">
        <f ca="1">IF(COUNTIF($E$2:E604,E604)=1,"New Customer","Returning Customer")</f>
        <v>New Customer</v>
      </c>
      <c r="G604" s="5" t="str">
        <f t="shared" ca="1" si="114"/>
        <v>Female</v>
      </c>
      <c r="H604" s="5" t="s">
        <v>135</v>
      </c>
      <c r="I604" s="5" t="str" cm="1">
        <f t="array" aca="1" ref="I604" ca="1">INDEX(Courses!$B$9:$B$16,RANDBETWEEN(1,8))</f>
        <v>Microsoft Word</v>
      </c>
      <c r="J604" s="5" t="str">
        <f ca="1">VLOOKUP(I604,Courses!$B$9:$C$16,2,0)</f>
        <v>Microsoft Office</v>
      </c>
      <c r="K604" s="7">
        <f ca="1">VLOOKUP(I604,Courses!$B$9:$D$16,3,0)</f>
        <v>29</v>
      </c>
      <c r="L604" s="5" t="str">
        <f t="shared" ca="1" si="115"/>
        <v>Paid</v>
      </c>
      <c r="M604" s="8" t="str" cm="1">
        <f t="array" aca="1" ref="M604" ca="1">INDEX('Payment Method'!$A$8:$A$12,RANDBETWEEN(1,5))</f>
        <v>Mastercard Debit</v>
      </c>
      <c r="N604" s="7">
        <f>IFERROR(SUMIF(Holiday!$A$8:$A$11,B604,Holiday!$C$8:$C$11),0)</f>
        <v>0</v>
      </c>
      <c r="O604" s="7">
        <f t="shared" ca="1" si="116"/>
        <v>29</v>
      </c>
      <c r="P604" s="19">
        <f t="shared" ca="1" si="117"/>
        <v>28.42</v>
      </c>
      <c r="Q604" s="7">
        <f t="shared" ca="1" si="118"/>
        <v>0</v>
      </c>
      <c r="R604" s="8">
        <f ca="1">VLOOKUP(M604,'Payment Method'!$A$8:$B$12,2,0)</f>
        <v>0.02</v>
      </c>
      <c r="S604" s="9">
        <f t="shared" ca="1" si="108"/>
        <v>0.57999999999999829</v>
      </c>
      <c r="T604" s="8">
        <v>0.01</v>
      </c>
      <c r="U604" s="9">
        <f t="shared" ca="1" si="109"/>
        <v>0.28419999999999845</v>
      </c>
      <c r="V604" s="7">
        <f t="shared" ca="1" si="110"/>
        <v>0</v>
      </c>
      <c r="W604" s="7">
        <f t="shared" ca="1" si="111"/>
        <v>28.135800000000003</v>
      </c>
      <c r="X604" s="5" t="str">
        <f t="shared" ca="1" si="119"/>
        <v>Instagram</v>
      </c>
      <c r="Y604" s="78" t="str">
        <f>IF(COUNTIF($C$1:C603,B603)=1,10,"")</f>
        <v/>
      </c>
    </row>
    <row r="605" spans="1:25" x14ac:dyDescent="0.3">
      <c r="A605" s="76">
        <v>604</v>
      </c>
      <c r="B605" s="6">
        <v>46121</v>
      </c>
      <c r="C605" s="6">
        <v>46123</v>
      </c>
      <c r="D605" s="17" t="str">
        <f t="shared" si="112"/>
        <v>April</v>
      </c>
      <c r="E605" s="5" t="str">
        <f t="shared" ca="1" si="113"/>
        <v>STU-121</v>
      </c>
      <c r="F605" s="5" t="str">
        <f ca="1">IF(COUNTIF($E$2:E605,E605)=1,"New Customer","Returning Customer")</f>
        <v>Returning Customer</v>
      </c>
      <c r="G605" s="5" t="str">
        <f t="shared" ca="1" si="114"/>
        <v>Not specified</v>
      </c>
      <c r="H605" s="5" t="s">
        <v>135</v>
      </c>
      <c r="I605" s="5" t="str" cm="1">
        <f t="array" aca="1" ref="I605" ca="1">INDEX(Courses!$B$9:$B$16,RANDBETWEEN(1,8))</f>
        <v>Power BI</v>
      </c>
      <c r="J605" s="5" t="str">
        <f ca="1">VLOOKUP(I605,Courses!$B$9:$C$16,2,0)</f>
        <v>Data Analytics</v>
      </c>
      <c r="K605" s="7">
        <f ca="1">VLOOKUP(I605,Courses!$B$9:$D$16,3,0)</f>
        <v>59</v>
      </c>
      <c r="L605" s="5" t="str">
        <f t="shared" ca="1" si="115"/>
        <v>Paid</v>
      </c>
      <c r="M605" s="8" t="str" cm="1">
        <f t="array" aca="1" ref="M605" ca="1">INDEX('Payment Method'!$A$8:$A$12,RANDBETWEEN(1,5))</f>
        <v>Mastercard Credit</v>
      </c>
      <c r="N605" s="7">
        <f>IFERROR(SUMIF(Holiday!$A$8:$A$11,B605,Holiday!$C$8:$C$11),0)</f>
        <v>0</v>
      </c>
      <c r="O605" s="7">
        <f t="shared" ca="1" si="116"/>
        <v>59</v>
      </c>
      <c r="P605" s="19">
        <f t="shared" ca="1" si="117"/>
        <v>56.935000000000002</v>
      </c>
      <c r="Q605" s="7">
        <f t="shared" ca="1" si="118"/>
        <v>0</v>
      </c>
      <c r="R605" s="8">
        <f ca="1">VLOOKUP(M605,'Payment Method'!$A$8:$B$12,2,0)</f>
        <v>3.5000000000000003E-2</v>
      </c>
      <c r="S605" s="9">
        <f t="shared" ca="1" si="108"/>
        <v>2.0649999999999977</v>
      </c>
      <c r="T605" s="8">
        <v>0.01</v>
      </c>
      <c r="U605" s="9">
        <f t="shared" ca="1" si="109"/>
        <v>0.56935000000000002</v>
      </c>
      <c r="V605" s="7">
        <f t="shared" ca="1" si="110"/>
        <v>0</v>
      </c>
      <c r="W605" s="7">
        <f t="shared" ca="1" si="111"/>
        <v>56.365650000000002</v>
      </c>
      <c r="X605" s="5" t="str">
        <f t="shared" ca="1" si="119"/>
        <v>Tiktok</v>
      </c>
      <c r="Y605" s="78" t="str">
        <f>IF(COUNTIF($C$1:C604,B604)=1,10,"")</f>
        <v/>
      </c>
    </row>
    <row r="606" spans="1:25" x14ac:dyDescent="0.3">
      <c r="A606" s="75">
        <v>605</v>
      </c>
      <c r="B606" s="6">
        <v>46128</v>
      </c>
      <c r="C606" s="6">
        <v>46128</v>
      </c>
      <c r="D606" s="17" t="str">
        <f t="shared" si="112"/>
        <v>April</v>
      </c>
      <c r="E606" s="5" t="str">
        <f t="shared" ca="1" si="113"/>
        <v>STU-996</v>
      </c>
      <c r="F606" s="5" t="str">
        <f ca="1">IF(COUNTIF($E$2:E606,E606)=1,"New Customer","Returning Customer")</f>
        <v>New Customer</v>
      </c>
      <c r="G606" s="5" t="str">
        <f t="shared" ca="1" si="114"/>
        <v>Male</v>
      </c>
      <c r="H606" s="5" t="s">
        <v>135</v>
      </c>
      <c r="I606" s="5" t="str" cm="1">
        <f t="array" aca="1" ref="I606" ca="1">INDEX(Courses!$B$9:$B$16,RANDBETWEEN(1,8))</f>
        <v>Power BI</v>
      </c>
      <c r="J606" s="5" t="str">
        <f ca="1">VLOOKUP(I606,Courses!$B$9:$C$16,2,0)</f>
        <v>Data Analytics</v>
      </c>
      <c r="K606" s="7">
        <f ca="1">VLOOKUP(I606,Courses!$B$9:$D$16,3,0)</f>
        <v>59</v>
      </c>
      <c r="L606" s="5" t="str">
        <f t="shared" ca="1" si="115"/>
        <v>Paid</v>
      </c>
      <c r="M606" s="8" t="str" cm="1">
        <f t="array" aca="1" ref="M606" ca="1">INDEX('Payment Method'!$A$8:$A$12,RANDBETWEEN(1,5))</f>
        <v>Visa Credit</v>
      </c>
      <c r="N606" s="7">
        <f>IFERROR(SUMIF(Holiday!$A$8:$A$11,B606,Holiday!$C$8:$C$11),0)</f>
        <v>0</v>
      </c>
      <c r="O606" s="7">
        <f t="shared" ca="1" si="116"/>
        <v>59</v>
      </c>
      <c r="P606" s="19">
        <f t="shared" ca="1" si="117"/>
        <v>56.935000000000002</v>
      </c>
      <c r="Q606" s="7">
        <f t="shared" ca="1" si="118"/>
        <v>0</v>
      </c>
      <c r="R606" s="8">
        <f ca="1">VLOOKUP(M606,'Payment Method'!$A$8:$B$12,2,0)</f>
        <v>3.5000000000000003E-2</v>
      </c>
      <c r="S606" s="9">
        <f t="shared" ca="1" si="108"/>
        <v>2.0649999999999977</v>
      </c>
      <c r="T606" s="8">
        <v>0.01</v>
      </c>
      <c r="U606" s="9">
        <f t="shared" ca="1" si="109"/>
        <v>0.56935000000000002</v>
      </c>
      <c r="V606" s="7">
        <f t="shared" ca="1" si="110"/>
        <v>0</v>
      </c>
      <c r="W606" s="7">
        <f t="shared" ca="1" si="111"/>
        <v>56.365650000000002</v>
      </c>
      <c r="X606" s="5" t="str">
        <f t="shared" ca="1" si="119"/>
        <v>Facebook</v>
      </c>
      <c r="Y606" s="78" t="str">
        <f>IF(COUNTIF($C$1:C605,B605)=1,10,"")</f>
        <v/>
      </c>
    </row>
    <row r="607" spans="1:25" x14ac:dyDescent="0.3">
      <c r="A607" s="76">
        <v>606</v>
      </c>
      <c r="B607" s="6">
        <v>46064</v>
      </c>
      <c r="C607" s="6">
        <v>46068</v>
      </c>
      <c r="D607" s="17" t="str">
        <f t="shared" si="112"/>
        <v>February</v>
      </c>
      <c r="E607" s="5" t="str">
        <f t="shared" ca="1" si="113"/>
        <v>STU-55</v>
      </c>
      <c r="F607" s="5" t="str">
        <f ca="1">IF(COUNTIF($E$2:E607,E607)=1,"New Customer","Returning Customer")</f>
        <v>Returning Customer</v>
      </c>
      <c r="G607" s="5" t="str">
        <f t="shared" ca="1" si="114"/>
        <v>Not specified</v>
      </c>
      <c r="H607" s="5" t="s">
        <v>135</v>
      </c>
      <c r="I607" s="5" t="str" cm="1">
        <f t="array" aca="1" ref="I607" ca="1">INDEX(Courses!$B$9:$B$16,RANDBETWEEN(1,8))</f>
        <v>Power BI</v>
      </c>
      <c r="J607" s="5" t="str">
        <f ca="1">VLOOKUP(I607,Courses!$B$9:$C$16,2,0)</f>
        <v>Data Analytics</v>
      </c>
      <c r="K607" s="7">
        <f ca="1">VLOOKUP(I607,Courses!$B$9:$D$16,3,0)</f>
        <v>59</v>
      </c>
      <c r="L607" s="5" t="str">
        <f t="shared" ca="1" si="115"/>
        <v>Pending</v>
      </c>
      <c r="M607" s="8" t="str" cm="1">
        <f t="array" aca="1" ref="M607" ca="1">INDEX('Payment Method'!$A$8:$A$12,RANDBETWEEN(1,5))</f>
        <v>Bank Transfer</v>
      </c>
      <c r="N607" s="7">
        <f>IFERROR(SUMIF(Holiday!$A$8:$A$11,B607,Holiday!$C$8:$C$11),0)</f>
        <v>0</v>
      </c>
      <c r="O607" s="7">
        <f t="shared" ca="1" si="116"/>
        <v>59</v>
      </c>
      <c r="P607" s="19">
        <f t="shared" ca="1" si="117"/>
        <v>59</v>
      </c>
      <c r="Q607" s="7">
        <f t="shared" ca="1" si="118"/>
        <v>58.41</v>
      </c>
      <c r="R607" s="8">
        <f ca="1">VLOOKUP(M607,'Payment Method'!$A$8:$B$12,2,0)</f>
        <v>0</v>
      </c>
      <c r="S607" s="9">
        <f t="shared" ca="1" si="108"/>
        <v>0</v>
      </c>
      <c r="T607" s="8">
        <v>0.01</v>
      </c>
      <c r="U607" s="9">
        <f t="shared" ca="1" si="109"/>
        <v>0.59000000000000341</v>
      </c>
      <c r="V607" s="7">
        <f t="shared" ca="1" si="110"/>
        <v>0</v>
      </c>
      <c r="W607" s="7">
        <f t="shared" ca="1" si="111"/>
        <v>0</v>
      </c>
      <c r="X607" s="5" t="str">
        <f t="shared" ca="1" si="119"/>
        <v>Tiktok</v>
      </c>
      <c r="Y607" s="78" t="str">
        <f>IF(COUNTIF($C$1:C606,B606)=1,10,"")</f>
        <v/>
      </c>
    </row>
    <row r="608" spans="1:25" x14ac:dyDescent="0.3">
      <c r="A608" s="75">
        <v>607</v>
      </c>
      <c r="B608" s="6">
        <v>46090</v>
      </c>
      <c r="C608" s="6">
        <v>46095</v>
      </c>
      <c r="D608" s="17" t="str">
        <f t="shared" si="112"/>
        <v>March</v>
      </c>
      <c r="E608" s="5" t="str">
        <f t="shared" ca="1" si="113"/>
        <v>STU-459</v>
      </c>
      <c r="F608" s="5" t="str">
        <f ca="1">IF(COUNTIF($E$2:E608,E608)=1,"New Customer","Returning Customer")</f>
        <v>Returning Customer</v>
      </c>
      <c r="G608" s="5" t="str">
        <f t="shared" ca="1" si="114"/>
        <v>Female</v>
      </c>
      <c r="H608" s="5" t="s">
        <v>140</v>
      </c>
      <c r="I608" s="5" t="str" cm="1">
        <f t="array" aca="1" ref="I608" ca="1">INDEX(Courses!$B$9:$B$16,RANDBETWEEN(1,8))</f>
        <v>SQL</v>
      </c>
      <c r="J608" s="5" t="str">
        <f ca="1">VLOOKUP(I608,Courses!$B$9:$C$16,2,0)</f>
        <v>Data Analytics</v>
      </c>
      <c r="K608" s="7">
        <f ca="1">VLOOKUP(I608,Courses!$B$9:$D$16,3,0)</f>
        <v>99</v>
      </c>
      <c r="L608" s="5" t="str">
        <f t="shared" ca="1" si="115"/>
        <v>Paid</v>
      </c>
      <c r="M608" s="8" t="str" cm="1">
        <f t="array" aca="1" ref="M608" ca="1">INDEX('Payment Method'!$A$8:$A$12,RANDBETWEEN(1,5))</f>
        <v>Visa Credit</v>
      </c>
      <c r="N608" s="7">
        <f>IFERROR(SUMIF(Holiday!$A$8:$A$11,B608,Holiday!$C$8:$C$11),0)</f>
        <v>0</v>
      </c>
      <c r="O608" s="7">
        <f t="shared" ca="1" si="116"/>
        <v>99</v>
      </c>
      <c r="P608" s="19">
        <f t="shared" ca="1" si="117"/>
        <v>95.534999999999997</v>
      </c>
      <c r="Q608" s="7">
        <f t="shared" ca="1" si="118"/>
        <v>0</v>
      </c>
      <c r="R608" s="8">
        <f ca="1">VLOOKUP(M608,'Payment Method'!$A$8:$B$12,2,0)</f>
        <v>3.5000000000000003E-2</v>
      </c>
      <c r="S608" s="9">
        <f t="shared" ca="1" si="108"/>
        <v>3.4650000000000034</v>
      </c>
      <c r="T608" s="8">
        <v>0.01</v>
      </c>
      <c r="U608" s="9">
        <f t="shared" ca="1" si="109"/>
        <v>0.9553499999999957</v>
      </c>
      <c r="V608" s="7">
        <f t="shared" ca="1" si="110"/>
        <v>0</v>
      </c>
      <c r="W608" s="7">
        <f t="shared" ca="1" si="111"/>
        <v>94.579650000000001</v>
      </c>
      <c r="X608" s="5" t="str">
        <f t="shared" ca="1" si="119"/>
        <v>Facebook</v>
      </c>
      <c r="Y608" s="78" t="str">
        <f>IF(COUNTIF($C$1:C607,B607)=1,10,"")</f>
        <v/>
      </c>
    </row>
    <row r="609" spans="1:25" x14ac:dyDescent="0.3">
      <c r="A609" s="76">
        <v>608</v>
      </c>
      <c r="B609" s="6">
        <v>46150</v>
      </c>
      <c r="C609" s="6">
        <v>46155</v>
      </c>
      <c r="D609" s="17" t="str">
        <f t="shared" si="112"/>
        <v>May</v>
      </c>
      <c r="E609" s="5" t="str">
        <f t="shared" ca="1" si="113"/>
        <v>STU-989</v>
      </c>
      <c r="F609" s="5" t="str">
        <f ca="1">IF(COUNTIF($E$2:E609,E609)=1,"New Customer","Returning Customer")</f>
        <v>Returning Customer</v>
      </c>
      <c r="G609" s="5" t="str">
        <f t="shared" ca="1" si="114"/>
        <v>Not specified</v>
      </c>
      <c r="H609" s="5" t="s">
        <v>137</v>
      </c>
      <c r="I609" s="5" t="str" cm="1">
        <f t="array" aca="1" ref="I609" ca="1">INDEX(Courses!$B$9:$B$16,RANDBETWEEN(1,8))</f>
        <v>Power BI</v>
      </c>
      <c r="J609" s="5" t="str">
        <f ca="1">VLOOKUP(I609,Courses!$B$9:$C$16,2,0)</f>
        <v>Data Analytics</v>
      </c>
      <c r="K609" s="7">
        <f ca="1">VLOOKUP(I609,Courses!$B$9:$D$16,3,0)</f>
        <v>59</v>
      </c>
      <c r="L609" s="5" t="str">
        <f t="shared" ca="1" si="115"/>
        <v>Paid</v>
      </c>
      <c r="M609" s="8" t="str" cm="1">
        <f t="array" aca="1" ref="M609" ca="1">INDEX('Payment Method'!$A$8:$A$12,RANDBETWEEN(1,5))</f>
        <v>Visa Debit</v>
      </c>
      <c r="N609" s="7">
        <f>IFERROR(SUMIF(Holiday!$A$8:$A$11,B609,Holiday!$C$8:$C$11),0)</f>
        <v>0</v>
      </c>
      <c r="O609" s="7">
        <f t="shared" ca="1" si="116"/>
        <v>59</v>
      </c>
      <c r="P609" s="19">
        <f t="shared" ca="1" si="117"/>
        <v>57.82</v>
      </c>
      <c r="Q609" s="7">
        <f t="shared" ca="1" si="118"/>
        <v>0</v>
      </c>
      <c r="R609" s="8">
        <f ca="1">VLOOKUP(M609,'Payment Method'!$A$8:$B$12,2,0)</f>
        <v>0.02</v>
      </c>
      <c r="S609" s="9">
        <f t="shared" ca="1" si="108"/>
        <v>1.1799999999999997</v>
      </c>
      <c r="T609" s="8">
        <v>0.01</v>
      </c>
      <c r="U609" s="9">
        <f t="shared" ca="1" si="109"/>
        <v>0.57820000000000249</v>
      </c>
      <c r="V609" s="7">
        <f t="shared" ca="1" si="110"/>
        <v>0</v>
      </c>
      <c r="W609" s="7">
        <f t="shared" ca="1" si="111"/>
        <v>57.241799999999998</v>
      </c>
      <c r="X609" s="5" t="str">
        <f t="shared" ca="1" si="119"/>
        <v>Tiktok</v>
      </c>
      <c r="Y609" s="78" t="str">
        <f>IF(COUNTIF($C$1:C608,B608)=1,10,"")</f>
        <v/>
      </c>
    </row>
    <row r="610" spans="1:25" x14ac:dyDescent="0.3">
      <c r="A610" s="75">
        <v>609</v>
      </c>
      <c r="B610" s="6">
        <v>46107</v>
      </c>
      <c r="C610" s="6">
        <v>46109</v>
      </c>
      <c r="D610" s="17" t="str">
        <f t="shared" si="112"/>
        <v>March</v>
      </c>
      <c r="E610" s="5" t="str">
        <f t="shared" ca="1" si="113"/>
        <v>STU-619</v>
      </c>
      <c r="F610" s="5" t="str">
        <f ca="1">IF(COUNTIF($E$2:E610,E610)=1,"New Customer","Returning Customer")</f>
        <v>New Customer</v>
      </c>
      <c r="G610" s="5" t="str">
        <f t="shared" ca="1" si="114"/>
        <v>Female</v>
      </c>
      <c r="H610" s="5" t="s">
        <v>137</v>
      </c>
      <c r="I610" s="5" t="str" cm="1">
        <f t="array" aca="1" ref="I610" ca="1">INDEX(Courses!$B$9:$B$16,RANDBETWEEN(1,8))</f>
        <v>Excel Basics</v>
      </c>
      <c r="J610" s="5" t="str">
        <f ca="1">VLOOKUP(I610,Courses!$B$9:$C$16,2,0)</f>
        <v>Microsoft Office</v>
      </c>
      <c r="K610" s="7">
        <f ca="1">VLOOKUP(I610,Courses!$B$9:$D$16,3,0)</f>
        <v>29</v>
      </c>
      <c r="L610" s="5" t="str">
        <f t="shared" ca="1" si="115"/>
        <v>Pending</v>
      </c>
      <c r="M610" s="8" t="str" cm="1">
        <f t="array" aca="1" ref="M610" ca="1">INDEX('Payment Method'!$A$8:$A$12,RANDBETWEEN(1,5))</f>
        <v>Visa Debit</v>
      </c>
      <c r="N610" s="7">
        <f>IFERROR(SUMIF(Holiday!$A$8:$A$11,B610,Holiday!$C$8:$C$11),0)</f>
        <v>0</v>
      </c>
      <c r="O610" s="7">
        <f t="shared" ca="1" si="116"/>
        <v>29</v>
      </c>
      <c r="P610" s="19">
        <f t="shared" ca="1" si="117"/>
        <v>28.42</v>
      </c>
      <c r="Q610" s="7">
        <f t="shared" ca="1" si="118"/>
        <v>28.135800000000003</v>
      </c>
      <c r="R610" s="8">
        <f ca="1">VLOOKUP(M610,'Payment Method'!$A$8:$B$12,2,0)</f>
        <v>0.02</v>
      </c>
      <c r="S610" s="9">
        <f t="shared" ca="1" si="108"/>
        <v>0.57999999999999829</v>
      </c>
      <c r="T610" s="8">
        <v>0.01</v>
      </c>
      <c r="U610" s="9">
        <f t="shared" ca="1" si="109"/>
        <v>0.28419999999999845</v>
      </c>
      <c r="V610" s="7">
        <f t="shared" ca="1" si="110"/>
        <v>0</v>
      </c>
      <c r="W610" s="7">
        <f t="shared" ca="1" si="111"/>
        <v>0</v>
      </c>
      <c r="X610" s="5" t="str">
        <f t="shared" ca="1" si="119"/>
        <v>Facebook</v>
      </c>
      <c r="Y610" s="78">
        <f>IF(COUNTIF($C$1:C609,B609)=1,10,"")</f>
        <v>10</v>
      </c>
    </row>
    <row r="611" spans="1:25" x14ac:dyDescent="0.3">
      <c r="A611" s="76">
        <v>610</v>
      </c>
      <c r="B611" s="6">
        <v>46216</v>
      </c>
      <c r="C611" s="6">
        <v>46219</v>
      </c>
      <c r="D611" s="17" t="str">
        <f t="shared" si="112"/>
        <v>July</v>
      </c>
      <c r="E611" s="5" t="str">
        <f t="shared" ca="1" si="113"/>
        <v>STU-295</v>
      </c>
      <c r="F611" s="5" t="str">
        <f ca="1">IF(COUNTIF($E$2:E611,E611)=1,"New Customer","Returning Customer")</f>
        <v>Returning Customer</v>
      </c>
      <c r="G611" s="5" t="str">
        <f t="shared" ca="1" si="114"/>
        <v>Male</v>
      </c>
      <c r="H611" s="5" t="s">
        <v>135</v>
      </c>
      <c r="I611" s="5" t="str" cm="1">
        <f t="array" aca="1" ref="I611" ca="1">INDEX(Courses!$B$9:$B$16,RANDBETWEEN(1,8))</f>
        <v>Adolescent Psychology</v>
      </c>
      <c r="J611" s="5" t="str">
        <f ca="1">VLOOKUP(I611,Courses!$B$9:$C$16,2,0)</f>
        <v>Psychology</v>
      </c>
      <c r="K611" s="7">
        <f ca="1">VLOOKUP(I611,Courses!$B$9:$D$16,3,0)</f>
        <v>29</v>
      </c>
      <c r="L611" s="5" t="str">
        <f t="shared" ca="1" si="115"/>
        <v>Paid</v>
      </c>
      <c r="M611" s="8" t="str" cm="1">
        <f t="array" aca="1" ref="M611" ca="1">INDEX('Payment Method'!$A$8:$A$12,RANDBETWEEN(1,5))</f>
        <v>Visa Debit</v>
      </c>
      <c r="N611" s="7">
        <f>IFERROR(SUMIF(Holiday!$A$8:$A$11,B611,Holiday!$C$8:$C$11),0)</f>
        <v>0</v>
      </c>
      <c r="O611" s="7">
        <f t="shared" ca="1" si="116"/>
        <v>29</v>
      </c>
      <c r="P611" s="19">
        <f t="shared" ca="1" si="117"/>
        <v>28.42</v>
      </c>
      <c r="Q611" s="7">
        <f t="shared" ca="1" si="118"/>
        <v>0</v>
      </c>
      <c r="R611" s="8">
        <f ca="1">VLOOKUP(M611,'Payment Method'!$A$8:$B$12,2,0)</f>
        <v>0.02</v>
      </c>
      <c r="S611" s="9">
        <f t="shared" ca="1" si="108"/>
        <v>0.57999999999999829</v>
      </c>
      <c r="T611" s="8">
        <v>0.01</v>
      </c>
      <c r="U611" s="9">
        <f t="shared" ca="1" si="109"/>
        <v>0.28419999999999845</v>
      </c>
      <c r="V611" s="7">
        <f t="shared" ca="1" si="110"/>
        <v>0</v>
      </c>
      <c r="W611" s="7">
        <f t="shared" ca="1" si="111"/>
        <v>28.135800000000003</v>
      </c>
      <c r="X611" s="5" t="str">
        <f t="shared" ca="1" si="119"/>
        <v>Instagram</v>
      </c>
      <c r="Y611" s="78" t="str">
        <f>IF(COUNTIF($C$1:C610,B610)=1,10,"")</f>
        <v/>
      </c>
    </row>
    <row r="612" spans="1:25" x14ac:dyDescent="0.3">
      <c r="A612" s="75">
        <v>611</v>
      </c>
      <c r="B612" s="6">
        <v>46096</v>
      </c>
      <c r="C612" s="6">
        <v>46099</v>
      </c>
      <c r="D612" s="17" t="str">
        <f t="shared" si="112"/>
        <v>March</v>
      </c>
      <c r="E612" s="5" t="str">
        <f t="shared" ca="1" si="113"/>
        <v>STU-172</v>
      </c>
      <c r="F612" s="5" t="str">
        <f ca="1">IF(COUNTIF($E$2:E612,E612)=1,"New Customer","Returning Customer")</f>
        <v>Returning Customer</v>
      </c>
      <c r="G612" s="5" t="str">
        <f t="shared" ca="1" si="114"/>
        <v>Female</v>
      </c>
      <c r="H612" s="5" t="s">
        <v>136</v>
      </c>
      <c r="I612" s="5" t="str" cm="1">
        <f t="array" aca="1" ref="I612" ca="1">INDEX(Courses!$B$9:$B$16,RANDBETWEEN(1,8))</f>
        <v>Power BI</v>
      </c>
      <c r="J612" s="5" t="str">
        <f ca="1">VLOOKUP(I612,Courses!$B$9:$C$16,2,0)</f>
        <v>Data Analytics</v>
      </c>
      <c r="K612" s="7">
        <f ca="1">VLOOKUP(I612,Courses!$B$9:$D$16,3,0)</f>
        <v>59</v>
      </c>
      <c r="L612" s="5" t="str">
        <f t="shared" ca="1" si="115"/>
        <v>Paid</v>
      </c>
      <c r="M612" s="8" t="str" cm="1">
        <f t="array" aca="1" ref="M612" ca="1">INDEX('Payment Method'!$A$8:$A$12,RANDBETWEEN(1,5))</f>
        <v>Visa Credit</v>
      </c>
      <c r="N612" s="7">
        <f>IFERROR(SUMIF(Holiday!$A$8:$A$11,B612,Holiday!$C$8:$C$11),0)</f>
        <v>0</v>
      </c>
      <c r="O612" s="7">
        <f t="shared" ca="1" si="116"/>
        <v>59</v>
      </c>
      <c r="P612" s="19">
        <f t="shared" ca="1" si="117"/>
        <v>56.935000000000002</v>
      </c>
      <c r="Q612" s="7">
        <f t="shared" ca="1" si="118"/>
        <v>0</v>
      </c>
      <c r="R612" s="8">
        <f ca="1">VLOOKUP(M612,'Payment Method'!$A$8:$B$12,2,0)</f>
        <v>3.5000000000000003E-2</v>
      </c>
      <c r="S612" s="9">
        <f t="shared" ca="1" si="108"/>
        <v>2.0649999999999977</v>
      </c>
      <c r="T612" s="8">
        <v>0.01</v>
      </c>
      <c r="U612" s="9">
        <f t="shared" ca="1" si="109"/>
        <v>0.56935000000000002</v>
      </c>
      <c r="V612" s="7">
        <f t="shared" ca="1" si="110"/>
        <v>0</v>
      </c>
      <c r="W612" s="7">
        <f t="shared" ca="1" si="111"/>
        <v>56.365650000000002</v>
      </c>
      <c r="X612" s="5" t="str">
        <f t="shared" ca="1" si="119"/>
        <v>Tiktok</v>
      </c>
      <c r="Y612" s="78" t="str">
        <f>IF(COUNTIF($C$1:C611,B611)=1,10,"")</f>
        <v/>
      </c>
    </row>
    <row r="613" spans="1:25" x14ac:dyDescent="0.3">
      <c r="A613" s="76">
        <v>612</v>
      </c>
      <c r="B613" s="6">
        <v>46033</v>
      </c>
      <c r="C613" s="6">
        <v>46033</v>
      </c>
      <c r="D613" s="17" t="str">
        <f t="shared" si="112"/>
        <v>January</v>
      </c>
      <c r="E613" s="5" t="str">
        <f t="shared" ca="1" si="113"/>
        <v>STU-218</v>
      </c>
      <c r="F613" s="5" t="str">
        <f ca="1">IF(COUNTIF($E$2:E613,E613)=1,"New Customer","Returning Customer")</f>
        <v>New Customer</v>
      </c>
      <c r="G613" s="5" t="str">
        <f t="shared" ca="1" si="114"/>
        <v>Female</v>
      </c>
      <c r="H613" s="5" t="s">
        <v>135</v>
      </c>
      <c r="I613" s="5" t="str" cm="1">
        <f t="array" aca="1" ref="I613" ca="1">INDEX(Courses!$B$9:$B$16,RANDBETWEEN(1,8))</f>
        <v>SQL</v>
      </c>
      <c r="J613" s="5" t="str">
        <f ca="1">VLOOKUP(I613,Courses!$B$9:$C$16,2,0)</f>
        <v>Data Analytics</v>
      </c>
      <c r="K613" s="7">
        <f ca="1">VLOOKUP(I613,Courses!$B$9:$D$16,3,0)</f>
        <v>99</v>
      </c>
      <c r="L613" s="5" t="str">
        <f t="shared" ca="1" si="115"/>
        <v>Pending</v>
      </c>
      <c r="M613" s="8" t="str" cm="1">
        <f t="array" aca="1" ref="M613" ca="1">INDEX('Payment Method'!$A$8:$A$12,RANDBETWEEN(1,5))</f>
        <v>Bank Transfer</v>
      </c>
      <c r="N613" s="7">
        <f>IFERROR(SUMIF(Holiday!$A$8:$A$11,B613,Holiday!$C$8:$C$11),0)</f>
        <v>0</v>
      </c>
      <c r="O613" s="7">
        <f t="shared" ca="1" si="116"/>
        <v>99</v>
      </c>
      <c r="P613" s="19">
        <f t="shared" ca="1" si="117"/>
        <v>99</v>
      </c>
      <c r="Q613" s="7">
        <f t="shared" ca="1" si="118"/>
        <v>98.01</v>
      </c>
      <c r="R613" s="8">
        <f ca="1">VLOOKUP(M613,'Payment Method'!$A$8:$B$12,2,0)</f>
        <v>0</v>
      </c>
      <c r="S613" s="9">
        <f t="shared" ca="1" si="108"/>
        <v>0</v>
      </c>
      <c r="T613" s="8">
        <v>0.01</v>
      </c>
      <c r="U613" s="9">
        <f t="shared" ca="1" si="109"/>
        <v>0.98999999999999488</v>
      </c>
      <c r="V613" s="7">
        <f t="shared" ca="1" si="110"/>
        <v>0</v>
      </c>
      <c r="W613" s="7">
        <f t="shared" ca="1" si="111"/>
        <v>0</v>
      </c>
      <c r="X613" s="5" t="str">
        <f t="shared" ca="1" si="119"/>
        <v>Facebook</v>
      </c>
      <c r="Y613" s="78" t="str">
        <f>IF(COUNTIF($C$1:C612,B612)=1,10,"")</f>
        <v/>
      </c>
    </row>
    <row r="614" spans="1:25" x14ac:dyDescent="0.3">
      <c r="A614" s="75">
        <v>613</v>
      </c>
      <c r="B614" s="6">
        <v>46162</v>
      </c>
      <c r="C614" s="6">
        <v>46162</v>
      </c>
      <c r="D614" s="17" t="str">
        <f t="shared" si="112"/>
        <v>May</v>
      </c>
      <c r="E614" s="5" t="str">
        <f t="shared" ca="1" si="113"/>
        <v>STU-478</v>
      </c>
      <c r="F614" s="5" t="str">
        <f ca="1">IF(COUNTIF($E$2:E614,E614)=1,"New Customer","Returning Customer")</f>
        <v>Returning Customer</v>
      </c>
      <c r="G614" s="5" t="str">
        <f t="shared" ca="1" si="114"/>
        <v>Not specified</v>
      </c>
      <c r="H614" s="5" t="s">
        <v>142</v>
      </c>
      <c r="I614" s="5" t="str" cm="1">
        <f t="array" aca="1" ref="I614" ca="1">INDEX(Courses!$B$9:$B$16,RANDBETWEEN(1,8))</f>
        <v>Complete Excel Course</v>
      </c>
      <c r="J614" s="5" t="str">
        <f ca="1">VLOOKUP(I614,Courses!$B$9:$C$16,2,0)</f>
        <v>Microsoft Office</v>
      </c>
      <c r="K614" s="7">
        <f ca="1">VLOOKUP(I614,Courses!$B$9:$D$16,3,0)</f>
        <v>59</v>
      </c>
      <c r="L614" s="5" t="str">
        <f t="shared" ca="1" si="115"/>
        <v>Paid</v>
      </c>
      <c r="M614" s="8" t="str" cm="1">
        <f t="array" aca="1" ref="M614" ca="1">INDEX('Payment Method'!$A$8:$A$12,RANDBETWEEN(1,5))</f>
        <v>Mastercard Credit</v>
      </c>
      <c r="N614" s="7">
        <f>IFERROR(SUMIF(Holiday!$A$8:$A$11,B614,Holiday!$C$8:$C$11),0)</f>
        <v>0</v>
      </c>
      <c r="O614" s="7">
        <f t="shared" ca="1" si="116"/>
        <v>59</v>
      </c>
      <c r="P614" s="19">
        <f t="shared" ca="1" si="117"/>
        <v>56.935000000000002</v>
      </c>
      <c r="Q614" s="7">
        <f t="shared" ca="1" si="118"/>
        <v>0</v>
      </c>
      <c r="R614" s="8">
        <f ca="1">VLOOKUP(M614,'Payment Method'!$A$8:$B$12,2,0)</f>
        <v>3.5000000000000003E-2</v>
      </c>
      <c r="S614" s="9">
        <f t="shared" ca="1" si="108"/>
        <v>2.0649999999999977</v>
      </c>
      <c r="T614" s="8">
        <v>0.01</v>
      </c>
      <c r="U614" s="9">
        <f t="shared" ca="1" si="109"/>
        <v>0.56935000000000002</v>
      </c>
      <c r="V614" s="7">
        <f t="shared" ca="1" si="110"/>
        <v>0</v>
      </c>
      <c r="W614" s="7">
        <f t="shared" ca="1" si="111"/>
        <v>56.365650000000002</v>
      </c>
      <c r="X614" s="5" t="str">
        <f t="shared" ca="1" si="119"/>
        <v>Instagram</v>
      </c>
      <c r="Y614" s="78" t="str">
        <f>IF(COUNTIF($C$1:C613,B613)=1,10,"")</f>
        <v/>
      </c>
    </row>
    <row r="615" spans="1:25" x14ac:dyDescent="0.3">
      <c r="A615" s="76">
        <v>614</v>
      </c>
      <c r="B615" s="6">
        <v>46101</v>
      </c>
      <c r="C615" s="6">
        <v>46105</v>
      </c>
      <c r="D615" s="17" t="str">
        <f t="shared" si="112"/>
        <v>March</v>
      </c>
      <c r="E615" s="5" t="str">
        <f t="shared" ca="1" si="113"/>
        <v>STU-639</v>
      </c>
      <c r="F615" s="5" t="str">
        <f ca="1">IF(COUNTIF($E$2:E615,E615)=1,"New Customer","Returning Customer")</f>
        <v>New Customer</v>
      </c>
      <c r="G615" s="5" t="str">
        <f t="shared" ca="1" si="114"/>
        <v>Male</v>
      </c>
      <c r="H615" s="5" t="s">
        <v>139</v>
      </c>
      <c r="I615" s="5" t="str" cm="1">
        <f t="array" aca="1" ref="I615" ca="1">INDEX(Courses!$B$9:$B$16,RANDBETWEEN(1,8))</f>
        <v>Power BI</v>
      </c>
      <c r="J615" s="5" t="str">
        <f ca="1">VLOOKUP(I615,Courses!$B$9:$C$16,2,0)</f>
        <v>Data Analytics</v>
      </c>
      <c r="K615" s="7">
        <f ca="1">VLOOKUP(I615,Courses!$B$9:$D$16,3,0)</f>
        <v>59</v>
      </c>
      <c r="L615" s="5" t="str">
        <f t="shared" ca="1" si="115"/>
        <v>Paid</v>
      </c>
      <c r="M615" s="8" t="str" cm="1">
        <f t="array" aca="1" ref="M615" ca="1">INDEX('Payment Method'!$A$8:$A$12,RANDBETWEEN(1,5))</f>
        <v>Mastercard Debit</v>
      </c>
      <c r="N615" s="7">
        <f>IFERROR(SUMIF(Holiday!$A$8:$A$11,B615,Holiday!$C$8:$C$11),0)</f>
        <v>0</v>
      </c>
      <c r="O615" s="7">
        <f t="shared" ca="1" si="116"/>
        <v>59</v>
      </c>
      <c r="P615" s="19">
        <f t="shared" ca="1" si="117"/>
        <v>57.82</v>
      </c>
      <c r="Q615" s="7">
        <f t="shared" ca="1" si="118"/>
        <v>0</v>
      </c>
      <c r="R615" s="8">
        <f ca="1">VLOOKUP(M615,'Payment Method'!$A$8:$B$12,2,0)</f>
        <v>0.02</v>
      </c>
      <c r="S615" s="9">
        <f t="shared" ca="1" si="108"/>
        <v>1.1799999999999997</v>
      </c>
      <c r="T615" s="8">
        <v>0.01</v>
      </c>
      <c r="U615" s="9">
        <f t="shared" ca="1" si="109"/>
        <v>0.57820000000000249</v>
      </c>
      <c r="V615" s="7">
        <f t="shared" ca="1" si="110"/>
        <v>0</v>
      </c>
      <c r="W615" s="7">
        <f t="shared" ca="1" si="111"/>
        <v>57.241799999999998</v>
      </c>
      <c r="X615" s="5" t="str">
        <f t="shared" ca="1" si="119"/>
        <v>Facebook</v>
      </c>
      <c r="Y615" s="78" t="str">
        <f>IF(COUNTIF($C$1:C614,B614)=1,10,"")</f>
        <v/>
      </c>
    </row>
    <row r="616" spans="1:25" x14ac:dyDescent="0.3">
      <c r="A616" s="75">
        <v>615</v>
      </c>
      <c r="B616" s="6">
        <v>46171</v>
      </c>
      <c r="C616" s="6">
        <v>46171</v>
      </c>
      <c r="D616" s="17" t="str">
        <f t="shared" si="112"/>
        <v>May</v>
      </c>
      <c r="E616" s="5" t="str">
        <f t="shared" ca="1" si="113"/>
        <v>STU-670</v>
      </c>
      <c r="F616" s="5" t="str">
        <f ca="1">IF(COUNTIF($E$2:E616,E616)=1,"New Customer","Returning Customer")</f>
        <v>New Customer</v>
      </c>
      <c r="G616" s="5" t="str">
        <f t="shared" ca="1" si="114"/>
        <v>Male</v>
      </c>
      <c r="H616" s="5" t="s">
        <v>138</v>
      </c>
      <c r="I616" s="5" t="str" cm="1">
        <f t="array" aca="1" ref="I616" ca="1">INDEX(Courses!$B$9:$B$16,RANDBETWEEN(1,8))</f>
        <v>PowerPoint</v>
      </c>
      <c r="J616" s="5" t="str">
        <f ca="1">VLOOKUP(I616,Courses!$B$9:$C$16,2,0)</f>
        <v>Microsoft Office</v>
      </c>
      <c r="K616" s="7">
        <f ca="1">VLOOKUP(I616,Courses!$B$9:$D$16,3,0)</f>
        <v>29</v>
      </c>
      <c r="L616" s="5" t="str">
        <f t="shared" ca="1" si="115"/>
        <v>Paid</v>
      </c>
      <c r="M616" s="8" t="str" cm="1">
        <f t="array" aca="1" ref="M616" ca="1">INDEX('Payment Method'!$A$8:$A$12,RANDBETWEEN(1,5))</f>
        <v>Mastercard Credit</v>
      </c>
      <c r="N616" s="7">
        <f>IFERROR(SUMIF(Holiday!$A$8:$A$11,B616,Holiday!$C$8:$C$11),0)</f>
        <v>0</v>
      </c>
      <c r="O616" s="7">
        <f t="shared" ca="1" si="116"/>
        <v>29</v>
      </c>
      <c r="P616" s="19">
        <f t="shared" ca="1" si="117"/>
        <v>27.984999999999999</v>
      </c>
      <c r="Q616" s="7">
        <f t="shared" ca="1" si="118"/>
        <v>0</v>
      </c>
      <c r="R616" s="8">
        <f ca="1">VLOOKUP(M616,'Payment Method'!$A$8:$B$12,2,0)</f>
        <v>3.5000000000000003E-2</v>
      </c>
      <c r="S616" s="9">
        <f t="shared" ca="1" si="108"/>
        <v>1.0150000000000006</v>
      </c>
      <c r="T616" s="8">
        <v>0.01</v>
      </c>
      <c r="U616" s="9">
        <f t="shared" ca="1" si="109"/>
        <v>0.27984999999999971</v>
      </c>
      <c r="V616" s="7">
        <f t="shared" ca="1" si="110"/>
        <v>0</v>
      </c>
      <c r="W616" s="7">
        <f t="shared" ca="1" si="111"/>
        <v>27.70515</v>
      </c>
      <c r="X616" s="5" t="str">
        <f t="shared" ca="1" si="119"/>
        <v>Facebook</v>
      </c>
      <c r="Y616" s="78" t="str">
        <f>IF(COUNTIF($C$1:C615,B615)=1,10,"")</f>
        <v/>
      </c>
    </row>
    <row r="617" spans="1:25" x14ac:dyDescent="0.3">
      <c r="A617" s="76">
        <v>616</v>
      </c>
      <c r="B617" s="6">
        <v>46041</v>
      </c>
      <c r="C617" s="6">
        <v>46045</v>
      </c>
      <c r="D617" s="17" t="str">
        <f t="shared" si="112"/>
        <v>January</v>
      </c>
      <c r="E617" s="5" t="str">
        <f t="shared" ca="1" si="113"/>
        <v>STU-211</v>
      </c>
      <c r="F617" s="5" t="str">
        <f ca="1">IF(COUNTIF($E$2:E617,E617)=1,"New Customer","Returning Customer")</f>
        <v>Returning Customer</v>
      </c>
      <c r="G617" s="5" t="str">
        <f t="shared" ca="1" si="114"/>
        <v>Male</v>
      </c>
      <c r="H617" s="5" t="s">
        <v>139</v>
      </c>
      <c r="I617" s="5" t="str" cm="1">
        <f t="array" aca="1" ref="I617" ca="1">INDEX(Courses!$B$9:$B$16,RANDBETWEEN(1,8))</f>
        <v>SQL</v>
      </c>
      <c r="J617" s="5" t="str">
        <f ca="1">VLOOKUP(I617,Courses!$B$9:$C$16,2,0)</f>
        <v>Data Analytics</v>
      </c>
      <c r="K617" s="7">
        <f ca="1">VLOOKUP(I617,Courses!$B$9:$D$16,3,0)</f>
        <v>99</v>
      </c>
      <c r="L617" s="5" t="str">
        <f t="shared" ca="1" si="115"/>
        <v>Pending</v>
      </c>
      <c r="M617" s="8" t="str" cm="1">
        <f t="array" aca="1" ref="M617" ca="1">INDEX('Payment Method'!$A$8:$A$12,RANDBETWEEN(1,5))</f>
        <v>Mastercard Credit</v>
      </c>
      <c r="N617" s="7">
        <f>IFERROR(SUMIF(Holiday!$A$8:$A$11,B617,Holiday!$C$8:$C$11),0)</f>
        <v>0</v>
      </c>
      <c r="O617" s="7">
        <f t="shared" ca="1" si="116"/>
        <v>99</v>
      </c>
      <c r="P617" s="19">
        <f t="shared" ca="1" si="117"/>
        <v>95.534999999999997</v>
      </c>
      <c r="Q617" s="7">
        <f t="shared" ca="1" si="118"/>
        <v>94.579650000000001</v>
      </c>
      <c r="R617" s="8">
        <f ca="1">VLOOKUP(M617,'Payment Method'!$A$8:$B$12,2,0)</f>
        <v>3.5000000000000003E-2</v>
      </c>
      <c r="S617" s="9">
        <f t="shared" ca="1" si="108"/>
        <v>3.4650000000000034</v>
      </c>
      <c r="T617" s="8">
        <v>0.01</v>
      </c>
      <c r="U617" s="9">
        <f t="shared" ca="1" si="109"/>
        <v>0.9553499999999957</v>
      </c>
      <c r="V617" s="7">
        <f t="shared" ca="1" si="110"/>
        <v>0</v>
      </c>
      <c r="W617" s="7">
        <f t="shared" ca="1" si="111"/>
        <v>0</v>
      </c>
      <c r="X617" s="5" t="str">
        <f t="shared" ca="1" si="119"/>
        <v>Tiktok</v>
      </c>
      <c r="Y617" s="78" t="str">
        <f>IF(COUNTIF($C$1:C616,B616)=1,10,"")</f>
        <v/>
      </c>
    </row>
    <row r="618" spans="1:25" x14ac:dyDescent="0.3">
      <c r="A618" s="75">
        <v>617</v>
      </c>
      <c r="B618" s="6">
        <v>46051</v>
      </c>
      <c r="C618" s="6">
        <v>46054</v>
      </c>
      <c r="D618" s="17" t="str">
        <f t="shared" si="112"/>
        <v>February</v>
      </c>
      <c r="E618" s="5" t="str">
        <f t="shared" ca="1" si="113"/>
        <v>STU-760</v>
      </c>
      <c r="F618" s="5" t="str">
        <f ca="1">IF(COUNTIF($E$2:E618,E618)=1,"New Customer","Returning Customer")</f>
        <v>Returning Customer</v>
      </c>
      <c r="G618" s="5" t="str">
        <f t="shared" ca="1" si="114"/>
        <v>Not specified</v>
      </c>
      <c r="H618" s="5" t="s">
        <v>141</v>
      </c>
      <c r="I618" s="5" t="str" cm="1">
        <f t="array" aca="1" ref="I618" ca="1">INDEX(Courses!$B$9:$B$16,RANDBETWEEN(1,8))</f>
        <v>Tax Code</v>
      </c>
      <c r="J618" s="5" t="str">
        <f ca="1">VLOOKUP(I618,Courses!$B$9:$C$16,2,0)</f>
        <v>Finance &amp; Taxation</v>
      </c>
      <c r="K618" s="7">
        <f ca="1">VLOOKUP(I618,Courses!$B$9:$D$16,3,0)</f>
        <v>59</v>
      </c>
      <c r="L618" s="5" t="str">
        <f t="shared" ca="1" si="115"/>
        <v>Paid</v>
      </c>
      <c r="M618" s="8" t="str" cm="1">
        <f t="array" aca="1" ref="M618" ca="1">INDEX('Payment Method'!$A$8:$A$12,RANDBETWEEN(1,5))</f>
        <v>Bank Transfer</v>
      </c>
      <c r="N618" s="7">
        <f>IFERROR(SUMIF(Holiday!$A$8:$A$11,B618,Holiday!$C$8:$C$11),0)</f>
        <v>0</v>
      </c>
      <c r="O618" s="7">
        <f t="shared" ca="1" si="116"/>
        <v>59</v>
      </c>
      <c r="P618" s="19">
        <f t="shared" ca="1" si="117"/>
        <v>59</v>
      </c>
      <c r="Q618" s="7">
        <f t="shared" ca="1" si="118"/>
        <v>0</v>
      </c>
      <c r="R618" s="8">
        <f ca="1">VLOOKUP(M618,'Payment Method'!$A$8:$B$12,2,0)</f>
        <v>0</v>
      </c>
      <c r="S618" s="9">
        <f t="shared" ca="1" si="108"/>
        <v>0</v>
      </c>
      <c r="T618" s="8">
        <v>0.01</v>
      </c>
      <c r="U618" s="9">
        <f t="shared" ca="1" si="109"/>
        <v>0.59000000000000341</v>
      </c>
      <c r="V618" s="7">
        <f t="shared" ca="1" si="110"/>
        <v>0</v>
      </c>
      <c r="W618" s="7">
        <f t="shared" ca="1" si="111"/>
        <v>58.41</v>
      </c>
      <c r="X618" s="5" t="str">
        <f t="shared" ca="1" si="119"/>
        <v>Facebook</v>
      </c>
      <c r="Y618" s="78" t="str">
        <f>IF(COUNTIF($C$1:C617,B617)=1,10,"")</f>
        <v/>
      </c>
    </row>
    <row r="619" spans="1:25" x14ac:dyDescent="0.3">
      <c r="A619" s="76">
        <v>618</v>
      </c>
      <c r="B619" s="6">
        <v>46066</v>
      </c>
      <c r="C619" s="6">
        <v>46067</v>
      </c>
      <c r="D619" s="17" t="str">
        <f t="shared" si="112"/>
        <v>February</v>
      </c>
      <c r="E619" s="5" t="str">
        <f t="shared" ca="1" si="113"/>
        <v>STU-528</v>
      </c>
      <c r="F619" s="5" t="str">
        <f ca="1">IF(COUNTIF($E$2:E619,E619)=1,"New Customer","Returning Customer")</f>
        <v>New Customer</v>
      </c>
      <c r="G619" s="5" t="str">
        <f t="shared" ca="1" si="114"/>
        <v>Female</v>
      </c>
      <c r="H619" s="5" t="s">
        <v>142</v>
      </c>
      <c r="I619" s="5" t="str" cm="1">
        <f t="array" aca="1" ref="I619" ca="1">INDEX(Courses!$B$9:$B$16,RANDBETWEEN(1,8))</f>
        <v>Excel Basics</v>
      </c>
      <c r="J619" s="5" t="str">
        <f ca="1">VLOOKUP(I619,Courses!$B$9:$C$16,2,0)</f>
        <v>Microsoft Office</v>
      </c>
      <c r="K619" s="7">
        <f ca="1">VLOOKUP(I619,Courses!$B$9:$D$16,3,0)</f>
        <v>29</v>
      </c>
      <c r="L619" s="5" t="str">
        <f t="shared" ca="1" si="115"/>
        <v>Paid</v>
      </c>
      <c r="M619" s="8" t="str" cm="1">
        <f t="array" aca="1" ref="M619" ca="1">INDEX('Payment Method'!$A$8:$A$12,RANDBETWEEN(1,5))</f>
        <v>Bank Transfer</v>
      </c>
      <c r="N619" s="7">
        <f>IFERROR(SUMIF(Holiday!$A$8:$A$11,B619,Holiday!$C$8:$C$11),0)</f>
        <v>0</v>
      </c>
      <c r="O619" s="7">
        <f t="shared" ca="1" si="116"/>
        <v>29</v>
      </c>
      <c r="P619" s="19">
        <f t="shared" ca="1" si="117"/>
        <v>29</v>
      </c>
      <c r="Q619" s="7">
        <f t="shared" ca="1" si="118"/>
        <v>0</v>
      </c>
      <c r="R619" s="8">
        <f ca="1">VLOOKUP(M619,'Payment Method'!$A$8:$B$12,2,0)</f>
        <v>0</v>
      </c>
      <c r="S619" s="9">
        <f t="shared" ca="1" si="108"/>
        <v>0</v>
      </c>
      <c r="T619" s="8">
        <v>0.01</v>
      </c>
      <c r="U619" s="9">
        <f t="shared" ca="1" si="109"/>
        <v>0.28999999999999915</v>
      </c>
      <c r="V619" s="7">
        <f t="shared" ca="1" si="110"/>
        <v>0</v>
      </c>
      <c r="W619" s="7">
        <f t="shared" ca="1" si="111"/>
        <v>28.71</v>
      </c>
      <c r="X619" s="5" t="str">
        <f t="shared" ca="1" si="119"/>
        <v>Tiktok</v>
      </c>
      <c r="Y619" s="78" t="str">
        <f>IF(COUNTIF($C$1:C618,B618)=1,10,"")</f>
        <v/>
      </c>
    </row>
    <row r="620" spans="1:25" x14ac:dyDescent="0.3">
      <c r="A620" s="75">
        <v>619</v>
      </c>
      <c r="B620" s="6">
        <v>46039</v>
      </c>
      <c r="C620" s="6">
        <v>46040</v>
      </c>
      <c r="D620" s="17" t="str">
        <f t="shared" si="112"/>
        <v>January</v>
      </c>
      <c r="E620" s="5" t="str">
        <f t="shared" ca="1" si="113"/>
        <v>STU-653</v>
      </c>
      <c r="F620" s="5" t="str">
        <f ca="1">IF(COUNTIF($E$2:E620,E620)=1,"New Customer","Returning Customer")</f>
        <v>Returning Customer</v>
      </c>
      <c r="G620" s="5" t="str">
        <f t="shared" ca="1" si="114"/>
        <v>Male</v>
      </c>
      <c r="H620" s="5" t="s">
        <v>138</v>
      </c>
      <c r="I620" s="5" t="str" cm="1">
        <f t="array" aca="1" ref="I620" ca="1">INDEX(Courses!$B$9:$B$16,RANDBETWEEN(1,8))</f>
        <v>Microsoft Word</v>
      </c>
      <c r="J620" s="5" t="str">
        <f ca="1">VLOOKUP(I620,Courses!$B$9:$C$16,2,0)</f>
        <v>Microsoft Office</v>
      </c>
      <c r="K620" s="7">
        <f ca="1">VLOOKUP(I620,Courses!$B$9:$D$16,3,0)</f>
        <v>29</v>
      </c>
      <c r="L620" s="5" t="str">
        <f t="shared" ca="1" si="115"/>
        <v>Pending</v>
      </c>
      <c r="M620" s="8" t="str" cm="1">
        <f t="array" aca="1" ref="M620" ca="1">INDEX('Payment Method'!$A$8:$A$12,RANDBETWEEN(1,5))</f>
        <v>Visa Credit</v>
      </c>
      <c r="N620" s="7">
        <f>IFERROR(SUMIF(Holiday!$A$8:$A$11,B620,Holiday!$C$8:$C$11),0)</f>
        <v>0</v>
      </c>
      <c r="O620" s="7">
        <f t="shared" ca="1" si="116"/>
        <v>29</v>
      </c>
      <c r="P620" s="19">
        <f t="shared" ca="1" si="117"/>
        <v>27.984999999999999</v>
      </c>
      <c r="Q620" s="7">
        <f t="shared" ca="1" si="118"/>
        <v>27.70515</v>
      </c>
      <c r="R620" s="8">
        <f ca="1">VLOOKUP(M620,'Payment Method'!$A$8:$B$12,2,0)</f>
        <v>3.5000000000000003E-2</v>
      </c>
      <c r="S620" s="9">
        <f t="shared" ca="1" si="108"/>
        <v>1.0150000000000006</v>
      </c>
      <c r="T620" s="8">
        <v>0.01</v>
      </c>
      <c r="U620" s="9">
        <f t="shared" ca="1" si="109"/>
        <v>0.27984999999999971</v>
      </c>
      <c r="V620" s="7">
        <f t="shared" ca="1" si="110"/>
        <v>0</v>
      </c>
      <c r="W620" s="7">
        <f t="shared" ca="1" si="111"/>
        <v>0</v>
      </c>
      <c r="X620" s="5" t="str">
        <f t="shared" ca="1" si="119"/>
        <v>Facebook</v>
      </c>
      <c r="Y620" s="78" t="str">
        <f>IF(COUNTIF($C$1:C619,B619)=1,10,"")</f>
        <v/>
      </c>
    </row>
    <row r="621" spans="1:25" x14ac:dyDescent="0.3">
      <c r="A621" s="76">
        <v>620</v>
      </c>
      <c r="B621" s="6">
        <v>46108</v>
      </c>
      <c r="C621" s="6">
        <v>46111</v>
      </c>
      <c r="D621" s="17" t="str">
        <f t="shared" si="112"/>
        <v>March</v>
      </c>
      <c r="E621" s="5" t="str">
        <f t="shared" ca="1" si="113"/>
        <v>STU-631</v>
      </c>
      <c r="F621" s="5" t="str">
        <f ca="1">IF(COUNTIF($E$2:E621,E621)=1,"New Customer","Returning Customer")</f>
        <v>Returning Customer</v>
      </c>
      <c r="G621" s="5" t="str">
        <f t="shared" ca="1" si="114"/>
        <v>Female</v>
      </c>
      <c r="H621" s="5" t="s">
        <v>142</v>
      </c>
      <c r="I621" s="5" t="str" cm="1">
        <f t="array" aca="1" ref="I621" ca="1">INDEX(Courses!$B$9:$B$16,RANDBETWEEN(1,8))</f>
        <v>Microsoft Word</v>
      </c>
      <c r="J621" s="5" t="str">
        <f ca="1">VLOOKUP(I621,Courses!$B$9:$C$16,2,0)</f>
        <v>Microsoft Office</v>
      </c>
      <c r="K621" s="7">
        <f ca="1">VLOOKUP(I621,Courses!$B$9:$D$16,3,0)</f>
        <v>29</v>
      </c>
      <c r="L621" s="5" t="str">
        <f t="shared" ca="1" si="115"/>
        <v>Paid</v>
      </c>
      <c r="M621" s="8" t="str" cm="1">
        <f t="array" aca="1" ref="M621" ca="1">INDEX('Payment Method'!$A$8:$A$12,RANDBETWEEN(1,5))</f>
        <v>Bank Transfer</v>
      </c>
      <c r="N621" s="7">
        <f>IFERROR(SUMIF(Holiday!$A$8:$A$11,B621,Holiday!$C$8:$C$11),0)</f>
        <v>0</v>
      </c>
      <c r="O621" s="7">
        <f t="shared" ca="1" si="116"/>
        <v>29</v>
      </c>
      <c r="P621" s="19">
        <f t="shared" ca="1" si="117"/>
        <v>29</v>
      </c>
      <c r="Q621" s="7">
        <f t="shared" ca="1" si="118"/>
        <v>0</v>
      </c>
      <c r="R621" s="8">
        <f ca="1">VLOOKUP(M621,'Payment Method'!$A$8:$B$12,2,0)</f>
        <v>0</v>
      </c>
      <c r="S621" s="9">
        <f t="shared" ca="1" si="108"/>
        <v>0</v>
      </c>
      <c r="T621" s="8">
        <v>0.01</v>
      </c>
      <c r="U621" s="9">
        <f t="shared" ca="1" si="109"/>
        <v>0.28999999999999915</v>
      </c>
      <c r="V621" s="7">
        <f t="shared" ca="1" si="110"/>
        <v>0</v>
      </c>
      <c r="W621" s="7">
        <f t="shared" ca="1" si="111"/>
        <v>28.71</v>
      </c>
      <c r="X621" s="5" t="str">
        <f t="shared" ca="1" si="119"/>
        <v>Instagram</v>
      </c>
      <c r="Y621" s="78" t="str">
        <f>IF(COUNTIF($C$1:C620,B620)=1,10,"")</f>
        <v/>
      </c>
    </row>
    <row r="622" spans="1:25" x14ac:dyDescent="0.3">
      <c r="A622" s="75">
        <v>621</v>
      </c>
      <c r="B622" s="6">
        <v>46057</v>
      </c>
      <c r="C622" s="6">
        <v>46062</v>
      </c>
      <c r="D622" s="17" t="str">
        <f t="shared" si="112"/>
        <v>February</v>
      </c>
      <c r="E622" s="5" t="str">
        <f t="shared" ca="1" si="113"/>
        <v>STU-779</v>
      </c>
      <c r="F622" s="5" t="str">
        <f ca="1">IF(COUNTIF($E$2:E622,E622)=1,"New Customer","Returning Customer")</f>
        <v>New Customer</v>
      </c>
      <c r="G622" s="5" t="str">
        <f t="shared" ca="1" si="114"/>
        <v>Male</v>
      </c>
      <c r="H622" s="5" t="s">
        <v>142</v>
      </c>
      <c r="I622" s="5" t="str" cm="1">
        <f t="array" aca="1" ref="I622" ca="1">INDEX(Courses!$B$9:$B$16,RANDBETWEEN(1,8))</f>
        <v>Complete Excel Course</v>
      </c>
      <c r="J622" s="5" t="str">
        <f ca="1">VLOOKUP(I622,Courses!$B$9:$C$16,2,0)</f>
        <v>Microsoft Office</v>
      </c>
      <c r="K622" s="7">
        <f ca="1">VLOOKUP(I622,Courses!$B$9:$D$16,3,0)</f>
        <v>59</v>
      </c>
      <c r="L622" s="5" t="str">
        <f t="shared" ca="1" si="115"/>
        <v>Paid</v>
      </c>
      <c r="M622" s="8" t="str" cm="1">
        <f t="array" aca="1" ref="M622" ca="1">INDEX('Payment Method'!$A$8:$A$12,RANDBETWEEN(1,5))</f>
        <v>Mastercard Credit</v>
      </c>
      <c r="N622" s="7">
        <f>IFERROR(SUMIF(Holiday!$A$8:$A$11,B622,Holiday!$C$8:$C$11),0)</f>
        <v>0</v>
      </c>
      <c r="O622" s="7">
        <f t="shared" ca="1" si="116"/>
        <v>59</v>
      </c>
      <c r="P622" s="19">
        <f t="shared" ca="1" si="117"/>
        <v>56.935000000000002</v>
      </c>
      <c r="Q622" s="7">
        <f t="shared" ca="1" si="118"/>
        <v>0</v>
      </c>
      <c r="R622" s="8">
        <f ca="1">VLOOKUP(M622,'Payment Method'!$A$8:$B$12,2,0)</f>
        <v>3.5000000000000003E-2</v>
      </c>
      <c r="S622" s="9">
        <f t="shared" ca="1" si="108"/>
        <v>2.0649999999999977</v>
      </c>
      <c r="T622" s="8">
        <v>0.01</v>
      </c>
      <c r="U622" s="9">
        <f t="shared" ca="1" si="109"/>
        <v>0.56935000000000002</v>
      </c>
      <c r="V622" s="7">
        <f t="shared" ca="1" si="110"/>
        <v>0</v>
      </c>
      <c r="W622" s="7">
        <f t="shared" ca="1" si="111"/>
        <v>56.365650000000002</v>
      </c>
      <c r="X622" s="5" t="str">
        <f t="shared" ca="1" si="119"/>
        <v>Facebook</v>
      </c>
      <c r="Y622" s="78">
        <f>IF(COUNTIF($C$1:C621,B621)=1,10,"")</f>
        <v>10</v>
      </c>
    </row>
    <row r="623" spans="1:25" x14ac:dyDescent="0.3">
      <c r="A623" s="76">
        <v>622</v>
      </c>
      <c r="B623" s="6">
        <v>46210</v>
      </c>
      <c r="C623" s="6">
        <v>46210</v>
      </c>
      <c r="D623" s="17" t="str">
        <f t="shared" si="112"/>
        <v>July</v>
      </c>
      <c r="E623" s="5" t="str">
        <f t="shared" ca="1" si="113"/>
        <v>STU-980</v>
      </c>
      <c r="F623" s="5" t="str">
        <f ca="1">IF(COUNTIF($E$2:E623,E623)=1,"New Customer","Returning Customer")</f>
        <v>New Customer</v>
      </c>
      <c r="G623" s="5" t="str">
        <f t="shared" ca="1" si="114"/>
        <v>Male</v>
      </c>
      <c r="H623" s="5" t="s">
        <v>139</v>
      </c>
      <c r="I623" s="5" t="str" cm="1">
        <f t="array" aca="1" ref="I623" ca="1">INDEX(Courses!$B$9:$B$16,RANDBETWEEN(1,8))</f>
        <v>PowerPoint</v>
      </c>
      <c r="J623" s="5" t="str">
        <f ca="1">VLOOKUP(I623,Courses!$B$9:$C$16,2,0)</f>
        <v>Microsoft Office</v>
      </c>
      <c r="K623" s="7">
        <f ca="1">VLOOKUP(I623,Courses!$B$9:$D$16,3,0)</f>
        <v>29</v>
      </c>
      <c r="L623" s="5" t="str">
        <f t="shared" ca="1" si="115"/>
        <v>Paid</v>
      </c>
      <c r="M623" s="8" t="str" cm="1">
        <f t="array" aca="1" ref="M623" ca="1">INDEX('Payment Method'!$A$8:$A$12,RANDBETWEEN(1,5))</f>
        <v>Visa Debit</v>
      </c>
      <c r="N623" s="7">
        <f>IFERROR(SUMIF(Holiday!$A$8:$A$11,B623,Holiday!$C$8:$C$11),0)</f>
        <v>0</v>
      </c>
      <c r="O623" s="7">
        <f t="shared" ca="1" si="116"/>
        <v>29</v>
      </c>
      <c r="P623" s="19">
        <f t="shared" ca="1" si="117"/>
        <v>28.42</v>
      </c>
      <c r="Q623" s="7">
        <f t="shared" ca="1" si="118"/>
        <v>0</v>
      </c>
      <c r="R623" s="8">
        <f ca="1">VLOOKUP(M623,'Payment Method'!$A$8:$B$12,2,0)</f>
        <v>0.02</v>
      </c>
      <c r="S623" s="9">
        <f t="shared" ca="1" si="108"/>
        <v>0.57999999999999829</v>
      </c>
      <c r="T623" s="8">
        <v>0.01</v>
      </c>
      <c r="U623" s="9">
        <f t="shared" ca="1" si="109"/>
        <v>0.28419999999999845</v>
      </c>
      <c r="V623" s="7">
        <f t="shared" ca="1" si="110"/>
        <v>0</v>
      </c>
      <c r="W623" s="7">
        <f t="shared" ca="1" si="111"/>
        <v>28.135800000000003</v>
      </c>
      <c r="X623" s="5" t="str">
        <f t="shared" ca="1" si="119"/>
        <v>Tiktok</v>
      </c>
      <c r="Y623" s="78" t="str">
        <f>IF(COUNTIF($C$1:C622,B622)=1,10,"")</f>
        <v/>
      </c>
    </row>
    <row r="624" spans="1:25" x14ac:dyDescent="0.3">
      <c r="A624" s="75">
        <v>623</v>
      </c>
      <c r="B624" s="6">
        <v>46034</v>
      </c>
      <c r="C624" s="6">
        <v>46039</v>
      </c>
      <c r="D624" s="17" t="str">
        <f t="shared" si="112"/>
        <v>January</v>
      </c>
      <c r="E624" s="5" t="str">
        <f t="shared" ca="1" si="113"/>
        <v>STU-268</v>
      </c>
      <c r="F624" s="5" t="str">
        <f ca="1">IF(COUNTIF($E$2:E624,E624)=1,"New Customer","Returning Customer")</f>
        <v>Returning Customer</v>
      </c>
      <c r="G624" s="5" t="str">
        <f t="shared" ca="1" si="114"/>
        <v>Female</v>
      </c>
      <c r="H624" s="5" t="s">
        <v>142</v>
      </c>
      <c r="I624" s="5" t="str" cm="1">
        <f t="array" aca="1" ref="I624" ca="1">INDEX(Courses!$B$9:$B$16,RANDBETWEEN(1,8))</f>
        <v>Microsoft Word</v>
      </c>
      <c r="J624" s="5" t="str">
        <f ca="1">VLOOKUP(I624,Courses!$B$9:$C$16,2,0)</f>
        <v>Microsoft Office</v>
      </c>
      <c r="K624" s="7">
        <f ca="1">VLOOKUP(I624,Courses!$B$9:$D$16,3,0)</f>
        <v>29</v>
      </c>
      <c r="L624" s="5" t="str">
        <f t="shared" ca="1" si="115"/>
        <v>Pending</v>
      </c>
      <c r="M624" s="8" t="str" cm="1">
        <f t="array" aca="1" ref="M624" ca="1">INDEX('Payment Method'!$A$8:$A$12,RANDBETWEEN(1,5))</f>
        <v>Visa Debit</v>
      </c>
      <c r="N624" s="7">
        <f>IFERROR(SUMIF(Holiday!$A$8:$A$11,B624,Holiday!$C$8:$C$11),0)</f>
        <v>0</v>
      </c>
      <c r="O624" s="7">
        <f t="shared" ca="1" si="116"/>
        <v>29</v>
      </c>
      <c r="P624" s="19">
        <f t="shared" ca="1" si="117"/>
        <v>28.42</v>
      </c>
      <c r="Q624" s="7">
        <f t="shared" ca="1" si="118"/>
        <v>28.135800000000003</v>
      </c>
      <c r="R624" s="8">
        <f ca="1">VLOOKUP(M624,'Payment Method'!$A$8:$B$12,2,0)</f>
        <v>0.02</v>
      </c>
      <c r="S624" s="9">
        <f t="shared" ca="1" si="108"/>
        <v>0.57999999999999829</v>
      </c>
      <c r="T624" s="8">
        <v>0.01</v>
      </c>
      <c r="U624" s="9">
        <f t="shared" ca="1" si="109"/>
        <v>0.28419999999999845</v>
      </c>
      <c r="V624" s="7">
        <f t="shared" ca="1" si="110"/>
        <v>0</v>
      </c>
      <c r="W624" s="7">
        <f t="shared" ca="1" si="111"/>
        <v>0</v>
      </c>
      <c r="X624" s="5" t="str">
        <f t="shared" ca="1" si="119"/>
        <v>Facebook</v>
      </c>
      <c r="Y624" s="78" t="str">
        <f>IF(COUNTIF($C$1:C623,B623)=1,10,"")</f>
        <v/>
      </c>
    </row>
    <row r="625" spans="1:25" x14ac:dyDescent="0.3">
      <c r="A625" s="76">
        <v>624</v>
      </c>
      <c r="B625" s="6">
        <v>46072</v>
      </c>
      <c r="C625" s="6">
        <v>46074</v>
      </c>
      <c r="D625" s="17" t="str">
        <f t="shared" si="112"/>
        <v>February</v>
      </c>
      <c r="E625" s="5" t="str">
        <f t="shared" ca="1" si="113"/>
        <v>STU-994</v>
      </c>
      <c r="F625" s="5" t="str">
        <f ca="1">IF(COUNTIF($E$2:E625,E625)=1,"New Customer","Returning Customer")</f>
        <v>Returning Customer</v>
      </c>
      <c r="G625" s="5" t="str">
        <f t="shared" ca="1" si="114"/>
        <v>Female</v>
      </c>
      <c r="H625" s="5" t="s">
        <v>136</v>
      </c>
      <c r="I625" s="5" t="str" cm="1">
        <f t="array" aca="1" ref="I625" ca="1">INDEX(Courses!$B$9:$B$16,RANDBETWEEN(1,8))</f>
        <v>Power BI</v>
      </c>
      <c r="J625" s="5" t="str">
        <f ca="1">VLOOKUP(I625,Courses!$B$9:$C$16,2,0)</f>
        <v>Data Analytics</v>
      </c>
      <c r="K625" s="7">
        <f ca="1">VLOOKUP(I625,Courses!$B$9:$D$16,3,0)</f>
        <v>59</v>
      </c>
      <c r="L625" s="5" t="str">
        <f t="shared" ca="1" si="115"/>
        <v>Paid</v>
      </c>
      <c r="M625" s="8" t="str" cm="1">
        <f t="array" aca="1" ref="M625" ca="1">INDEX('Payment Method'!$A$8:$A$12,RANDBETWEEN(1,5))</f>
        <v>Visa Credit</v>
      </c>
      <c r="N625" s="7">
        <f>IFERROR(SUMIF(Holiday!$A$8:$A$11,B625,Holiday!$C$8:$C$11),0)</f>
        <v>0</v>
      </c>
      <c r="O625" s="7">
        <f t="shared" ca="1" si="116"/>
        <v>59</v>
      </c>
      <c r="P625" s="19">
        <f t="shared" ca="1" si="117"/>
        <v>56.935000000000002</v>
      </c>
      <c r="Q625" s="7">
        <f t="shared" ca="1" si="118"/>
        <v>0</v>
      </c>
      <c r="R625" s="8">
        <f ca="1">VLOOKUP(M625,'Payment Method'!$A$8:$B$12,2,0)</f>
        <v>3.5000000000000003E-2</v>
      </c>
      <c r="S625" s="9">
        <f t="shared" ca="1" si="108"/>
        <v>2.0649999999999977</v>
      </c>
      <c r="T625" s="8">
        <v>0.01</v>
      </c>
      <c r="U625" s="9">
        <f t="shared" ca="1" si="109"/>
        <v>0.56935000000000002</v>
      </c>
      <c r="V625" s="7">
        <f t="shared" ca="1" si="110"/>
        <v>0</v>
      </c>
      <c r="W625" s="7">
        <f t="shared" ca="1" si="111"/>
        <v>56.365650000000002</v>
      </c>
      <c r="X625" s="5" t="str">
        <f t="shared" ca="1" si="119"/>
        <v>Tiktok</v>
      </c>
      <c r="Y625" s="78" t="str">
        <f>IF(COUNTIF($C$1:C624,B624)=1,10,"")</f>
        <v/>
      </c>
    </row>
    <row r="626" spans="1:25" x14ac:dyDescent="0.3">
      <c r="A626" s="75">
        <v>625</v>
      </c>
      <c r="B626" s="6">
        <v>46112</v>
      </c>
      <c r="C626" s="6">
        <v>46114</v>
      </c>
      <c r="D626" s="17" t="str">
        <f t="shared" si="112"/>
        <v>April</v>
      </c>
      <c r="E626" s="5" t="str">
        <f t="shared" ca="1" si="113"/>
        <v>STU-318</v>
      </c>
      <c r="F626" s="5" t="str">
        <f ca="1">IF(COUNTIF($E$2:E626,E626)=1,"New Customer","Returning Customer")</f>
        <v>New Customer</v>
      </c>
      <c r="G626" s="5" t="str">
        <f t="shared" ca="1" si="114"/>
        <v>Female</v>
      </c>
      <c r="H626" s="5" t="s">
        <v>141</v>
      </c>
      <c r="I626" s="5" t="str" cm="1">
        <f t="array" aca="1" ref="I626" ca="1">INDEX(Courses!$B$9:$B$16,RANDBETWEEN(1,8))</f>
        <v>Excel Basics</v>
      </c>
      <c r="J626" s="5" t="str">
        <f ca="1">VLOOKUP(I626,Courses!$B$9:$C$16,2,0)</f>
        <v>Microsoft Office</v>
      </c>
      <c r="K626" s="7">
        <f ca="1">VLOOKUP(I626,Courses!$B$9:$D$16,3,0)</f>
        <v>29</v>
      </c>
      <c r="L626" s="5" t="str">
        <f t="shared" ca="1" si="115"/>
        <v>Pending</v>
      </c>
      <c r="M626" s="8" t="str" cm="1">
        <f t="array" aca="1" ref="M626" ca="1">INDEX('Payment Method'!$A$8:$A$12,RANDBETWEEN(1,5))</f>
        <v>Visa Credit</v>
      </c>
      <c r="N626" s="7">
        <f>IFERROR(SUMIF(Holiday!$A$8:$A$11,B626,Holiday!$C$8:$C$11),0)</f>
        <v>0</v>
      </c>
      <c r="O626" s="7">
        <f t="shared" ca="1" si="116"/>
        <v>29</v>
      </c>
      <c r="P626" s="19">
        <f t="shared" ca="1" si="117"/>
        <v>27.984999999999999</v>
      </c>
      <c r="Q626" s="7">
        <f t="shared" ca="1" si="118"/>
        <v>27.70515</v>
      </c>
      <c r="R626" s="8">
        <f ca="1">VLOOKUP(M626,'Payment Method'!$A$8:$B$12,2,0)</f>
        <v>3.5000000000000003E-2</v>
      </c>
      <c r="S626" s="9">
        <f t="shared" ca="1" si="108"/>
        <v>1.0150000000000006</v>
      </c>
      <c r="T626" s="8">
        <v>0.01</v>
      </c>
      <c r="U626" s="9">
        <f t="shared" ca="1" si="109"/>
        <v>0.27984999999999971</v>
      </c>
      <c r="V626" s="7">
        <f t="shared" ca="1" si="110"/>
        <v>0</v>
      </c>
      <c r="W626" s="7">
        <f t="shared" ca="1" si="111"/>
        <v>0</v>
      </c>
      <c r="X626" s="5" t="str">
        <f t="shared" ca="1" si="119"/>
        <v>Tiktok</v>
      </c>
      <c r="Y626" s="78" t="str">
        <f>IF(COUNTIF($C$1:C625,B625)=1,10,"")</f>
        <v/>
      </c>
    </row>
    <row r="627" spans="1:25" x14ac:dyDescent="0.3">
      <c r="A627" s="76">
        <v>626</v>
      </c>
      <c r="B627" s="6">
        <v>46058</v>
      </c>
      <c r="C627" s="6">
        <v>46063</v>
      </c>
      <c r="D627" s="17" t="str">
        <f t="shared" si="112"/>
        <v>February</v>
      </c>
      <c r="E627" s="5" t="str">
        <f t="shared" ca="1" si="113"/>
        <v>STU-751</v>
      </c>
      <c r="F627" s="5" t="str">
        <f ca="1">IF(COUNTIF($E$2:E627,E627)=1,"New Customer","Returning Customer")</f>
        <v>Returning Customer</v>
      </c>
      <c r="G627" s="5" t="str">
        <f t="shared" ca="1" si="114"/>
        <v>Male</v>
      </c>
      <c r="H627" s="5" t="s">
        <v>138</v>
      </c>
      <c r="I627" s="5" t="str" cm="1">
        <f t="array" aca="1" ref="I627" ca="1">INDEX(Courses!$B$9:$B$16,RANDBETWEEN(1,8))</f>
        <v>Microsoft Word</v>
      </c>
      <c r="J627" s="5" t="str">
        <f ca="1">VLOOKUP(I627,Courses!$B$9:$C$16,2,0)</f>
        <v>Microsoft Office</v>
      </c>
      <c r="K627" s="7">
        <f ca="1">VLOOKUP(I627,Courses!$B$9:$D$16,3,0)</f>
        <v>29</v>
      </c>
      <c r="L627" s="5" t="str">
        <f t="shared" ca="1" si="115"/>
        <v>Paid</v>
      </c>
      <c r="M627" s="8" t="str" cm="1">
        <f t="array" aca="1" ref="M627" ca="1">INDEX('Payment Method'!$A$8:$A$12,RANDBETWEEN(1,5))</f>
        <v>Bank Transfer</v>
      </c>
      <c r="N627" s="7">
        <f>IFERROR(SUMIF(Holiday!$A$8:$A$11,B627,Holiday!$C$8:$C$11),0)</f>
        <v>0</v>
      </c>
      <c r="O627" s="7">
        <f t="shared" ca="1" si="116"/>
        <v>29</v>
      </c>
      <c r="P627" s="19">
        <f t="shared" ca="1" si="117"/>
        <v>29</v>
      </c>
      <c r="Q627" s="7">
        <f t="shared" ca="1" si="118"/>
        <v>0</v>
      </c>
      <c r="R627" s="8">
        <f ca="1">VLOOKUP(M627,'Payment Method'!$A$8:$B$12,2,0)</f>
        <v>0</v>
      </c>
      <c r="S627" s="9">
        <f t="shared" ca="1" si="108"/>
        <v>0</v>
      </c>
      <c r="T627" s="8">
        <v>0.01</v>
      </c>
      <c r="U627" s="9">
        <f t="shared" ca="1" si="109"/>
        <v>0.28999999999999915</v>
      </c>
      <c r="V627" s="7">
        <f t="shared" ca="1" si="110"/>
        <v>0</v>
      </c>
      <c r="W627" s="7">
        <f t="shared" ca="1" si="111"/>
        <v>28.71</v>
      </c>
      <c r="X627" s="5" t="str">
        <f t="shared" ca="1" si="119"/>
        <v>Facebook</v>
      </c>
      <c r="Y627" s="78" t="str">
        <f>IF(COUNTIF($C$1:C626,B626)=1,10,"")</f>
        <v/>
      </c>
    </row>
    <row r="628" spans="1:25" x14ac:dyDescent="0.3">
      <c r="A628" s="75">
        <v>627</v>
      </c>
      <c r="B628" s="6">
        <v>46036</v>
      </c>
      <c r="C628" s="6">
        <v>46036</v>
      </c>
      <c r="D628" s="17" t="str">
        <f t="shared" si="112"/>
        <v>January</v>
      </c>
      <c r="E628" s="5" t="str">
        <f t="shared" ca="1" si="113"/>
        <v>STU-66</v>
      </c>
      <c r="F628" s="5" t="str">
        <f ca="1">IF(COUNTIF($E$2:E628,E628)=1,"New Customer","Returning Customer")</f>
        <v>Returning Customer</v>
      </c>
      <c r="G628" s="5" t="str">
        <f t="shared" ca="1" si="114"/>
        <v>Not specified</v>
      </c>
      <c r="H628" s="5" t="s">
        <v>140</v>
      </c>
      <c r="I628" s="5" t="str" cm="1">
        <f t="array" aca="1" ref="I628" ca="1">INDEX(Courses!$B$9:$B$16,RANDBETWEEN(1,8))</f>
        <v>Microsoft Word</v>
      </c>
      <c r="J628" s="5" t="str">
        <f ca="1">VLOOKUP(I628,Courses!$B$9:$C$16,2,0)</f>
        <v>Microsoft Office</v>
      </c>
      <c r="K628" s="7">
        <f ca="1">VLOOKUP(I628,Courses!$B$9:$D$16,3,0)</f>
        <v>29</v>
      </c>
      <c r="L628" s="5" t="str">
        <f t="shared" ca="1" si="115"/>
        <v>Pending</v>
      </c>
      <c r="M628" s="8" t="str" cm="1">
        <f t="array" aca="1" ref="M628" ca="1">INDEX('Payment Method'!$A$8:$A$12,RANDBETWEEN(1,5))</f>
        <v>Bank Transfer</v>
      </c>
      <c r="N628" s="7">
        <f>IFERROR(SUMIF(Holiday!$A$8:$A$11,B628,Holiday!$C$8:$C$11),0)</f>
        <v>0</v>
      </c>
      <c r="O628" s="7">
        <f t="shared" ca="1" si="116"/>
        <v>29</v>
      </c>
      <c r="P628" s="19">
        <f t="shared" ca="1" si="117"/>
        <v>29</v>
      </c>
      <c r="Q628" s="7">
        <f t="shared" ca="1" si="118"/>
        <v>28.71</v>
      </c>
      <c r="R628" s="8">
        <f ca="1">VLOOKUP(M628,'Payment Method'!$A$8:$B$12,2,0)</f>
        <v>0</v>
      </c>
      <c r="S628" s="9">
        <f t="shared" ca="1" si="108"/>
        <v>0</v>
      </c>
      <c r="T628" s="8">
        <v>0.01</v>
      </c>
      <c r="U628" s="9">
        <f t="shared" ca="1" si="109"/>
        <v>0.28999999999999915</v>
      </c>
      <c r="V628" s="7">
        <f t="shared" ca="1" si="110"/>
        <v>0</v>
      </c>
      <c r="W628" s="7">
        <f t="shared" ca="1" si="111"/>
        <v>0</v>
      </c>
      <c r="X628" s="5" t="str">
        <f t="shared" ca="1" si="119"/>
        <v>Tiktok</v>
      </c>
      <c r="Y628" s="78">
        <f>IF(COUNTIF($C$1:C627,B627)=1,10,"")</f>
        <v>10</v>
      </c>
    </row>
    <row r="629" spans="1:25" x14ac:dyDescent="0.3">
      <c r="A629" s="76">
        <v>628</v>
      </c>
      <c r="B629" s="6">
        <v>46126</v>
      </c>
      <c r="C629" s="6">
        <v>46127</v>
      </c>
      <c r="D629" s="17" t="str">
        <f t="shared" si="112"/>
        <v>April</v>
      </c>
      <c r="E629" s="5" t="str">
        <f t="shared" ca="1" si="113"/>
        <v>STU-633</v>
      </c>
      <c r="F629" s="5" t="str">
        <f ca="1">IF(COUNTIF($E$2:E629,E629)=1,"New Customer","Returning Customer")</f>
        <v>New Customer</v>
      </c>
      <c r="G629" s="5" t="str">
        <f t="shared" ca="1" si="114"/>
        <v>Female</v>
      </c>
      <c r="H629" s="5" t="s">
        <v>139</v>
      </c>
      <c r="I629" s="5" t="str" cm="1">
        <f t="array" aca="1" ref="I629" ca="1">INDEX(Courses!$B$9:$B$16,RANDBETWEEN(1,8))</f>
        <v>SQL</v>
      </c>
      <c r="J629" s="5" t="str">
        <f ca="1">VLOOKUP(I629,Courses!$B$9:$C$16,2,0)</f>
        <v>Data Analytics</v>
      </c>
      <c r="K629" s="7">
        <f ca="1">VLOOKUP(I629,Courses!$B$9:$D$16,3,0)</f>
        <v>99</v>
      </c>
      <c r="L629" s="5" t="str">
        <f t="shared" ca="1" si="115"/>
        <v>Pending</v>
      </c>
      <c r="M629" s="8" t="str" cm="1">
        <f t="array" aca="1" ref="M629" ca="1">INDEX('Payment Method'!$A$8:$A$12,RANDBETWEEN(1,5))</f>
        <v>Visa Credit</v>
      </c>
      <c r="N629" s="7">
        <f>IFERROR(SUMIF(Holiday!$A$8:$A$11,B629,Holiday!$C$8:$C$11),0)</f>
        <v>0</v>
      </c>
      <c r="O629" s="7">
        <f t="shared" ca="1" si="116"/>
        <v>99</v>
      </c>
      <c r="P629" s="19">
        <f t="shared" ca="1" si="117"/>
        <v>95.534999999999997</v>
      </c>
      <c r="Q629" s="7">
        <f t="shared" ca="1" si="118"/>
        <v>94.579650000000001</v>
      </c>
      <c r="R629" s="8">
        <f ca="1">VLOOKUP(M629,'Payment Method'!$A$8:$B$12,2,0)</f>
        <v>3.5000000000000003E-2</v>
      </c>
      <c r="S629" s="9">
        <f t="shared" ca="1" si="108"/>
        <v>3.4650000000000034</v>
      </c>
      <c r="T629" s="8">
        <v>0.01</v>
      </c>
      <c r="U629" s="9">
        <f t="shared" ca="1" si="109"/>
        <v>0.9553499999999957</v>
      </c>
      <c r="V629" s="7">
        <f t="shared" ca="1" si="110"/>
        <v>0</v>
      </c>
      <c r="W629" s="7">
        <f t="shared" ca="1" si="111"/>
        <v>0</v>
      </c>
      <c r="X629" s="5" t="str">
        <f t="shared" ca="1" si="119"/>
        <v>Instagram</v>
      </c>
      <c r="Y629" s="78" t="str">
        <f>IF(COUNTIF($C$1:C628,B628)=1,10,"")</f>
        <v/>
      </c>
    </row>
    <row r="630" spans="1:25" x14ac:dyDescent="0.3">
      <c r="A630" s="75">
        <v>629</v>
      </c>
      <c r="B630" s="6">
        <v>46160</v>
      </c>
      <c r="C630" s="6">
        <v>46162</v>
      </c>
      <c r="D630" s="17" t="str">
        <f t="shared" si="112"/>
        <v>May</v>
      </c>
      <c r="E630" s="5" t="str">
        <f t="shared" ca="1" si="113"/>
        <v>STU-771</v>
      </c>
      <c r="F630" s="5" t="str">
        <f ca="1">IF(COUNTIF($E$2:E630,E630)=1,"New Customer","Returning Customer")</f>
        <v>New Customer</v>
      </c>
      <c r="G630" s="5" t="str">
        <f t="shared" ca="1" si="114"/>
        <v>Male</v>
      </c>
      <c r="H630" s="5" t="s">
        <v>139</v>
      </c>
      <c r="I630" s="5" t="str" cm="1">
        <f t="array" aca="1" ref="I630" ca="1">INDEX(Courses!$B$9:$B$16,RANDBETWEEN(1,8))</f>
        <v>Tax Code</v>
      </c>
      <c r="J630" s="5" t="str">
        <f ca="1">VLOOKUP(I630,Courses!$B$9:$C$16,2,0)</f>
        <v>Finance &amp; Taxation</v>
      </c>
      <c r="K630" s="7">
        <f ca="1">VLOOKUP(I630,Courses!$B$9:$D$16,3,0)</f>
        <v>59</v>
      </c>
      <c r="L630" s="5" t="str">
        <f t="shared" ca="1" si="115"/>
        <v>Paid</v>
      </c>
      <c r="M630" s="8" t="str" cm="1">
        <f t="array" aca="1" ref="M630" ca="1">INDEX('Payment Method'!$A$8:$A$12,RANDBETWEEN(1,5))</f>
        <v>Visa Credit</v>
      </c>
      <c r="N630" s="7">
        <f>IFERROR(SUMIF(Holiday!$A$8:$A$11,B630,Holiday!$C$8:$C$11),0)</f>
        <v>0</v>
      </c>
      <c r="O630" s="7">
        <f t="shared" ca="1" si="116"/>
        <v>59</v>
      </c>
      <c r="P630" s="19">
        <f t="shared" ca="1" si="117"/>
        <v>56.935000000000002</v>
      </c>
      <c r="Q630" s="7">
        <f t="shared" ca="1" si="118"/>
        <v>0</v>
      </c>
      <c r="R630" s="8">
        <f ca="1">VLOOKUP(M630,'Payment Method'!$A$8:$B$12,2,0)</f>
        <v>3.5000000000000003E-2</v>
      </c>
      <c r="S630" s="9">
        <f t="shared" ca="1" si="108"/>
        <v>2.0649999999999977</v>
      </c>
      <c r="T630" s="8">
        <v>0.01</v>
      </c>
      <c r="U630" s="9">
        <f t="shared" ca="1" si="109"/>
        <v>0.56935000000000002</v>
      </c>
      <c r="V630" s="7">
        <f t="shared" ca="1" si="110"/>
        <v>0</v>
      </c>
      <c r="W630" s="7">
        <f t="shared" ca="1" si="111"/>
        <v>56.365650000000002</v>
      </c>
      <c r="X630" s="5" t="str">
        <f t="shared" ca="1" si="119"/>
        <v>Facebook</v>
      </c>
      <c r="Y630" s="78" t="str">
        <f>IF(COUNTIF($C$1:C629,B629)=1,10,"")</f>
        <v/>
      </c>
    </row>
    <row r="631" spans="1:25" x14ac:dyDescent="0.3">
      <c r="A631" s="76">
        <v>630</v>
      </c>
      <c r="B631" s="6">
        <v>46044</v>
      </c>
      <c r="C631" s="6">
        <v>46044</v>
      </c>
      <c r="D631" s="17" t="str">
        <f t="shared" si="112"/>
        <v>January</v>
      </c>
      <c r="E631" s="5" t="str">
        <f t="shared" ca="1" si="113"/>
        <v>STU-989</v>
      </c>
      <c r="F631" s="5" t="str">
        <f ca="1">IF(COUNTIF($E$2:E631,E631)=1,"New Customer","Returning Customer")</f>
        <v>Returning Customer</v>
      </c>
      <c r="G631" s="5" t="str">
        <f t="shared" ca="1" si="114"/>
        <v>Female</v>
      </c>
      <c r="H631" s="5" t="s">
        <v>136</v>
      </c>
      <c r="I631" s="5" t="str" cm="1">
        <f t="array" aca="1" ref="I631" ca="1">INDEX(Courses!$B$9:$B$16,RANDBETWEEN(1,8))</f>
        <v>Complete Excel Course</v>
      </c>
      <c r="J631" s="5" t="str">
        <f ca="1">VLOOKUP(I631,Courses!$B$9:$C$16,2,0)</f>
        <v>Microsoft Office</v>
      </c>
      <c r="K631" s="7">
        <f ca="1">VLOOKUP(I631,Courses!$B$9:$D$16,3,0)</f>
        <v>59</v>
      </c>
      <c r="L631" s="5" t="str">
        <f t="shared" ca="1" si="115"/>
        <v>Paid</v>
      </c>
      <c r="M631" s="8" t="str" cm="1">
        <f t="array" aca="1" ref="M631" ca="1">INDEX('Payment Method'!$A$8:$A$12,RANDBETWEEN(1,5))</f>
        <v>Visa Debit</v>
      </c>
      <c r="N631" s="7">
        <f>IFERROR(SUMIF(Holiday!$A$8:$A$11,B631,Holiday!$C$8:$C$11),0)</f>
        <v>0</v>
      </c>
      <c r="O631" s="7">
        <f t="shared" ca="1" si="116"/>
        <v>59</v>
      </c>
      <c r="P631" s="19">
        <f t="shared" ca="1" si="117"/>
        <v>57.82</v>
      </c>
      <c r="Q631" s="7">
        <f t="shared" ca="1" si="118"/>
        <v>0</v>
      </c>
      <c r="R631" s="8">
        <f ca="1">VLOOKUP(M631,'Payment Method'!$A$8:$B$12,2,0)</f>
        <v>0.02</v>
      </c>
      <c r="S631" s="9">
        <f t="shared" ca="1" si="108"/>
        <v>1.1799999999999997</v>
      </c>
      <c r="T631" s="8">
        <v>0.01</v>
      </c>
      <c r="U631" s="9">
        <f t="shared" ca="1" si="109"/>
        <v>0.57820000000000249</v>
      </c>
      <c r="V631" s="7">
        <f t="shared" ca="1" si="110"/>
        <v>0</v>
      </c>
      <c r="W631" s="7">
        <f t="shared" ca="1" si="111"/>
        <v>57.241799999999998</v>
      </c>
      <c r="X631" s="5" t="str">
        <f t="shared" ca="1" si="119"/>
        <v>Tiktok</v>
      </c>
      <c r="Y631" s="78">
        <f>IF(COUNTIF($C$1:C630,B630)=1,10,"")</f>
        <v>10</v>
      </c>
    </row>
    <row r="632" spans="1:25" x14ac:dyDescent="0.3">
      <c r="A632" s="75">
        <v>631</v>
      </c>
      <c r="B632" s="6">
        <v>46031</v>
      </c>
      <c r="C632" s="6">
        <v>46036</v>
      </c>
      <c r="D632" s="17" t="str">
        <f t="shared" si="112"/>
        <v>January</v>
      </c>
      <c r="E632" s="5" t="str">
        <f t="shared" ca="1" si="113"/>
        <v>STU-786</v>
      </c>
      <c r="F632" s="5" t="str">
        <f ca="1">IF(COUNTIF($E$2:E632,E632)=1,"New Customer","Returning Customer")</f>
        <v>Returning Customer</v>
      </c>
      <c r="G632" s="5" t="str">
        <f t="shared" ca="1" si="114"/>
        <v>Male</v>
      </c>
      <c r="H632" s="5" t="s">
        <v>137</v>
      </c>
      <c r="I632" s="5" t="str" cm="1">
        <f t="array" aca="1" ref="I632" ca="1">INDEX(Courses!$B$9:$B$16,RANDBETWEEN(1,8))</f>
        <v>SQL</v>
      </c>
      <c r="J632" s="5" t="str">
        <f ca="1">VLOOKUP(I632,Courses!$B$9:$C$16,2,0)</f>
        <v>Data Analytics</v>
      </c>
      <c r="K632" s="7">
        <f ca="1">VLOOKUP(I632,Courses!$B$9:$D$16,3,0)</f>
        <v>99</v>
      </c>
      <c r="L632" s="5" t="str">
        <f t="shared" ca="1" si="115"/>
        <v>Paid</v>
      </c>
      <c r="M632" s="8" t="str" cm="1">
        <f t="array" aca="1" ref="M632" ca="1">INDEX('Payment Method'!$A$8:$A$12,RANDBETWEEN(1,5))</f>
        <v>Bank Transfer</v>
      </c>
      <c r="N632" s="7">
        <f>IFERROR(SUMIF(Holiday!$A$8:$A$11,B632,Holiday!$C$8:$C$11),0)</f>
        <v>0</v>
      </c>
      <c r="O632" s="7">
        <f t="shared" ca="1" si="116"/>
        <v>99</v>
      </c>
      <c r="P632" s="19">
        <f t="shared" ca="1" si="117"/>
        <v>99</v>
      </c>
      <c r="Q632" s="7">
        <f t="shared" ca="1" si="118"/>
        <v>0</v>
      </c>
      <c r="R632" s="8">
        <f ca="1">VLOOKUP(M632,'Payment Method'!$A$8:$B$12,2,0)</f>
        <v>0</v>
      </c>
      <c r="S632" s="9">
        <f t="shared" ca="1" si="108"/>
        <v>0</v>
      </c>
      <c r="T632" s="8">
        <v>0.01</v>
      </c>
      <c r="U632" s="9">
        <f t="shared" ca="1" si="109"/>
        <v>0.98999999999999488</v>
      </c>
      <c r="V632" s="7">
        <f t="shared" ca="1" si="110"/>
        <v>0</v>
      </c>
      <c r="W632" s="7">
        <f t="shared" ca="1" si="111"/>
        <v>98.01</v>
      </c>
      <c r="X632" s="5" t="str">
        <f t="shared" ca="1" si="119"/>
        <v>Tiktok</v>
      </c>
      <c r="Y632" s="78" t="str">
        <f>IF(COUNTIF($C$1:C631,B631)=1,10,"")</f>
        <v/>
      </c>
    </row>
    <row r="633" spans="1:25" x14ac:dyDescent="0.3">
      <c r="A633" s="76">
        <v>632</v>
      </c>
      <c r="B633" s="6">
        <v>46208</v>
      </c>
      <c r="C633" s="6">
        <v>46208</v>
      </c>
      <c r="D633" s="17" t="str">
        <f t="shared" si="112"/>
        <v>July</v>
      </c>
      <c r="E633" s="5" t="str">
        <f t="shared" ca="1" si="113"/>
        <v>STU-793</v>
      </c>
      <c r="F633" s="5" t="str">
        <f ca="1">IF(COUNTIF($E$2:E633,E633)=1,"New Customer","Returning Customer")</f>
        <v>Returning Customer</v>
      </c>
      <c r="G633" s="5" t="str">
        <f t="shared" ca="1" si="114"/>
        <v>Male</v>
      </c>
      <c r="H633" s="5" t="s">
        <v>140</v>
      </c>
      <c r="I633" s="5" t="str" cm="1">
        <f t="array" aca="1" ref="I633" ca="1">INDEX(Courses!$B$9:$B$16,RANDBETWEEN(1,8))</f>
        <v>PowerPoint</v>
      </c>
      <c r="J633" s="5" t="str">
        <f ca="1">VLOOKUP(I633,Courses!$B$9:$C$16,2,0)</f>
        <v>Microsoft Office</v>
      </c>
      <c r="K633" s="7">
        <f ca="1">VLOOKUP(I633,Courses!$B$9:$D$16,3,0)</f>
        <v>29</v>
      </c>
      <c r="L633" s="5" t="str">
        <f t="shared" ca="1" si="115"/>
        <v>Paid</v>
      </c>
      <c r="M633" s="8" t="str" cm="1">
        <f t="array" aca="1" ref="M633" ca="1">INDEX('Payment Method'!$A$8:$A$12,RANDBETWEEN(1,5))</f>
        <v>Visa Credit</v>
      </c>
      <c r="N633" s="7">
        <f>IFERROR(SUMIF(Holiday!$A$8:$A$11,B633,Holiday!$C$8:$C$11),0)</f>
        <v>0</v>
      </c>
      <c r="O633" s="7">
        <f t="shared" ca="1" si="116"/>
        <v>29</v>
      </c>
      <c r="P633" s="19">
        <f t="shared" ca="1" si="117"/>
        <v>27.984999999999999</v>
      </c>
      <c r="Q633" s="7">
        <f t="shared" ca="1" si="118"/>
        <v>0</v>
      </c>
      <c r="R633" s="8">
        <f ca="1">VLOOKUP(M633,'Payment Method'!$A$8:$B$12,2,0)</f>
        <v>3.5000000000000003E-2</v>
      </c>
      <c r="S633" s="9">
        <f t="shared" ca="1" si="108"/>
        <v>1.0150000000000006</v>
      </c>
      <c r="T633" s="8">
        <v>0.01</v>
      </c>
      <c r="U633" s="9">
        <f t="shared" ca="1" si="109"/>
        <v>0.27984999999999971</v>
      </c>
      <c r="V633" s="7">
        <f t="shared" ca="1" si="110"/>
        <v>0</v>
      </c>
      <c r="W633" s="7">
        <f t="shared" ca="1" si="111"/>
        <v>27.70515</v>
      </c>
      <c r="X633" s="5" t="str">
        <f t="shared" ca="1" si="119"/>
        <v>Instagram</v>
      </c>
      <c r="Y633" s="78" t="str">
        <f>IF(COUNTIF($C$1:C632,B632)=1,10,"")</f>
        <v/>
      </c>
    </row>
    <row r="634" spans="1:25" x14ac:dyDescent="0.3">
      <c r="A634" s="75">
        <v>633</v>
      </c>
      <c r="B634" s="6">
        <v>46117</v>
      </c>
      <c r="C634" s="6">
        <v>46120</v>
      </c>
      <c r="D634" s="17" t="str">
        <f t="shared" si="112"/>
        <v>April</v>
      </c>
      <c r="E634" s="5" t="str">
        <f t="shared" ca="1" si="113"/>
        <v>STU-475</v>
      </c>
      <c r="F634" s="5" t="str">
        <f ca="1">IF(COUNTIF($E$2:E634,E634)=1,"New Customer","Returning Customer")</f>
        <v>New Customer</v>
      </c>
      <c r="G634" s="5" t="str">
        <f t="shared" ca="1" si="114"/>
        <v>Not specified</v>
      </c>
      <c r="H634" s="5" t="s">
        <v>138</v>
      </c>
      <c r="I634" s="5" t="str" cm="1">
        <f t="array" aca="1" ref="I634" ca="1">INDEX(Courses!$B$9:$B$16,RANDBETWEEN(1,8))</f>
        <v>SQL</v>
      </c>
      <c r="J634" s="5" t="str">
        <f ca="1">VLOOKUP(I634,Courses!$B$9:$C$16,2,0)</f>
        <v>Data Analytics</v>
      </c>
      <c r="K634" s="7">
        <f ca="1">VLOOKUP(I634,Courses!$B$9:$D$16,3,0)</f>
        <v>99</v>
      </c>
      <c r="L634" s="5" t="str">
        <f t="shared" ca="1" si="115"/>
        <v>Paid</v>
      </c>
      <c r="M634" s="8" t="str" cm="1">
        <f t="array" aca="1" ref="M634" ca="1">INDEX('Payment Method'!$A$8:$A$12,RANDBETWEEN(1,5))</f>
        <v>Visa Debit</v>
      </c>
      <c r="N634" s="7">
        <f>IFERROR(SUMIF(Holiday!$A$8:$A$11,B634,Holiday!$C$8:$C$11),0)</f>
        <v>0</v>
      </c>
      <c r="O634" s="7">
        <f t="shared" ca="1" si="116"/>
        <v>99</v>
      </c>
      <c r="P634" s="19">
        <f t="shared" ca="1" si="117"/>
        <v>97.02</v>
      </c>
      <c r="Q634" s="7">
        <f t="shared" ca="1" si="118"/>
        <v>0</v>
      </c>
      <c r="R634" s="8">
        <f ca="1">VLOOKUP(M634,'Payment Method'!$A$8:$B$12,2,0)</f>
        <v>0.02</v>
      </c>
      <c r="S634" s="9">
        <f t="shared" ca="1" si="108"/>
        <v>1.980000000000004</v>
      </c>
      <c r="T634" s="8">
        <v>0.01</v>
      </c>
      <c r="U634" s="9">
        <f t="shared" ca="1" si="109"/>
        <v>0.9702000000000055</v>
      </c>
      <c r="V634" s="7">
        <f t="shared" ca="1" si="110"/>
        <v>0</v>
      </c>
      <c r="W634" s="7">
        <f t="shared" ca="1" si="111"/>
        <v>96.049799999999991</v>
      </c>
      <c r="X634" s="5" t="str">
        <f t="shared" ca="1" si="119"/>
        <v>Instagram</v>
      </c>
      <c r="Y634" s="78" t="str">
        <f>IF(COUNTIF($C$1:C633,B633)=1,10,"")</f>
        <v/>
      </c>
    </row>
    <row r="635" spans="1:25" x14ac:dyDescent="0.3">
      <c r="A635" s="76">
        <v>634</v>
      </c>
      <c r="B635" s="6">
        <v>46146</v>
      </c>
      <c r="C635" s="6">
        <v>46147</v>
      </c>
      <c r="D635" s="17" t="str">
        <f t="shared" si="112"/>
        <v>May</v>
      </c>
      <c r="E635" s="5" t="str">
        <f t="shared" ca="1" si="113"/>
        <v>STU-165</v>
      </c>
      <c r="F635" s="5" t="str">
        <f ca="1">IF(COUNTIF($E$2:E635,E635)=1,"New Customer","Returning Customer")</f>
        <v>New Customer</v>
      </c>
      <c r="G635" s="5" t="str">
        <f t="shared" ca="1" si="114"/>
        <v>Female</v>
      </c>
      <c r="H635" s="5" t="s">
        <v>135</v>
      </c>
      <c r="I635" s="5" t="str" cm="1">
        <f t="array" aca="1" ref="I635" ca="1">INDEX(Courses!$B$9:$B$16,RANDBETWEEN(1,8))</f>
        <v>Power BI</v>
      </c>
      <c r="J635" s="5" t="str">
        <f ca="1">VLOOKUP(I635,Courses!$B$9:$C$16,2,0)</f>
        <v>Data Analytics</v>
      </c>
      <c r="K635" s="7">
        <f ca="1">VLOOKUP(I635,Courses!$B$9:$D$16,3,0)</f>
        <v>59</v>
      </c>
      <c r="L635" s="5" t="str">
        <f t="shared" ca="1" si="115"/>
        <v>Paid</v>
      </c>
      <c r="M635" s="8" t="str" cm="1">
        <f t="array" aca="1" ref="M635" ca="1">INDEX('Payment Method'!$A$8:$A$12,RANDBETWEEN(1,5))</f>
        <v>Mastercard Debit</v>
      </c>
      <c r="N635" s="7">
        <f>IFERROR(SUMIF(Holiday!$A$8:$A$11,B635,Holiday!$C$8:$C$11),0)</f>
        <v>0</v>
      </c>
      <c r="O635" s="7">
        <f t="shared" ca="1" si="116"/>
        <v>59</v>
      </c>
      <c r="P635" s="19">
        <f t="shared" ca="1" si="117"/>
        <v>57.82</v>
      </c>
      <c r="Q635" s="7">
        <f t="shared" ca="1" si="118"/>
        <v>0</v>
      </c>
      <c r="R635" s="8">
        <f ca="1">VLOOKUP(M635,'Payment Method'!$A$8:$B$12,2,0)</f>
        <v>0.02</v>
      </c>
      <c r="S635" s="9">
        <f t="shared" ca="1" si="108"/>
        <v>1.1799999999999997</v>
      </c>
      <c r="T635" s="8">
        <v>0.01</v>
      </c>
      <c r="U635" s="9">
        <f t="shared" ca="1" si="109"/>
        <v>0.57820000000000249</v>
      </c>
      <c r="V635" s="7">
        <f t="shared" ca="1" si="110"/>
        <v>0</v>
      </c>
      <c r="W635" s="7">
        <f t="shared" ca="1" si="111"/>
        <v>57.241799999999998</v>
      </c>
      <c r="X635" s="5" t="str">
        <f t="shared" ca="1" si="119"/>
        <v>Facebook</v>
      </c>
      <c r="Y635" s="78" t="str">
        <f>IF(COUNTIF($C$1:C634,B634)=1,10,"")</f>
        <v/>
      </c>
    </row>
    <row r="636" spans="1:25" x14ac:dyDescent="0.3">
      <c r="A636" s="75">
        <v>635</v>
      </c>
      <c r="B636" s="6">
        <v>46199</v>
      </c>
      <c r="C636" s="6">
        <v>46200</v>
      </c>
      <c r="D636" s="17" t="str">
        <f t="shared" si="112"/>
        <v>June</v>
      </c>
      <c r="E636" s="5" t="str">
        <f t="shared" ca="1" si="113"/>
        <v>STU-138</v>
      </c>
      <c r="F636" s="5" t="str">
        <f ca="1">IF(COUNTIF($E$2:E636,E636)=1,"New Customer","Returning Customer")</f>
        <v>Returning Customer</v>
      </c>
      <c r="G636" s="5" t="str">
        <f t="shared" ca="1" si="114"/>
        <v>Female</v>
      </c>
      <c r="H636" s="5" t="s">
        <v>135</v>
      </c>
      <c r="I636" s="5" t="str" cm="1">
        <f t="array" aca="1" ref="I636" ca="1">INDEX(Courses!$B$9:$B$16,RANDBETWEEN(1,8))</f>
        <v>Power BI</v>
      </c>
      <c r="J636" s="5" t="str">
        <f ca="1">VLOOKUP(I636,Courses!$B$9:$C$16,2,0)</f>
        <v>Data Analytics</v>
      </c>
      <c r="K636" s="7">
        <f ca="1">VLOOKUP(I636,Courses!$B$9:$D$16,3,0)</f>
        <v>59</v>
      </c>
      <c r="L636" s="5" t="str">
        <f t="shared" ca="1" si="115"/>
        <v>Refunded</v>
      </c>
      <c r="M636" s="8" t="str" cm="1">
        <f t="array" aca="1" ref="M636" ca="1">INDEX('Payment Method'!$A$8:$A$12,RANDBETWEEN(1,5))</f>
        <v>Visa Credit</v>
      </c>
      <c r="N636" s="7">
        <f>IFERROR(SUMIF(Holiday!$A$8:$A$11,B636,Holiday!$C$8:$C$11),0)</f>
        <v>0</v>
      </c>
      <c r="O636" s="7">
        <f t="shared" ca="1" si="116"/>
        <v>59</v>
      </c>
      <c r="P636" s="19">
        <f t="shared" ca="1" si="117"/>
        <v>56.935000000000002</v>
      </c>
      <c r="Q636" s="7">
        <f t="shared" ca="1" si="118"/>
        <v>0</v>
      </c>
      <c r="R636" s="8">
        <f ca="1">VLOOKUP(M636,'Payment Method'!$A$8:$B$12,2,0)</f>
        <v>3.5000000000000003E-2</v>
      </c>
      <c r="S636" s="9">
        <f t="shared" ca="1" si="108"/>
        <v>2.0649999999999977</v>
      </c>
      <c r="T636" s="8">
        <v>0.01</v>
      </c>
      <c r="U636" s="9">
        <f t="shared" ca="1" si="109"/>
        <v>0.56935000000000002</v>
      </c>
      <c r="V636" s="7">
        <f t="shared" ca="1" si="110"/>
        <v>56.365650000000002</v>
      </c>
      <c r="W636" s="7">
        <f t="shared" ca="1" si="111"/>
        <v>0</v>
      </c>
      <c r="X636" s="5" t="str">
        <f t="shared" ca="1" si="119"/>
        <v>Tiktok</v>
      </c>
      <c r="Y636" s="78" t="str">
        <f>IF(COUNTIF($C$1:C635,B635)=1,10,"")</f>
        <v/>
      </c>
    </row>
    <row r="637" spans="1:25" x14ac:dyDescent="0.3">
      <c r="A637" s="76">
        <v>636</v>
      </c>
      <c r="B637" s="6">
        <v>46054</v>
      </c>
      <c r="C637" s="6">
        <v>46058</v>
      </c>
      <c r="D637" s="17" t="str">
        <f t="shared" si="112"/>
        <v>February</v>
      </c>
      <c r="E637" s="5" t="str">
        <f t="shared" ca="1" si="113"/>
        <v>STU-603</v>
      </c>
      <c r="F637" s="5" t="str">
        <f ca="1">IF(COUNTIF($E$2:E637,E637)=1,"New Customer","Returning Customer")</f>
        <v>Returning Customer</v>
      </c>
      <c r="G637" s="5" t="str">
        <f t="shared" ca="1" si="114"/>
        <v>Male</v>
      </c>
      <c r="H637" s="5" t="s">
        <v>140</v>
      </c>
      <c r="I637" s="5" t="str" cm="1">
        <f t="array" aca="1" ref="I637" ca="1">INDEX(Courses!$B$9:$B$16,RANDBETWEEN(1,8))</f>
        <v>Power BI</v>
      </c>
      <c r="J637" s="5" t="str">
        <f ca="1">VLOOKUP(I637,Courses!$B$9:$C$16,2,0)</f>
        <v>Data Analytics</v>
      </c>
      <c r="K637" s="7">
        <f ca="1">VLOOKUP(I637,Courses!$B$9:$D$16,3,0)</f>
        <v>59</v>
      </c>
      <c r="L637" s="5" t="str">
        <f t="shared" ca="1" si="115"/>
        <v>Paid</v>
      </c>
      <c r="M637" s="8" t="str" cm="1">
        <f t="array" aca="1" ref="M637" ca="1">INDEX('Payment Method'!$A$8:$A$12,RANDBETWEEN(1,5))</f>
        <v>Visa Credit</v>
      </c>
      <c r="N637" s="7">
        <f>IFERROR(SUMIF(Holiday!$A$8:$A$11,B637,Holiday!$C$8:$C$11),0)</f>
        <v>0</v>
      </c>
      <c r="O637" s="7">
        <f t="shared" ca="1" si="116"/>
        <v>59</v>
      </c>
      <c r="P637" s="19">
        <f t="shared" ca="1" si="117"/>
        <v>56.935000000000002</v>
      </c>
      <c r="Q637" s="7">
        <f t="shared" ca="1" si="118"/>
        <v>0</v>
      </c>
      <c r="R637" s="8">
        <f ca="1">VLOOKUP(M637,'Payment Method'!$A$8:$B$12,2,0)</f>
        <v>3.5000000000000003E-2</v>
      </c>
      <c r="S637" s="9">
        <f t="shared" ca="1" si="108"/>
        <v>2.0649999999999977</v>
      </c>
      <c r="T637" s="8">
        <v>0.01</v>
      </c>
      <c r="U637" s="9">
        <f t="shared" ca="1" si="109"/>
        <v>0.56935000000000002</v>
      </c>
      <c r="V637" s="7">
        <f t="shared" ca="1" si="110"/>
        <v>0</v>
      </c>
      <c r="W637" s="7">
        <f t="shared" ca="1" si="111"/>
        <v>56.365650000000002</v>
      </c>
      <c r="X637" s="5" t="str">
        <f t="shared" ca="1" si="119"/>
        <v>Facebook</v>
      </c>
      <c r="Y637" s="78" t="str">
        <f>IF(COUNTIF($C$1:C636,B636)=1,10,"")</f>
        <v/>
      </c>
    </row>
    <row r="638" spans="1:25" x14ac:dyDescent="0.3">
      <c r="A638" s="75">
        <v>637</v>
      </c>
      <c r="B638" s="6">
        <v>46039</v>
      </c>
      <c r="C638" s="6">
        <v>46040</v>
      </c>
      <c r="D638" s="17" t="str">
        <f t="shared" si="112"/>
        <v>January</v>
      </c>
      <c r="E638" s="5" t="str">
        <f t="shared" ca="1" si="113"/>
        <v>STU-950</v>
      </c>
      <c r="F638" s="5" t="str">
        <f ca="1">IF(COUNTIF($E$2:E638,E638)=1,"New Customer","Returning Customer")</f>
        <v>Returning Customer</v>
      </c>
      <c r="G638" s="5" t="str">
        <f t="shared" ca="1" si="114"/>
        <v>Not specified</v>
      </c>
      <c r="H638" s="5" t="s">
        <v>135</v>
      </c>
      <c r="I638" s="5" t="str" cm="1">
        <f t="array" aca="1" ref="I638" ca="1">INDEX(Courses!$B$9:$B$16,RANDBETWEEN(1,8))</f>
        <v>Tax Code</v>
      </c>
      <c r="J638" s="5" t="str">
        <f ca="1">VLOOKUP(I638,Courses!$B$9:$C$16,2,0)</f>
        <v>Finance &amp; Taxation</v>
      </c>
      <c r="K638" s="7">
        <f ca="1">VLOOKUP(I638,Courses!$B$9:$D$16,3,0)</f>
        <v>59</v>
      </c>
      <c r="L638" s="5" t="str">
        <f t="shared" ca="1" si="115"/>
        <v>Refunded</v>
      </c>
      <c r="M638" s="8" t="str" cm="1">
        <f t="array" aca="1" ref="M638" ca="1">INDEX('Payment Method'!$A$8:$A$12,RANDBETWEEN(1,5))</f>
        <v>Bank Transfer</v>
      </c>
      <c r="N638" s="7">
        <f>IFERROR(SUMIF(Holiday!$A$8:$A$11,B638,Holiday!$C$8:$C$11),0)</f>
        <v>0</v>
      </c>
      <c r="O638" s="7">
        <f t="shared" ca="1" si="116"/>
        <v>59</v>
      </c>
      <c r="P638" s="19">
        <f t="shared" ca="1" si="117"/>
        <v>59</v>
      </c>
      <c r="Q638" s="7">
        <f t="shared" ca="1" si="118"/>
        <v>0</v>
      </c>
      <c r="R638" s="8">
        <f ca="1">VLOOKUP(M638,'Payment Method'!$A$8:$B$12,2,0)</f>
        <v>0</v>
      </c>
      <c r="S638" s="9">
        <f t="shared" ca="1" si="108"/>
        <v>0</v>
      </c>
      <c r="T638" s="8">
        <v>0.01</v>
      </c>
      <c r="U638" s="9">
        <f t="shared" ca="1" si="109"/>
        <v>0.59000000000000341</v>
      </c>
      <c r="V638" s="7">
        <f t="shared" ca="1" si="110"/>
        <v>58.41</v>
      </c>
      <c r="W638" s="7">
        <f t="shared" ca="1" si="111"/>
        <v>0</v>
      </c>
      <c r="X638" s="5" t="str">
        <f t="shared" ca="1" si="119"/>
        <v>Facebook</v>
      </c>
      <c r="Y638" s="78" t="str">
        <f>IF(COUNTIF($C$1:C637,B637)=1,10,"")</f>
        <v/>
      </c>
    </row>
    <row r="639" spans="1:25" x14ac:dyDescent="0.3">
      <c r="A639" s="76">
        <v>638</v>
      </c>
      <c r="B639" s="6">
        <v>46207</v>
      </c>
      <c r="C639" s="6">
        <v>46209</v>
      </c>
      <c r="D639" s="17" t="str">
        <f t="shared" si="112"/>
        <v>July</v>
      </c>
      <c r="E639" s="5" t="str">
        <f t="shared" ca="1" si="113"/>
        <v>STU-97</v>
      </c>
      <c r="F639" s="5" t="str">
        <f ca="1">IF(COUNTIF($E$2:E639,E639)=1,"New Customer","Returning Customer")</f>
        <v>Returning Customer</v>
      </c>
      <c r="G639" s="5" t="str">
        <f t="shared" ca="1" si="114"/>
        <v>Not specified</v>
      </c>
      <c r="H639" s="5" t="s">
        <v>139</v>
      </c>
      <c r="I639" s="5" t="str" cm="1">
        <f t="array" aca="1" ref="I639" ca="1">INDEX(Courses!$B$9:$B$16,RANDBETWEEN(1,8))</f>
        <v>Tax Code</v>
      </c>
      <c r="J639" s="5" t="str">
        <f ca="1">VLOOKUP(I639,Courses!$B$9:$C$16,2,0)</f>
        <v>Finance &amp; Taxation</v>
      </c>
      <c r="K639" s="7">
        <f ca="1">VLOOKUP(I639,Courses!$B$9:$D$16,3,0)</f>
        <v>59</v>
      </c>
      <c r="L639" s="5" t="str">
        <f t="shared" ca="1" si="115"/>
        <v>Pending</v>
      </c>
      <c r="M639" s="8" t="str" cm="1">
        <f t="array" aca="1" ref="M639" ca="1">INDEX('Payment Method'!$A$8:$A$12,RANDBETWEEN(1,5))</f>
        <v>Bank Transfer</v>
      </c>
      <c r="N639" s="7">
        <f>IFERROR(SUMIF(Holiday!$A$8:$A$11,B639,Holiday!$C$8:$C$11),0)</f>
        <v>0</v>
      </c>
      <c r="O639" s="7">
        <f t="shared" ca="1" si="116"/>
        <v>59</v>
      </c>
      <c r="P639" s="19">
        <f t="shared" ca="1" si="117"/>
        <v>59</v>
      </c>
      <c r="Q639" s="7">
        <f t="shared" ca="1" si="118"/>
        <v>58.41</v>
      </c>
      <c r="R639" s="8">
        <f ca="1">VLOOKUP(M639,'Payment Method'!$A$8:$B$12,2,0)</f>
        <v>0</v>
      </c>
      <c r="S639" s="9">
        <f t="shared" ca="1" si="108"/>
        <v>0</v>
      </c>
      <c r="T639" s="8">
        <v>0.01</v>
      </c>
      <c r="U639" s="9">
        <f t="shared" ca="1" si="109"/>
        <v>0.59000000000000341</v>
      </c>
      <c r="V639" s="7">
        <f t="shared" ca="1" si="110"/>
        <v>0</v>
      </c>
      <c r="W639" s="7">
        <f t="shared" ca="1" si="111"/>
        <v>0</v>
      </c>
      <c r="X639" s="5" t="str">
        <f t="shared" ca="1" si="119"/>
        <v>Tiktok</v>
      </c>
      <c r="Y639" s="78" t="str">
        <f>IF(COUNTIF($C$1:C638,B638)=1,10,"")</f>
        <v/>
      </c>
    </row>
    <row r="640" spans="1:25" x14ac:dyDescent="0.3">
      <c r="A640" s="75">
        <v>639</v>
      </c>
      <c r="B640" s="6">
        <v>46117</v>
      </c>
      <c r="C640" s="6">
        <v>46119</v>
      </c>
      <c r="D640" s="17" t="str">
        <f t="shared" si="112"/>
        <v>April</v>
      </c>
      <c r="E640" s="5" t="str">
        <f t="shared" ca="1" si="113"/>
        <v>STU-939</v>
      </c>
      <c r="F640" s="5" t="str">
        <f ca="1">IF(COUNTIF($E$2:E640,E640)=1,"New Customer","Returning Customer")</f>
        <v>New Customer</v>
      </c>
      <c r="G640" s="5" t="str">
        <f t="shared" ca="1" si="114"/>
        <v>Male</v>
      </c>
      <c r="H640" s="5" t="s">
        <v>136</v>
      </c>
      <c r="I640" s="5" t="str" cm="1">
        <f t="array" aca="1" ref="I640" ca="1">INDEX(Courses!$B$9:$B$16,RANDBETWEEN(1,8))</f>
        <v>SQL</v>
      </c>
      <c r="J640" s="5" t="str">
        <f ca="1">VLOOKUP(I640,Courses!$B$9:$C$16,2,0)</f>
        <v>Data Analytics</v>
      </c>
      <c r="K640" s="7">
        <f ca="1">VLOOKUP(I640,Courses!$B$9:$D$16,3,0)</f>
        <v>99</v>
      </c>
      <c r="L640" s="5" t="str">
        <f t="shared" ca="1" si="115"/>
        <v>Paid</v>
      </c>
      <c r="M640" s="8" t="str" cm="1">
        <f t="array" aca="1" ref="M640" ca="1">INDEX('Payment Method'!$A$8:$A$12,RANDBETWEEN(1,5))</f>
        <v>Bank Transfer</v>
      </c>
      <c r="N640" s="7">
        <f>IFERROR(SUMIF(Holiday!$A$8:$A$11,B640,Holiday!$C$8:$C$11),0)</f>
        <v>0</v>
      </c>
      <c r="O640" s="7">
        <f t="shared" ca="1" si="116"/>
        <v>99</v>
      </c>
      <c r="P640" s="19">
        <f t="shared" ca="1" si="117"/>
        <v>99</v>
      </c>
      <c r="Q640" s="7">
        <f t="shared" ca="1" si="118"/>
        <v>0</v>
      </c>
      <c r="R640" s="8">
        <f ca="1">VLOOKUP(M640,'Payment Method'!$A$8:$B$12,2,0)</f>
        <v>0</v>
      </c>
      <c r="S640" s="9">
        <f t="shared" ca="1" si="108"/>
        <v>0</v>
      </c>
      <c r="T640" s="8">
        <v>0.01</v>
      </c>
      <c r="U640" s="9">
        <f t="shared" ca="1" si="109"/>
        <v>0.98999999999999488</v>
      </c>
      <c r="V640" s="7">
        <f t="shared" ca="1" si="110"/>
        <v>0</v>
      </c>
      <c r="W640" s="7">
        <f t="shared" ca="1" si="111"/>
        <v>98.01</v>
      </c>
      <c r="X640" s="5" t="str">
        <f t="shared" ca="1" si="119"/>
        <v>Tiktok</v>
      </c>
      <c r="Y640" s="78" t="str">
        <f>IF(COUNTIF($C$1:C639,B639)=1,10,"")</f>
        <v/>
      </c>
    </row>
    <row r="641" spans="1:25" x14ac:dyDescent="0.3">
      <c r="A641" s="76">
        <v>640</v>
      </c>
      <c r="B641" s="6">
        <v>46053</v>
      </c>
      <c r="C641" s="6">
        <v>46053</v>
      </c>
      <c r="D641" s="17" t="str">
        <f t="shared" si="112"/>
        <v>January</v>
      </c>
      <c r="E641" s="5" t="str">
        <f t="shared" ca="1" si="113"/>
        <v>STU-78</v>
      </c>
      <c r="F641" s="5" t="str">
        <f ca="1">IF(COUNTIF($E$2:E641,E641)=1,"New Customer","Returning Customer")</f>
        <v>New Customer</v>
      </c>
      <c r="G641" s="5" t="str">
        <f t="shared" ca="1" si="114"/>
        <v>Male</v>
      </c>
      <c r="H641" s="5" t="s">
        <v>142</v>
      </c>
      <c r="I641" s="5" t="str" cm="1">
        <f t="array" aca="1" ref="I641" ca="1">INDEX(Courses!$B$9:$B$16,RANDBETWEEN(1,8))</f>
        <v>Tax Code</v>
      </c>
      <c r="J641" s="5" t="str">
        <f ca="1">VLOOKUP(I641,Courses!$B$9:$C$16,2,0)</f>
        <v>Finance &amp; Taxation</v>
      </c>
      <c r="K641" s="7">
        <f ca="1">VLOOKUP(I641,Courses!$B$9:$D$16,3,0)</f>
        <v>59</v>
      </c>
      <c r="L641" s="5" t="str">
        <f t="shared" ca="1" si="115"/>
        <v>Paid</v>
      </c>
      <c r="M641" s="8" t="str" cm="1">
        <f t="array" aca="1" ref="M641" ca="1">INDEX('Payment Method'!$A$8:$A$12,RANDBETWEEN(1,5))</f>
        <v>Mastercard Debit</v>
      </c>
      <c r="N641" s="7">
        <f>IFERROR(SUMIF(Holiday!$A$8:$A$11,B641,Holiday!$C$8:$C$11),0)</f>
        <v>0</v>
      </c>
      <c r="O641" s="7">
        <f t="shared" ca="1" si="116"/>
        <v>59</v>
      </c>
      <c r="P641" s="19">
        <f t="shared" ca="1" si="117"/>
        <v>57.82</v>
      </c>
      <c r="Q641" s="7">
        <f t="shared" ca="1" si="118"/>
        <v>0</v>
      </c>
      <c r="R641" s="8">
        <f ca="1">VLOOKUP(M641,'Payment Method'!$A$8:$B$12,2,0)</f>
        <v>0.02</v>
      </c>
      <c r="S641" s="9">
        <f t="shared" ca="1" si="108"/>
        <v>1.1799999999999997</v>
      </c>
      <c r="T641" s="8">
        <v>0.01</v>
      </c>
      <c r="U641" s="9">
        <f t="shared" ca="1" si="109"/>
        <v>0.57820000000000249</v>
      </c>
      <c r="V641" s="7">
        <f t="shared" ca="1" si="110"/>
        <v>0</v>
      </c>
      <c r="W641" s="7">
        <f t="shared" ca="1" si="111"/>
        <v>57.241799999999998</v>
      </c>
      <c r="X641" s="5" t="str">
        <f t="shared" ca="1" si="119"/>
        <v>Facebook</v>
      </c>
      <c r="Y641" s="78" t="str">
        <f>IF(COUNTIF($C$1:C640,B640)=1,10,"")</f>
        <v/>
      </c>
    </row>
    <row r="642" spans="1:25" x14ac:dyDescent="0.3">
      <c r="A642" s="75">
        <v>641</v>
      </c>
      <c r="B642" s="6">
        <v>46068</v>
      </c>
      <c r="C642" s="6">
        <v>46069</v>
      </c>
      <c r="D642" s="17" t="str">
        <f t="shared" si="112"/>
        <v>February</v>
      </c>
      <c r="E642" s="5" t="str">
        <f t="shared" ca="1" si="113"/>
        <v>STU-242</v>
      </c>
      <c r="F642" s="5" t="str">
        <f ca="1">IF(COUNTIF($E$2:E642,E642)=1,"New Customer","Returning Customer")</f>
        <v>Returning Customer</v>
      </c>
      <c r="G642" s="5" t="str">
        <f t="shared" ca="1" si="114"/>
        <v>Female</v>
      </c>
      <c r="H642" s="5" t="s">
        <v>138</v>
      </c>
      <c r="I642" s="5" t="str" cm="1">
        <f t="array" aca="1" ref="I642" ca="1">INDEX(Courses!$B$9:$B$16,RANDBETWEEN(1,8))</f>
        <v>Tax Code</v>
      </c>
      <c r="J642" s="5" t="str">
        <f ca="1">VLOOKUP(I642,Courses!$B$9:$C$16,2,0)</f>
        <v>Finance &amp; Taxation</v>
      </c>
      <c r="K642" s="7">
        <f ca="1">VLOOKUP(I642,Courses!$B$9:$D$16,3,0)</f>
        <v>59</v>
      </c>
      <c r="L642" s="5" t="str">
        <f t="shared" ca="1" si="115"/>
        <v>Paid</v>
      </c>
      <c r="M642" s="8" t="str" cm="1">
        <f t="array" aca="1" ref="M642" ca="1">INDEX('Payment Method'!$A$8:$A$12,RANDBETWEEN(1,5))</f>
        <v>Visa Credit</v>
      </c>
      <c r="N642" s="7">
        <f>IFERROR(SUMIF(Holiday!$A$8:$A$11,B642,Holiday!$C$8:$C$11),0)</f>
        <v>0</v>
      </c>
      <c r="O642" s="7">
        <f t="shared" ca="1" si="116"/>
        <v>59</v>
      </c>
      <c r="P642" s="19">
        <f t="shared" ca="1" si="117"/>
        <v>56.935000000000002</v>
      </c>
      <c r="Q642" s="7">
        <f t="shared" ca="1" si="118"/>
        <v>0</v>
      </c>
      <c r="R642" s="8">
        <f ca="1">VLOOKUP(M642,'Payment Method'!$A$8:$B$12,2,0)</f>
        <v>3.5000000000000003E-2</v>
      </c>
      <c r="S642" s="9">
        <f t="shared" ref="S642:S705" ca="1" si="120">O642-(O642-O642*R642)</f>
        <v>2.0649999999999977</v>
      </c>
      <c r="T642" s="8">
        <v>0.01</v>
      </c>
      <c r="U642" s="9">
        <f t="shared" ref="U642:U705" ca="1" si="121">O642-S642-((O642-S642)-(O642-S642)*T642)</f>
        <v>0.56935000000000002</v>
      </c>
      <c r="V642" s="7">
        <f t="shared" ref="V642:V705" ca="1" si="122">IF(L642="refunded",(K642-K642*N642)-(K642-K642*N642)*R642-((K642-K642*N642)-(K642-K642*N642)*R642)*T642,0)</f>
        <v>0</v>
      </c>
      <c r="W642" s="7">
        <f t="shared" ref="W642:W705" ca="1" si="123">IF(L642="paid",(K642-K642*N642)-(K642-K642*N642)*R642-((K642-K642*N642)-(K642-K642*N642)*R642)*T642,0)</f>
        <v>56.365650000000002</v>
      </c>
      <c r="X642" s="5" t="str">
        <f t="shared" ca="1" si="119"/>
        <v>Tiktok</v>
      </c>
      <c r="Y642" s="78">
        <f>IF(COUNTIF($C$1:C641,B641)=1,10,"")</f>
        <v>10</v>
      </c>
    </row>
    <row r="643" spans="1:25" x14ac:dyDescent="0.3">
      <c r="A643" s="76">
        <v>642</v>
      </c>
      <c r="B643" s="6">
        <v>46075</v>
      </c>
      <c r="C643" s="6">
        <v>46078</v>
      </c>
      <c r="D643" s="17" t="str">
        <f t="shared" ref="D643:D706" si="124">TEXT(C643,"mmmm")</f>
        <v>February</v>
      </c>
      <c r="E643" s="5" t="str">
        <f t="shared" ref="E643:E706" ca="1" si="125">"STU-"&amp;RANDBETWEEN(1,1000)</f>
        <v>STU-400</v>
      </c>
      <c r="F643" s="5" t="str">
        <f ca="1">IF(COUNTIF($E$2:E643,E643)=1,"New Customer","Returning Customer")</f>
        <v>New Customer</v>
      </c>
      <c r="G643" s="5" t="str">
        <f t="shared" ref="G643:G706" ca="1" si="126">CHOOSE(RANDBETWEEN(1,3),"Male","Female","Not specified")</f>
        <v>Not specified</v>
      </c>
      <c r="H643" s="5" t="s">
        <v>140</v>
      </c>
      <c r="I643" s="5" t="str" cm="1">
        <f t="array" aca="1" ref="I643" ca="1">INDEX(Courses!$B$9:$B$16,RANDBETWEEN(1,8))</f>
        <v>Power BI</v>
      </c>
      <c r="J643" s="5" t="str">
        <f ca="1">VLOOKUP(I643,Courses!$B$9:$C$16,2,0)</f>
        <v>Data Analytics</v>
      </c>
      <c r="K643" s="7">
        <f ca="1">VLOOKUP(I643,Courses!$B$9:$D$16,3,0)</f>
        <v>59</v>
      </c>
      <c r="L643" s="5" t="str">
        <f t="shared" ref="L643:L706" ca="1" si="127">IF(RAND()&lt;0.6,"Paid",IF(RAND()&lt;0.75,"Pending","Refunded"))</f>
        <v>Paid</v>
      </c>
      <c r="M643" s="8" t="str" cm="1">
        <f t="array" aca="1" ref="M643" ca="1">INDEX('Payment Method'!$A$8:$A$12,RANDBETWEEN(1,5))</f>
        <v>Visa Debit</v>
      </c>
      <c r="N643" s="7">
        <f>IFERROR(SUMIF(Holiday!$A$8:$A$11,B643,Holiday!$C$8:$C$11),0)</f>
        <v>0</v>
      </c>
      <c r="O643" s="7">
        <f t="shared" ref="O643:O706" ca="1" si="128">K643-K643*N643</f>
        <v>59</v>
      </c>
      <c r="P643" s="19">
        <f t="shared" ref="P643:P706" ca="1" si="129">O643-S643</f>
        <v>57.82</v>
      </c>
      <c r="Q643" s="7">
        <f t="shared" ref="Q643:Q706" ca="1" si="130">IF(L643="pending",(K643-K643*N643)-(K643-K643*N643)*R643-((K643-K643*N643)-(K643-K643*N643)*R643)*T643,0)</f>
        <v>0</v>
      </c>
      <c r="R643" s="8">
        <f ca="1">VLOOKUP(M643,'Payment Method'!$A$8:$B$12,2,0)</f>
        <v>0.02</v>
      </c>
      <c r="S643" s="9">
        <f t="shared" ca="1" si="120"/>
        <v>1.1799999999999997</v>
      </c>
      <c r="T643" s="8">
        <v>0.01</v>
      </c>
      <c r="U643" s="9">
        <f t="shared" ca="1" si="121"/>
        <v>0.57820000000000249</v>
      </c>
      <c r="V643" s="7">
        <f t="shared" ca="1" si="122"/>
        <v>0</v>
      </c>
      <c r="W643" s="7">
        <f t="shared" ca="1" si="123"/>
        <v>57.241799999999998</v>
      </c>
      <c r="X643" s="5" t="str">
        <f t="shared" ref="X643:X706" ca="1" si="131">CHOOSE(RANDBETWEEN(1,3),"Facebook","Instagram","Tiktok")</f>
        <v>Facebook</v>
      </c>
      <c r="Y643" s="78" t="str">
        <f>IF(COUNTIF($C$1:C642,B642)=1,10,"")</f>
        <v/>
      </c>
    </row>
    <row r="644" spans="1:25" x14ac:dyDescent="0.3">
      <c r="A644" s="75">
        <v>643</v>
      </c>
      <c r="B644" s="6">
        <v>46203</v>
      </c>
      <c r="C644" s="6">
        <v>46207</v>
      </c>
      <c r="D644" s="17" t="str">
        <f t="shared" si="124"/>
        <v>July</v>
      </c>
      <c r="E644" s="5" t="str">
        <f t="shared" ca="1" si="125"/>
        <v>STU-20</v>
      </c>
      <c r="F644" s="5" t="str">
        <f ca="1">IF(COUNTIF($E$2:E644,E644)=1,"New Customer","Returning Customer")</f>
        <v>New Customer</v>
      </c>
      <c r="G644" s="5" t="str">
        <f t="shared" ca="1" si="126"/>
        <v>Female</v>
      </c>
      <c r="H644" s="5" t="s">
        <v>142</v>
      </c>
      <c r="I644" s="5" t="str" cm="1">
        <f t="array" aca="1" ref="I644" ca="1">INDEX(Courses!$B$9:$B$16,RANDBETWEEN(1,8))</f>
        <v>Adolescent Psychology</v>
      </c>
      <c r="J644" s="5" t="str">
        <f ca="1">VLOOKUP(I644,Courses!$B$9:$C$16,2,0)</f>
        <v>Psychology</v>
      </c>
      <c r="K644" s="7">
        <f ca="1">VLOOKUP(I644,Courses!$B$9:$D$16,3,0)</f>
        <v>29</v>
      </c>
      <c r="L644" s="5" t="str">
        <f t="shared" ca="1" si="127"/>
        <v>Paid</v>
      </c>
      <c r="M644" s="8" t="str" cm="1">
        <f t="array" aca="1" ref="M644" ca="1">INDEX('Payment Method'!$A$8:$A$12,RANDBETWEEN(1,5))</f>
        <v>Bank Transfer</v>
      </c>
      <c r="N644" s="7">
        <f>IFERROR(SUMIF(Holiday!$A$8:$A$11,B644,Holiday!$C$8:$C$11),0)</f>
        <v>0</v>
      </c>
      <c r="O644" s="7">
        <f t="shared" ca="1" si="128"/>
        <v>29</v>
      </c>
      <c r="P644" s="19">
        <f t="shared" ca="1" si="129"/>
        <v>29</v>
      </c>
      <c r="Q644" s="7">
        <f t="shared" ca="1" si="130"/>
        <v>0</v>
      </c>
      <c r="R644" s="8">
        <f ca="1">VLOOKUP(M644,'Payment Method'!$A$8:$B$12,2,0)</f>
        <v>0</v>
      </c>
      <c r="S644" s="9">
        <f t="shared" ca="1" si="120"/>
        <v>0</v>
      </c>
      <c r="T644" s="8">
        <v>0.01</v>
      </c>
      <c r="U644" s="9">
        <f t="shared" ca="1" si="121"/>
        <v>0.28999999999999915</v>
      </c>
      <c r="V644" s="7">
        <f t="shared" ca="1" si="122"/>
        <v>0</v>
      </c>
      <c r="W644" s="7">
        <f t="shared" ca="1" si="123"/>
        <v>28.71</v>
      </c>
      <c r="X644" s="5" t="str">
        <f t="shared" ca="1" si="131"/>
        <v>Tiktok</v>
      </c>
      <c r="Y644" s="78" t="str">
        <f>IF(COUNTIF($C$1:C643,B643)=1,10,"")</f>
        <v/>
      </c>
    </row>
    <row r="645" spans="1:25" x14ac:dyDescent="0.3">
      <c r="A645" s="76">
        <v>644</v>
      </c>
      <c r="B645" s="6">
        <v>46082</v>
      </c>
      <c r="C645" s="6">
        <v>46083</v>
      </c>
      <c r="D645" s="17" t="str">
        <f t="shared" si="124"/>
        <v>March</v>
      </c>
      <c r="E645" s="5" t="str">
        <f t="shared" ca="1" si="125"/>
        <v>STU-115</v>
      </c>
      <c r="F645" s="5" t="str">
        <f ca="1">IF(COUNTIF($E$2:E645,E645)=1,"New Customer","Returning Customer")</f>
        <v>Returning Customer</v>
      </c>
      <c r="G645" s="5" t="str">
        <f t="shared" ca="1" si="126"/>
        <v>Female</v>
      </c>
      <c r="H645" s="5" t="s">
        <v>139</v>
      </c>
      <c r="I645" s="5" t="str" cm="1">
        <f t="array" aca="1" ref="I645" ca="1">INDEX(Courses!$B$9:$B$16,RANDBETWEEN(1,8))</f>
        <v>Power BI</v>
      </c>
      <c r="J645" s="5" t="str">
        <f ca="1">VLOOKUP(I645,Courses!$B$9:$C$16,2,0)</f>
        <v>Data Analytics</v>
      </c>
      <c r="K645" s="7">
        <f ca="1">VLOOKUP(I645,Courses!$B$9:$D$16,3,0)</f>
        <v>59</v>
      </c>
      <c r="L645" s="5" t="str">
        <f t="shared" ca="1" si="127"/>
        <v>Paid</v>
      </c>
      <c r="M645" s="8" t="str" cm="1">
        <f t="array" aca="1" ref="M645" ca="1">INDEX('Payment Method'!$A$8:$A$12,RANDBETWEEN(1,5))</f>
        <v>Mastercard Credit</v>
      </c>
      <c r="N645" s="7">
        <f>IFERROR(SUMIF(Holiday!$A$8:$A$11,B645,Holiday!$C$8:$C$11),0)</f>
        <v>0</v>
      </c>
      <c r="O645" s="7">
        <f t="shared" ca="1" si="128"/>
        <v>59</v>
      </c>
      <c r="P645" s="19">
        <f t="shared" ca="1" si="129"/>
        <v>56.935000000000002</v>
      </c>
      <c r="Q645" s="7">
        <f t="shared" ca="1" si="130"/>
        <v>0</v>
      </c>
      <c r="R645" s="8">
        <f ca="1">VLOOKUP(M645,'Payment Method'!$A$8:$B$12,2,0)</f>
        <v>3.5000000000000003E-2</v>
      </c>
      <c r="S645" s="9">
        <f t="shared" ca="1" si="120"/>
        <v>2.0649999999999977</v>
      </c>
      <c r="T645" s="8">
        <v>0.01</v>
      </c>
      <c r="U645" s="9">
        <f t="shared" ca="1" si="121"/>
        <v>0.56935000000000002</v>
      </c>
      <c r="V645" s="7">
        <f t="shared" ca="1" si="122"/>
        <v>0</v>
      </c>
      <c r="W645" s="7">
        <f t="shared" ca="1" si="123"/>
        <v>56.365650000000002</v>
      </c>
      <c r="X645" s="5" t="str">
        <f t="shared" ca="1" si="131"/>
        <v>Instagram</v>
      </c>
      <c r="Y645" s="78" t="str">
        <f>IF(COUNTIF($C$1:C644,B644)=1,10,"")</f>
        <v/>
      </c>
    </row>
    <row r="646" spans="1:25" x14ac:dyDescent="0.3">
      <c r="A646" s="75">
        <v>645</v>
      </c>
      <c r="B646" s="6">
        <v>46163</v>
      </c>
      <c r="C646" s="6">
        <v>46163</v>
      </c>
      <c r="D646" s="17" t="str">
        <f t="shared" si="124"/>
        <v>May</v>
      </c>
      <c r="E646" s="5" t="str">
        <f t="shared" ca="1" si="125"/>
        <v>STU-401</v>
      </c>
      <c r="F646" s="5" t="str">
        <f ca="1">IF(COUNTIF($E$2:E646,E646)=1,"New Customer","Returning Customer")</f>
        <v>New Customer</v>
      </c>
      <c r="G646" s="5" t="str">
        <f t="shared" ca="1" si="126"/>
        <v>Female</v>
      </c>
      <c r="H646" s="5" t="s">
        <v>139</v>
      </c>
      <c r="I646" s="5" t="str" cm="1">
        <f t="array" aca="1" ref="I646" ca="1">INDEX(Courses!$B$9:$B$16,RANDBETWEEN(1,8))</f>
        <v>Adolescent Psychology</v>
      </c>
      <c r="J646" s="5" t="str">
        <f ca="1">VLOOKUP(I646,Courses!$B$9:$C$16,2,0)</f>
        <v>Psychology</v>
      </c>
      <c r="K646" s="7">
        <f ca="1">VLOOKUP(I646,Courses!$B$9:$D$16,3,0)</f>
        <v>29</v>
      </c>
      <c r="L646" s="5" t="str">
        <f t="shared" ca="1" si="127"/>
        <v>Pending</v>
      </c>
      <c r="M646" s="8" t="str" cm="1">
        <f t="array" aca="1" ref="M646" ca="1">INDEX('Payment Method'!$A$8:$A$12,RANDBETWEEN(1,5))</f>
        <v>Visa Debit</v>
      </c>
      <c r="N646" s="7">
        <f>IFERROR(SUMIF(Holiday!$A$8:$A$11,B646,Holiday!$C$8:$C$11),0)</f>
        <v>0</v>
      </c>
      <c r="O646" s="7">
        <f t="shared" ca="1" si="128"/>
        <v>29</v>
      </c>
      <c r="P646" s="19">
        <f t="shared" ca="1" si="129"/>
        <v>28.42</v>
      </c>
      <c r="Q646" s="7">
        <f t="shared" ca="1" si="130"/>
        <v>28.135800000000003</v>
      </c>
      <c r="R646" s="8">
        <f ca="1">VLOOKUP(M646,'Payment Method'!$A$8:$B$12,2,0)</f>
        <v>0.02</v>
      </c>
      <c r="S646" s="9">
        <f t="shared" ca="1" si="120"/>
        <v>0.57999999999999829</v>
      </c>
      <c r="T646" s="8">
        <v>0.01</v>
      </c>
      <c r="U646" s="9">
        <f t="shared" ca="1" si="121"/>
        <v>0.28419999999999845</v>
      </c>
      <c r="V646" s="7">
        <f t="shared" ca="1" si="122"/>
        <v>0</v>
      </c>
      <c r="W646" s="7">
        <f t="shared" ca="1" si="123"/>
        <v>0</v>
      </c>
      <c r="X646" s="5" t="str">
        <f t="shared" ca="1" si="131"/>
        <v>Instagram</v>
      </c>
      <c r="Y646" s="78" t="str">
        <f>IF(COUNTIF($C$1:C645,B645)=1,10,"")</f>
        <v/>
      </c>
    </row>
    <row r="647" spans="1:25" x14ac:dyDescent="0.3">
      <c r="A647" s="76">
        <v>646</v>
      </c>
      <c r="B647" s="6">
        <v>46052</v>
      </c>
      <c r="C647" s="6">
        <v>46053</v>
      </c>
      <c r="D647" s="17" t="str">
        <f t="shared" si="124"/>
        <v>January</v>
      </c>
      <c r="E647" s="5" t="str">
        <f t="shared" ca="1" si="125"/>
        <v>STU-791</v>
      </c>
      <c r="F647" s="5" t="str">
        <f ca="1">IF(COUNTIF($E$2:E647,E647)=1,"New Customer","Returning Customer")</f>
        <v>New Customer</v>
      </c>
      <c r="G647" s="5" t="str">
        <f t="shared" ca="1" si="126"/>
        <v>Male</v>
      </c>
      <c r="H647" s="5" t="s">
        <v>137</v>
      </c>
      <c r="I647" s="5" t="str" cm="1">
        <f t="array" aca="1" ref="I647" ca="1">INDEX(Courses!$B$9:$B$16,RANDBETWEEN(1,8))</f>
        <v>Microsoft Word</v>
      </c>
      <c r="J647" s="5" t="str">
        <f ca="1">VLOOKUP(I647,Courses!$B$9:$C$16,2,0)</f>
        <v>Microsoft Office</v>
      </c>
      <c r="K647" s="7">
        <f ca="1">VLOOKUP(I647,Courses!$B$9:$D$16,3,0)</f>
        <v>29</v>
      </c>
      <c r="L647" s="5" t="str">
        <f t="shared" ca="1" si="127"/>
        <v>Pending</v>
      </c>
      <c r="M647" s="8" t="str" cm="1">
        <f t="array" aca="1" ref="M647" ca="1">INDEX('Payment Method'!$A$8:$A$12,RANDBETWEEN(1,5))</f>
        <v>Mastercard Debit</v>
      </c>
      <c r="N647" s="7">
        <f>IFERROR(SUMIF(Holiday!$A$8:$A$11,B647,Holiday!$C$8:$C$11),0)</f>
        <v>0</v>
      </c>
      <c r="O647" s="7">
        <f t="shared" ca="1" si="128"/>
        <v>29</v>
      </c>
      <c r="P647" s="19">
        <f t="shared" ca="1" si="129"/>
        <v>28.42</v>
      </c>
      <c r="Q647" s="7">
        <f t="shared" ca="1" si="130"/>
        <v>28.135800000000003</v>
      </c>
      <c r="R647" s="8">
        <f ca="1">VLOOKUP(M647,'Payment Method'!$A$8:$B$12,2,0)</f>
        <v>0.02</v>
      </c>
      <c r="S647" s="9">
        <f t="shared" ca="1" si="120"/>
        <v>0.57999999999999829</v>
      </c>
      <c r="T647" s="8">
        <v>0.01</v>
      </c>
      <c r="U647" s="9">
        <f t="shared" ca="1" si="121"/>
        <v>0.28419999999999845</v>
      </c>
      <c r="V647" s="7">
        <f t="shared" ca="1" si="122"/>
        <v>0</v>
      </c>
      <c r="W647" s="7">
        <f t="shared" ca="1" si="123"/>
        <v>0</v>
      </c>
      <c r="X647" s="5" t="str">
        <f t="shared" ca="1" si="131"/>
        <v>Tiktok</v>
      </c>
      <c r="Y647" s="78" t="str">
        <f>IF(COUNTIF($C$1:C646,B646)=1,10,"")</f>
        <v/>
      </c>
    </row>
    <row r="648" spans="1:25" x14ac:dyDescent="0.3">
      <c r="A648" s="75">
        <v>647</v>
      </c>
      <c r="B648" s="6">
        <v>46081</v>
      </c>
      <c r="C648" s="6">
        <v>46083</v>
      </c>
      <c r="D648" s="17" t="str">
        <f t="shared" si="124"/>
        <v>March</v>
      </c>
      <c r="E648" s="5" t="str">
        <f t="shared" ca="1" si="125"/>
        <v>STU-920</v>
      </c>
      <c r="F648" s="5" t="str">
        <f ca="1">IF(COUNTIF($E$2:E648,E648)=1,"New Customer","Returning Customer")</f>
        <v>New Customer</v>
      </c>
      <c r="G648" s="5" t="str">
        <f t="shared" ca="1" si="126"/>
        <v>Female</v>
      </c>
      <c r="H648" s="5" t="s">
        <v>135</v>
      </c>
      <c r="I648" s="5" t="str" cm="1">
        <f t="array" aca="1" ref="I648" ca="1">INDEX(Courses!$B$9:$B$16,RANDBETWEEN(1,8))</f>
        <v>SQL</v>
      </c>
      <c r="J648" s="5" t="str">
        <f ca="1">VLOOKUP(I648,Courses!$B$9:$C$16,2,0)</f>
        <v>Data Analytics</v>
      </c>
      <c r="K648" s="7">
        <f ca="1">VLOOKUP(I648,Courses!$B$9:$D$16,3,0)</f>
        <v>99</v>
      </c>
      <c r="L648" s="5" t="str">
        <f t="shared" ca="1" si="127"/>
        <v>Paid</v>
      </c>
      <c r="M648" s="8" t="str" cm="1">
        <f t="array" aca="1" ref="M648" ca="1">INDEX('Payment Method'!$A$8:$A$12,RANDBETWEEN(1,5))</f>
        <v>Bank Transfer</v>
      </c>
      <c r="N648" s="7">
        <f>IFERROR(SUMIF(Holiday!$A$8:$A$11,B648,Holiday!$C$8:$C$11),0)</f>
        <v>0</v>
      </c>
      <c r="O648" s="7">
        <f t="shared" ca="1" si="128"/>
        <v>99</v>
      </c>
      <c r="P648" s="19">
        <f t="shared" ca="1" si="129"/>
        <v>99</v>
      </c>
      <c r="Q648" s="7">
        <f t="shared" ca="1" si="130"/>
        <v>0</v>
      </c>
      <c r="R648" s="8">
        <f ca="1">VLOOKUP(M648,'Payment Method'!$A$8:$B$12,2,0)</f>
        <v>0</v>
      </c>
      <c r="S648" s="9">
        <f t="shared" ca="1" si="120"/>
        <v>0</v>
      </c>
      <c r="T648" s="8">
        <v>0.01</v>
      </c>
      <c r="U648" s="9">
        <f t="shared" ca="1" si="121"/>
        <v>0.98999999999999488</v>
      </c>
      <c r="V648" s="7">
        <f t="shared" ca="1" si="122"/>
        <v>0</v>
      </c>
      <c r="W648" s="7">
        <f t="shared" ca="1" si="123"/>
        <v>98.01</v>
      </c>
      <c r="X648" s="5" t="str">
        <f t="shared" ca="1" si="131"/>
        <v>Instagram</v>
      </c>
      <c r="Y648" s="78" t="str">
        <f>IF(COUNTIF($C$1:C647,B647)=1,10,"")</f>
        <v/>
      </c>
    </row>
    <row r="649" spans="1:25" x14ac:dyDescent="0.3">
      <c r="A649" s="76">
        <v>648</v>
      </c>
      <c r="B649" s="6">
        <v>46072</v>
      </c>
      <c r="C649" s="6">
        <v>46075</v>
      </c>
      <c r="D649" s="17" t="str">
        <f t="shared" si="124"/>
        <v>February</v>
      </c>
      <c r="E649" s="5" t="str">
        <f t="shared" ca="1" si="125"/>
        <v>STU-197</v>
      </c>
      <c r="F649" s="5" t="str">
        <f ca="1">IF(COUNTIF($E$2:E649,E649)=1,"New Customer","Returning Customer")</f>
        <v>Returning Customer</v>
      </c>
      <c r="G649" s="5" t="str">
        <f t="shared" ca="1" si="126"/>
        <v>Male</v>
      </c>
      <c r="H649" s="5" t="s">
        <v>141</v>
      </c>
      <c r="I649" s="5" t="str" cm="1">
        <f t="array" aca="1" ref="I649" ca="1">INDEX(Courses!$B$9:$B$16,RANDBETWEEN(1,8))</f>
        <v>SQL</v>
      </c>
      <c r="J649" s="5" t="str">
        <f ca="1">VLOOKUP(I649,Courses!$B$9:$C$16,2,0)</f>
        <v>Data Analytics</v>
      </c>
      <c r="K649" s="7">
        <f ca="1">VLOOKUP(I649,Courses!$B$9:$D$16,3,0)</f>
        <v>99</v>
      </c>
      <c r="L649" s="5" t="str">
        <f t="shared" ca="1" si="127"/>
        <v>Paid</v>
      </c>
      <c r="M649" s="8" t="str" cm="1">
        <f t="array" aca="1" ref="M649" ca="1">INDEX('Payment Method'!$A$8:$A$12,RANDBETWEEN(1,5))</f>
        <v>Mastercard Credit</v>
      </c>
      <c r="N649" s="7">
        <f>IFERROR(SUMIF(Holiday!$A$8:$A$11,B649,Holiday!$C$8:$C$11),0)</f>
        <v>0</v>
      </c>
      <c r="O649" s="7">
        <f t="shared" ca="1" si="128"/>
        <v>99</v>
      </c>
      <c r="P649" s="19">
        <f t="shared" ca="1" si="129"/>
        <v>95.534999999999997</v>
      </c>
      <c r="Q649" s="7">
        <f t="shared" ca="1" si="130"/>
        <v>0</v>
      </c>
      <c r="R649" s="8">
        <f ca="1">VLOOKUP(M649,'Payment Method'!$A$8:$B$12,2,0)</f>
        <v>3.5000000000000003E-2</v>
      </c>
      <c r="S649" s="9">
        <f t="shared" ca="1" si="120"/>
        <v>3.4650000000000034</v>
      </c>
      <c r="T649" s="8">
        <v>0.01</v>
      </c>
      <c r="U649" s="9">
        <f t="shared" ca="1" si="121"/>
        <v>0.9553499999999957</v>
      </c>
      <c r="V649" s="7">
        <f t="shared" ca="1" si="122"/>
        <v>0</v>
      </c>
      <c r="W649" s="7">
        <f t="shared" ca="1" si="123"/>
        <v>94.579650000000001</v>
      </c>
      <c r="X649" s="5" t="str">
        <f t="shared" ca="1" si="131"/>
        <v>Tiktok</v>
      </c>
      <c r="Y649" s="78" t="str">
        <f>IF(COUNTIF($C$1:C648,B648)=1,10,"")</f>
        <v/>
      </c>
    </row>
    <row r="650" spans="1:25" x14ac:dyDescent="0.3">
      <c r="A650" s="75">
        <v>649</v>
      </c>
      <c r="B650" s="6">
        <v>46093</v>
      </c>
      <c r="C650" s="6">
        <v>46097</v>
      </c>
      <c r="D650" s="17" t="str">
        <f t="shared" si="124"/>
        <v>March</v>
      </c>
      <c r="E650" s="5" t="str">
        <f t="shared" ca="1" si="125"/>
        <v>STU-881</v>
      </c>
      <c r="F650" s="5" t="str">
        <f ca="1">IF(COUNTIF($E$2:E650,E650)=1,"New Customer","Returning Customer")</f>
        <v>New Customer</v>
      </c>
      <c r="G650" s="5" t="str">
        <f t="shared" ca="1" si="126"/>
        <v>Not specified</v>
      </c>
      <c r="H650" s="5" t="s">
        <v>138</v>
      </c>
      <c r="I650" s="5" t="str" cm="1">
        <f t="array" aca="1" ref="I650" ca="1">INDEX(Courses!$B$9:$B$16,RANDBETWEEN(1,8))</f>
        <v>Power BI</v>
      </c>
      <c r="J650" s="5" t="str">
        <f ca="1">VLOOKUP(I650,Courses!$B$9:$C$16,2,0)</f>
        <v>Data Analytics</v>
      </c>
      <c r="K650" s="7">
        <f ca="1">VLOOKUP(I650,Courses!$B$9:$D$16,3,0)</f>
        <v>59</v>
      </c>
      <c r="L650" s="5" t="str">
        <f t="shared" ca="1" si="127"/>
        <v>Paid</v>
      </c>
      <c r="M650" s="8" t="str" cm="1">
        <f t="array" aca="1" ref="M650" ca="1">INDEX('Payment Method'!$A$8:$A$12,RANDBETWEEN(1,5))</f>
        <v>Visa Credit</v>
      </c>
      <c r="N650" s="7">
        <f>IFERROR(SUMIF(Holiday!$A$8:$A$11,B650,Holiday!$C$8:$C$11),0)</f>
        <v>0</v>
      </c>
      <c r="O650" s="7">
        <f t="shared" ca="1" si="128"/>
        <v>59</v>
      </c>
      <c r="P650" s="19">
        <f t="shared" ca="1" si="129"/>
        <v>56.935000000000002</v>
      </c>
      <c r="Q650" s="7">
        <f t="shared" ca="1" si="130"/>
        <v>0</v>
      </c>
      <c r="R650" s="8">
        <f ca="1">VLOOKUP(M650,'Payment Method'!$A$8:$B$12,2,0)</f>
        <v>3.5000000000000003E-2</v>
      </c>
      <c r="S650" s="9">
        <f t="shared" ca="1" si="120"/>
        <v>2.0649999999999977</v>
      </c>
      <c r="T650" s="8">
        <v>0.01</v>
      </c>
      <c r="U650" s="9">
        <f t="shared" ca="1" si="121"/>
        <v>0.56935000000000002</v>
      </c>
      <c r="V650" s="7">
        <f t="shared" ca="1" si="122"/>
        <v>0</v>
      </c>
      <c r="W650" s="7">
        <f t="shared" ca="1" si="123"/>
        <v>56.365650000000002</v>
      </c>
      <c r="X650" s="5" t="str">
        <f t="shared" ca="1" si="131"/>
        <v>Facebook</v>
      </c>
      <c r="Y650" s="78" t="str">
        <f>IF(COUNTIF($C$1:C649,B649)=1,10,"")</f>
        <v/>
      </c>
    </row>
    <row r="651" spans="1:25" x14ac:dyDescent="0.3">
      <c r="A651" s="76">
        <v>650</v>
      </c>
      <c r="B651" s="6">
        <v>46063</v>
      </c>
      <c r="C651" s="6">
        <v>46065</v>
      </c>
      <c r="D651" s="17" t="str">
        <f t="shared" si="124"/>
        <v>February</v>
      </c>
      <c r="E651" s="5" t="str">
        <f t="shared" ca="1" si="125"/>
        <v>STU-940</v>
      </c>
      <c r="F651" s="5" t="str">
        <f ca="1">IF(COUNTIF($E$2:E651,E651)=1,"New Customer","Returning Customer")</f>
        <v>Returning Customer</v>
      </c>
      <c r="G651" s="5" t="str">
        <f t="shared" ca="1" si="126"/>
        <v>Not specified</v>
      </c>
      <c r="H651" s="5" t="s">
        <v>141</v>
      </c>
      <c r="I651" s="5" t="str" cm="1">
        <f t="array" aca="1" ref="I651" ca="1">INDEX(Courses!$B$9:$B$16,RANDBETWEEN(1,8))</f>
        <v>Excel Basics</v>
      </c>
      <c r="J651" s="5" t="str">
        <f ca="1">VLOOKUP(I651,Courses!$B$9:$C$16,2,0)</f>
        <v>Microsoft Office</v>
      </c>
      <c r="K651" s="7">
        <f ca="1">VLOOKUP(I651,Courses!$B$9:$D$16,3,0)</f>
        <v>29</v>
      </c>
      <c r="L651" s="5" t="str">
        <f t="shared" ca="1" si="127"/>
        <v>Paid</v>
      </c>
      <c r="M651" s="8" t="str" cm="1">
        <f t="array" aca="1" ref="M651" ca="1">INDEX('Payment Method'!$A$8:$A$12,RANDBETWEEN(1,5))</f>
        <v>Mastercard Credit</v>
      </c>
      <c r="N651" s="7">
        <f>IFERROR(SUMIF(Holiday!$A$8:$A$11,B651,Holiday!$C$8:$C$11),0)</f>
        <v>0</v>
      </c>
      <c r="O651" s="7">
        <f t="shared" ca="1" si="128"/>
        <v>29</v>
      </c>
      <c r="P651" s="19">
        <f t="shared" ca="1" si="129"/>
        <v>27.984999999999999</v>
      </c>
      <c r="Q651" s="7">
        <f t="shared" ca="1" si="130"/>
        <v>0</v>
      </c>
      <c r="R651" s="8">
        <f ca="1">VLOOKUP(M651,'Payment Method'!$A$8:$B$12,2,0)</f>
        <v>3.5000000000000003E-2</v>
      </c>
      <c r="S651" s="9">
        <f t="shared" ca="1" si="120"/>
        <v>1.0150000000000006</v>
      </c>
      <c r="T651" s="8">
        <v>0.01</v>
      </c>
      <c r="U651" s="9">
        <f t="shared" ca="1" si="121"/>
        <v>0.27984999999999971</v>
      </c>
      <c r="V651" s="7">
        <f t="shared" ca="1" si="122"/>
        <v>0</v>
      </c>
      <c r="W651" s="7">
        <f t="shared" ca="1" si="123"/>
        <v>27.70515</v>
      </c>
      <c r="X651" s="5" t="str">
        <f t="shared" ca="1" si="131"/>
        <v>Facebook</v>
      </c>
      <c r="Y651" s="78" t="str">
        <f>IF(COUNTIF($C$1:C650,B650)=1,10,"")</f>
        <v/>
      </c>
    </row>
    <row r="652" spans="1:25" x14ac:dyDescent="0.3">
      <c r="A652" s="75">
        <v>651</v>
      </c>
      <c r="B652" s="6">
        <v>46096</v>
      </c>
      <c r="C652" s="6">
        <v>46101</v>
      </c>
      <c r="D652" s="17" t="str">
        <f t="shared" si="124"/>
        <v>March</v>
      </c>
      <c r="E652" s="5" t="str">
        <f t="shared" ca="1" si="125"/>
        <v>STU-886</v>
      </c>
      <c r="F652" s="5" t="str">
        <f ca="1">IF(COUNTIF($E$2:E652,E652)=1,"New Customer","Returning Customer")</f>
        <v>New Customer</v>
      </c>
      <c r="G652" s="5" t="str">
        <f t="shared" ca="1" si="126"/>
        <v>Female</v>
      </c>
      <c r="H652" s="5" t="s">
        <v>137</v>
      </c>
      <c r="I652" s="5" t="str" cm="1">
        <f t="array" aca="1" ref="I652" ca="1">INDEX(Courses!$B$9:$B$16,RANDBETWEEN(1,8))</f>
        <v>Complete Excel Course</v>
      </c>
      <c r="J652" s="5" t="str">
        <f ca="1">VLOOKUP(I652,Courses!$B$9:$C$16,2,0)</f>
        <v>Microsoft Office</v>
      </c>
      <c r="K652" s="7">
        <f ca="1">VLOOKUP(I652,Courses!$B$9:$D$16,3,0)</f>
        <v>59</v>
      </c>
      <c r="L652" s="5" t="str">
        <f t="shared" ca="1" si="127"/>
        <v>Paid</v>
      </c>
      <c r="M652" s="8" t="str" cm="1">
        <f t="array" aca="1" ref="M652" ca="1">INDEX('Payment Method'!$A$8:$A$12,RANDBETWEEN(1,5))</f>
        <v>Bank Transfer</v>
      </c>
      <c r="N652" s="7">
        <f>IFERROR(SUMIF(Holiday!$A$8:$A$11,B652,Holiday!$C$8:$C$11),0)</f>
        <v>0</v>
      </c>
      <c r="O652" s="7">
        <f t="shared" ca="1" si="128"/>
        <v>59</v>
      </c>
      <c r="P652" s="19">
        <f t="shared" ca="1" si="129"/>
        <v>59</v>
      </c>
      <c r="Q652" s="7">
        <f t="shared" ca="1" si="130"/>
        <v>0</v>
      </c>
      <c r="R652" s="8">
        <f ca="1">VLOOKUP(M652,'Payment Method'!$A$8:$B$12,2,0)</f>
        <v>0</v>
      </c>
      <c r="S652" s="9">
        <f t="shared" ca="1" si="120"/>
        <v>0</v>
      </c>
      <c r="T652" s="8">
        <v>0.01</v>
      </c>
      <c r="U652" s="9">
        <f t="shared" ca="1" si="121"/>
        <v>0.59000000000000341</v>
      </c>
      <c r="V652" s="7">
        <f t="shared" ca="1" si="122"/>
        <v>0</v>
      </c>
      <c r="W652" s="7">
        <f t="shared" ca="1" si="123"/>
        <v>58.41</v>
      </c>
      <c r="X652" s="5" t="str">
        <f t="shared" ca="1" si="131"/>
        <v>Facebook</v>
      </c>
      <c r="Y652" s="78" t="str">
        <f>IF(COUNTIF($C$1:C651,B651)=1,10,"")</f>
        <v/>
      </c>
    </row>
    <row r="653" spans="1:25" x14ac:dyDescent="0.3">
      <c r="A653" s="76">
        <v>652</v>
      </c>
      <c r="B653" s="6">
        <v>46111</v>
      </c>
      <c r="C653" s="6">
        <v>46111</v>
      </c>
      <c r="D653" s="17" t="str">
        <f t="shared" si="124"/>
        <v>March</v>
      </c>
      <c r="E653" s="5" t="str">
        <f t="shared" ca="1" si="125"/>
        <v>STU-922</v>
      </c>
      <c r="F653" s="5" t="str">
        <f ca="1">IF(COUNTIF($E$2:E653,E653)=1,"New Customer","Returning Customer")</f>
        <v>New Customer</v>
      </c>
      <c r="G653" s="5" t="str">
        <f t="shared" ca="1" si="126"/>
        <v>Not specified</v>
      </c>
      <c r="H653" s="5" t="s">
        <v>141</v>
      </c>
      <c r="I653" s="5" t="str" cm="1">
        <f t="array" aca="1" ref="I653" ca="1">INDEX(Courses!$B$9:$B$16,RANDBETWEEN(1,8))</f>
        <v>Tax Code</v>
      </c>
      <c r="J653" s="5" t="str">
        <f ca="1">VLOOKUP(I653,Courses!$B$9:$C$16,2,0)</f>
        <v>Finance &amp; Taxation</v>
      </c>
      <c r="K653" s="7">
        <f ca="1">VLOOKUP(I653,Courses!$B$9:$D$16,3,0)</f>
        <v>59</v>
      </c>
      <c r="L653" s="5" t="str">
        <f t="shared" ca="1" si="127"/>
        <v>Paid</v>
      </c>
      <c r="M653" s="8" t="str" cm="1">
        <f t="array" aca="1" ref="M653" ca="1">INDEX('Payment Method'!$A$8:$A$12,RANDBETWEEN(1,5))</f>
        <v>Visa Credit</v>
      </c>
      <c r="N653" s="7">
        <f>IFERROR(SUMIF(Holiday!$A$8:$A$11,B653,Holiday!$C$8:$C$11),0)</f>
        <v>0</v>
      </c>
      <c r="O653" s="7">
        <f t="shared" ca="1" si="128"/>
        <v>59</v>
      </c>
      <c r="P653" s="19">
        <f t="shared" ca="1" si="129"/>
        <v>56.935000000000002</v>
      </c>
      <c r="Q653" s="7">
        <f t="shared" ca="1" si="130"/>
        <v>0</v>
      </c>
      <c r="R653" s="8">
        <f ca="1">VLOOKUP(M653,'Payment Method'!$A$8:$B$12,2,0)</f>
        <v>3.5000000000000003E-2</v>
      </c>
      <c r="S653" s="9">
        <f t="shared" ca="1" si="120"/>
        <v>2.0649999999999977</v>
      </c>
      <c r="T653" s="8">
        <v>0.01</v>
      </c>
      <c r="U653" s="9">
        <f t="shared" ca="1" si="121"/>
        <v>0.56935000000000002</v>
      </c>
      <c r="V653" s="7">
        <f t="shared" ca="1" si="122"/>
        <v>0</v>
      </c>
      <c r="W653" s="7">
        <f t="shared" ca="1" si="123"/>
        <v>56.365650000000002</v>
      </c>
      <c r="X653" s="5" t="str">
        <f t="shared" ca="1" si="131"/>
        <v>Instagram</v>
      </c>
      <c r="Y653" s="78" t="str">
        <f>IF(COUNTIF($C$1:C652,B652)=1,10,"")</f>
        <v/>
      </c>
    </row>
    <row r="654" spans="1:25" x14ac:dyDescent="0.3">
      <c r="A654" s="75">
        <v>653</v>
      </c>
      <c r="B654" s="6">
        <v>46155</v>
      </c>
      <c r="C654" s="6">
        <v>46159</v>
      </c>
      <c r="D654" s="17" t="str">
        <f t="shared" si="124"/>
        <v>May</v>
      </c>
      <c r="E654" s="5" t="str">
        <f t="shared" ca="1" si="125"/>
        <v>STU-2</v>
      </c>
      <c r="F654" s="5" t="str">
        <f ca="1">IF(COUNTIF($E$2:E654,E654)=1,"New Customer","Returning Customer")</f>
        <v>Returning Customer</v>
      </c>
      <c r="G654" s="5" t="str">
        <f t="shared" ca="1" si="126"/>
        <v>Female</v>
      </c>
      <c r="H654" s="5" t="s">
        <v>137</v>
      </c>
      <c r="I654" s="5" t="str" cm="1">
        <f t="array" aca="1" ref="I654" ca="1">INDEX(Courses!$B$9:$B$16,RANDBETWEEN(1,8))</f>
        <v>Microsoft Word</v>
      </c>
      <c r="J654" s="5" t="str">
        <f ca="1">VLOOKUP(I654,Courses!$B$9:$C$16,2,0)</f>
        <v>Microsoft Office</v>
      </c>
      <c r="K654" s="7">
        <f ca="1">VLOOKUP(I654,Courses!$B$9:$D$16,3,0)</f>
        <v>29</v>
      </c>
      <c r="L654" s="5" t="str">
        <f t="shared" ca="1" si="127"/>
        <v>Pending</v>
      </c>
      <c r="M654" s="8" t="str" cm="1">
        <f t="array" aca="1" ref="M654" ca="1">INDEX('Payment Method'!$A$8:$A$12,RANDBETWEEN(1,5))</f>
        <v>Visa Debit</v>
      </c>
      <c r="N654" s="7">
        <f>IFERROR(SUMIF(Holiday!$A$8:$A$11,B654,Holiday!$C$8:$C$11),0)</f>
        <v>0</v>
      </c>
      <c r="O654" s="7">
        <f t="shared" ca="1" si="128"/>
        <v>29</v>
      </c>
      <c r="P654" s="19">
        <f t="shared" ca="1" si="129"/>
        <v>28.42</v>
      </c>
      <c r="Q654" s="7">
        <f t="shared" ca="1" si="130"/>
        <v>28.135800000000003</v>
      </c>
      <c r="R654" s="8">
        <f ca="1">VLOOKUP(M654,'Payment Method'!$A$8:$B$12,2,0)</f>
        <v>0.02</v>
      </c>
      <c r="S654" s="9">
        <f t="shared" ca="1" si="120"/>
        <v>0.57999999999999829</v>
      </c>
      <c r="T654" s="8">
        <v>0.01</v>
      </c>
      <c r="U654" s="9">
        <f t="shared" ca="1" si="121"/>
        <v>0.28419999999999845</v>
      </c>
      <c r="V654" s="7">
        <f t="shared" ca="1" si="122"/>
        <v>0</v>
      </c>
      <c r="W654" s="7">
        <f t="shared" ca="1" si="123"/>
        <v>0</v>
      </c>
      <c r="X654" s="5" t="str">
        <f t="shared" ca="1" si="131"/>
        <v>Instagram</v>
      </c>
      <c r="Y654" s="78" t="str">
        <f>IF(COUNTIF($C$1:C653,B653)=1,10,"")</f>
        <v/>
      </c>
    </row>
    <row r="655" spans="1:25" x14ac:dyDescent="0.3">
      <c r="A655" s="76">
        <v>654</v>
      </c>
      <c r="B655" s="6">
        <v>46134</v>
      </c>
      <c r="C655" s="6">
        <v>46134</v>
      </c>
      <c r="D655" s="17" t="str">
        <f t="shared" si="124"/>
        <v>April</v>
      </c>
      <c r="E655" s="5" t="str">
        <f t="shared" ca="1" si="125"/>
        <v>STU-238</v>
      </c>
      <c r="F655" s="5" t="str">
        <f ca="1">IF(COUNTIF($E$2:E655,E655)=1,"New Customer","Returning Customer")</f>
        <v>Returning Customer</v>
      </c>
      <c r="G655" s="5" t="str">
        <f t="shared" ca="1" si="126"/>
        <v>Male</v>
      </c>
      <c r="H655" s="5" t="s">
        <v>135</v>
      </c>
      <c r="I655" s="5" t="str" cm="1">
        <f t="array" aca="1" ref="I655" ca="1">INDEX(Courses!$B$9:$B$16,RANDBETWEEN(1,8))</f>
        <v>PowerPoint</v>
      </c>
      <c r="J655" s="5" t="str">
        <f ca="1">VLOOKUP(I655,Courses!$B$9:$C$16,2,0)</f>
        <v>Microsoft Office</v>
      </c>
      <c r="K655" s="7">
        <f ca="1">VLOOKUP(I655,Courses!$B$9:$D$16,3,0)</f>
        <v>29</v>
      </c>
      <c r="L655" s="5" t="str">
        <f t="shared" ca="1" si="127"/>
        <v>Paid</v>
      </c>
      <c r="M655" s="8" t="str" cm="1">
        <f t="array" aca="1" ref="M655" ca="1">INDEX('Payment Method'!$A$8:$A$12,RANDBETWEEN(1,5))</f>
        <v>Visa Credit</v>
      </c>
      <c r="N655" s="7">
        <f>IFERROR(SUMIF(Holiday!$A$8:$A$11,B655,Holiday!$C$8:$C$11),0)</f>
        <v>0</v>
      </c>
      <c r="O655" s="7">
        <f t="shared" ca="1" si="128"/>
        <v>29</v>
      </c>
      <c r="P655" s="19">
        <f t="shared" ca="1" si="129"/>
        <v>27.984999999999999</v>
      </c>
      <c r="Q655" s="7">
        <f t="shared" ca="1" si="130"/>
        <v>0</v>
      </c>
      <c r="R655" s="8">
        <f ca="1">VLOOKUP(M655,'Payment Method'!$A$8:$B$12,2,0)</f>
        <v>3.5000000000000003E-2</v>
      </c>
      <c r="S655" s="9">
        <f t="shared" ca="1" si="120"/>
        <v>1.0150000000000006</v>
      </c>
      <c r="T655" s="8">
        <v>0.01</v>
      </c>
      <c r="U655" s="9">
        <f t="shared" ca="1" si="121"/>
        <v>0.27984999999999971</v>
      </c>
      <c r="V655" s="7">
        <f t="shared" ca="1" si="122"/>
        <v>0</v>
      </c>
      <c r="W655" s="7">
        <f t="shared" ca="1" si="123"/>
        <v>27.70515</v>
      </c>
      <c r="X655" s="5" t="str">
        <f t="shared" ca="1" si="131"/>
        <v>Tiktok</v>
      </c>
      <c r="Y655" s="78" t="str">
        <f>IF(COUNTIF($C$1:C654,B654)=1,10,"")</f>
        <v/>
      </c>
    </row>
    <row r="656" spans="1:25" x14ac:dyDescent="0.3">
      <c r="A656" s="75">
        <v>655</v>
      </c>
      <c r="B656" s="6">
        <v>46039</v>
      </c>
      <c r="C656" s="6">
        <v>46040</v>
      </c>
      <c r="D656" s="17" t="str">
        <f t="shared" si="124"/>
        <v>January</v>
      </c>
      <c r="E656" s="5" t="str">
        <f t="shared" ca="1" si="125"/>
        <v>STU-858</v>
      </c>
      <c r="F656" s="5" t="str">
        <f ca="1">IF(COUNTIF($E$2:E656,E656)=1,"New Customer","Returning Customer")</f>
        <v>Returning Customer</v>
      </c>
      <c r="G656" s="5" t="str">
        <f t="shared" ca="1" si="126"/>
        <v>Not specified</v>
      </c>
      <c r="H656" s="5" t="s">
        <v>135</v>
      </c>
      <c r="I656" s="5" t="str" cm="1">
        <f t="array" aca="1" ref="I656" ca="1">INDEX(Courses!$B$9:$B$16,RANDBETWEEN(1,8))</f>
        <v>Excel Basics</v>
      </c>
      <c r="J656" s="5" t="str">
        <f ca="1">VLOOKUP(I656,Courses!$B$9:$C$16,2,0)</f>
        <v>Microsoft Office</v>
      </c>
      <c r="K656" s="7">
        <f ca="1">VLOOKUP(I656,Courses!$B$9:$D$16,3,0)</f>
        <v>29</v>
      </c>
      <c r="L656" s="5" t="str">
        <f t="shared" ca="1" si="127"/>
        <v>Paid</v>
      </c>
      <c r="M656" s="8" t="str" cm="1">
        <f t="array" aca="1" ref="M656" ca="1">INDEX('Payment Method'!$A$8:$A$12,RANDBETWEEN(1,5))</f>
        <v>Mastercard Credit</v>
      </c>
      <c r="N656" s="7">
        <f>IFERROR(SUMIF(Holiday!$A$8:$A$11,B656,Holiday!$C$8:$C$11),0)</f>
        <v>0</v>
      </c>
      <c r="O656" s="7">
        <f t="shared" ca="1" si="128"/>
        <v>29</v>
      </c>
      <c r="P656" s="19">
        <f t="shared" ca="1" si="129"/>
        <v>27.984999999999999</v>
      </c>
      <c r="Q656" s="7">
        <f t="shared" ca="1" si="130"/>
        <v>0</v>
      </c>
      <c r="R656" s="8">
        <f ca="1">VLOOKUP(M656,'Payment Method'!$A$8:$B$12,2,0)</f>
        <v>3.5000000000000003E-2</v>
      </c>
      <c r="S656" s="9">
        <f t="shared" ca="1" si="120"/>
        <v>1.0150000000000006</v>
      </c>
      <c r="T656" s="8">
        <v>0.01</v>
      </c>
      <c r="U656" s="9">
        <f t="shared" ca="1" si="121"/>
        <v>0.27984999999999971</v>
      </c>
      <c r="V656" s="7">
        <f t="shared" ca="1" si="122"/>
        <v>0</v>
      </c>
      <c r="W656" s="7">
        <f t="shared" ca="1" si="123"/>
        <v>27.70515</v>
      </c>
      <c r="X656" s="5" t="str">
        <f t="shared" ca="1" si="131"/>
        <v>Facebook</v>
      </c>
      <c r="Y656" s="78" t="str">
        <f>IF(COUNTIF($C$1:C655,B655)=1,10,"")</f>
        <v/>
      </c>
    </row>
    <row r="657" spans="1:25" x14ac:dyDescent="0.3">
      <c r="A657" s="76">
        <v>656</v>
      </c>
      <c r="B657" s="6">
        <v>46032</v>
      </c>
      <c r="C657" s="6">
        <v>46037</v>
      </c>
      <c r="D657" s="17" t="str">
        <f t="shared" si="124"/>
        <v>January</v>
      </c>
      <c r="E657" s="5" t="str">
        <f t="shared" ca="1" si="125"/>
        <v>STU-473</v>
      </c>
      <c r="F657" s="5" t="str">
        <f ca="1">IF(COUNTIF($E$2:E657,E657)=1,"New Customer","Returning Customer")</f>
        <v>Returning Customer</v>
      </c>
      <c r="G657" s="5" t="str">
        <f t="shared" ca="1" si="126"/>
        <v>Not specified</v>
      </c>
      <c r="H657" s="5" t="s">
        <v>136</v>
      </c>
      <c r="I657" s="5" t="str" cm="1">
        <f t="array" aca="1" ref="I657" ca="1">INDEX(Courses!$B$9:$B$16,RANDBETWEEN(1,8))</f>
        <v>PowerPoint</v>
      </c>
      <c r="J657" s="5" t="str">
        <f ca="1">VLOOKUP(I657,Courses!$B$9:$C$16,2,0)</f>
        <v>Microsoft Office</v>
      </c>
      <c r="K657" s="7">
        <f ca="1">VLOOKUP(I657,Courses!$B$9:$D$16,3,0)</f>
        <v>29</v>
      </c>
      <c r="L657" s="5" t="str">
        <f t="shared" ca="1" si="127"/>
        <v>Paid</v>
      </c>
      <c r="M657" s="8" t="str" cm="1">
        <f t="array" aca="1" ref="M657" ca="1">INDEX('Payment Method'!$A$8:$A$12,RANDBETWEEN(1,5))</f>
        <v>Visa Credit</v>
      </c>
      <c r="N657" s="7">
        <f>IFERROR(SUMIF(Holiday!$A$8:$A$11,B657,Holiday!$C$8:$C$11),0)</f>
        <v>0</v>
      </c>
      <c r="O657" s="7">
        <f t="shared" ca="1" si="128"/>
        <v>29</v>
      </c>
      <c r="P657" s="19">
        <f t="shared" ca="1" si="129"/>
        <v>27.984999999999999</v>
      </c>
      <c r="Q657" s="7">
        <f t="shared" ca="1" si="130"/>
        <v>0</v>
      </c>
      <c r="R657" s="8">
        <f ca="1">VLOOKUP(M657,'Payment Method'!$A$8:$B$12,2,0)</f>
        <v>3.5000000000000003E-2</v>
      </c>
      <c r="S657" s="9">
        <f t="shared" ca="1" si="120"/>
        <v>1.0150000000000006</v>
      </c>
      <c r="T657" s="8">
        <v>0.01</v>
      </c>
      <c r="U657" s="9">
        <f t="shared" ca="1" si="121"/>
        <v>0.27984999999999971</v>
      </c>
      <c r="V657" s="7">
        <f t="shared" ca="1" si="122"/>
        <v>0</v>
      </c>
      <c r="W657" s="7">
        <f t="shared" ca="1" si="123"/>
        <v>27.70515</v>
      </c>
      <c r="X657" s="5" t="str">
        <f t="shared" ca="1" si="131"/>
        <v>Instagram</v>
      </c>
      <c r="Y657" s="78" t="str">
        <f>IF(COUNTIF($C$1:C656,B656)=1,10,"")</f>
        <v/>
      </c>
    </row>
    <row r="658" spans="1:25" x14ac:dyDescent="0.3">
      <c r="A658" s="75">
        <v>657</v>
      </c>
      <c r="B658" s="6">
        <v>46210</v>
      </c>
      <c r="C658" s="6">
        <v>46210</v>
      </c>
      <c r="D658" s="17" t="str">
        <f t="shared" si="124"/>
        <v>July</v>
      </c>
      <c r="E658" s="5" t="str">
        <f t="shared" ca="1" si="125"/>
        <v>STU-763</v>
      </c>
      <c r="F658" s="5" t="str">
        <f ca="1">IF(COUNTIF($E$2:E658,E658)=1,"New Customer","Returning Customer")</f>
        <v>Returning Customer</v>
      </c>
      <c r="G658" s="5" t="str">
        <f t="shared" ca="1" si="126"/>
        <v>Not specified</v>
      </c>
      <c r="H658" s="5" t="s">
        <v>137</v>
      </c>
      <c r="I658" s="5" t="str" cm="1">
        <f t="array" aca="1" ref="I658" ca="1">INDEX(Courses!$B$9:$B$16,RANDBETWEEN(1,8))</f>
        <v>PowerPoint</v>
      </c>
      <c r="J658" s="5" t="str">
        <f ca="1">VLOOKUP(I658,Courses!$B$9:$C$16,2,0)</f>
        <v>Microsoft Office</v>
      </c>
      <c r="K658" s="7">
        <f ca="1">VLOOKUP(I658,Courses!$B$9:$D$16,3,0)</f>
        <v>29</v>
      </c>
      <c r="L658" s="5" t="str">
        <f t="shared" ca="1" si="127"/>
        <v>Paid</v>
      </c>
      <c r="M658" s="8" t="str" cm="1">
        <f t="array" aca="1" ref="M658" ca="1">INDEX('Payment Method'!$A$8:$A$12,RANDBETWEEN(1,5))</f>
        <v>Mastercard Debit</v>
      </c>
      <c r="N658" s="7">
        <f>IFERROR(SUMIF(Holiday!$A$8:$A$11,B658,Holiday!$C$8:$C$11),0)</f>
        <v>0</v>
      </c>
      <c r="O658" s="7">
        <f t="shared" ca="1" si="128"/>
        <v>29</v>
      </c>
      <c r="P658" s="19">
        <f t="shared" ca="1" si="129"/>
        <v>28.42</v>
      </c>
      <c r="Q658" s="7">
        <f t="shared" ca="1" si="130"/>
        <v>0</v>
      </c>
      <c r="R658" s="8">
        <f ca="1">VLOOKUP(M658,'Payment Method'!$A$8:$B$12,2,0)</f>
        <v>0.02</v>
      </c>
      <c r="S658" s="9">
        <f t="shared" ca="1" si="120"/>
        <v>0.57999999999999829</v>
      </c>
      <c r="T658" s="8">
        <v>0.01</v>
      </c>
      <c r="U658" s="9">
        <f t="shared" ca="1" si="121"/>
        <v>0.28419999999999845</v>
      </c>
      <c r="V658" s="7">
        <f t="shared" ca="1" si="122"/>
        <v>0</v>
      </c>
      <c r="W658" s="7">
        <f t="shared" ca="1" si="123"/>
        <v>28.135800000000003</v>
      </c>
      <c r="X658" s="5" t="str">
        <f t="shared" ca="1" si="131"/>
        <v>Tiktok</v>
      </c>
      <c r="Y658" s="78" t="str">
        <f>IF(COUNTIF($C$1:C657,B657)=1,10,"")</f>
        <v/>
      </c>
    </row>
    <row r="659" spans="1:25" x14ac:dyDescent="0.3">
      <c r="A659" s="76">
        <v>658</v>
      </c>
      <c r="B659" s="6">
        <v>46097</v>
      </c>
      <c r="C659" s="6">
        <v>46098</v>
      </c>
      <c r="D659" s="17" t="str">
        <f t="shared" si="124"/>
        <v>March</v>
      </c>
      <c r="E659" s="5" t="str">
        <f t="shared" ca="1" si="125"/>
        <v>STU-398</v>
      </c>
      <c r="F659" s="5" t="str">
        <f ca="1">IF(COUNTIF($E$2:E659,E659)=1,"New Customer","Returning Customer")</f>
        <v>Returning Customer</v>
      </c>
      <c r="G659" s="5" t="str">
        <f t="shared" ca="1" si="126"/>
        <v>Not specified</v>
      </c>
      <c r="H659" s="5" t="s">
        <v>136</v>
      </c>
      <c r="I659" s="5" t="str" cm="1">
        <f t="array" aca="1" ref="I659" ca="1">INDEX(Courses!$B$9:$B$16,RANDBETWEEN(1,8))</f>
        <v>Microsoft Word</v>
      </c>
      <c r="J659" s="5" t="str">
        <f ca="1">VLOOKUP(I659,Courses!$B$9:$C$16,2,0)</f>
        <v>Microsoft Office</v>
      </c>
      <c r="K659" s="7">
        <f ca="1">VLOOKUP(I659,Courses!$B$9:$D$16,3,0)</f>
        <v>29</v>
      </c>
      <c r="L659" s="5" t="str">
        <f t="shared" ca="1" si="127"/>
        <v>Pending</v>
      </c>
      <c r="M659" s="8" t="str" cm="1">
        <f t="array" aca="1" ref="M659" ca="1">INDEX('Payment Method'!$A$8:$A$12,RANDBETWEEN(1,5))</f>
        <v>Visa Debit</v>
      </c>
      <c r="N659" s="7">
        <f>IFERROR(SUMIF(Holiday!$A$8:$A$11,B659,Holiday!$C$8:$C$11),0)</f>
        <v>0</v>
      </c>
      <c r="O659" s="7">
        <f t="shared" ca="1" si="128"/>
        <v>29</v>
      </c>
      <c r="P659" s="19">
        <f t="shared" ca="1" si="129"/>
        <v>28.42</v>
      </c>
      <c r="Q659" s="7">
        <f t="shared" ca="1" si="130"/>
        <v>28.135800000000003</v>
      </c>
      <c r="R659" s="8">
        <f ca="1">VLOOKUP(M659,'Payment Method'!$A$8:$B$12,2,0)</f>
        <v>0.02</v>
      </c>
      <c r="S659" s="9">
        <f t="shared" ca="1" si="120"/>
        <v>0.57999999999999829</v>
      </c>
      <c r="T659" s="8">
        <v>0.01</v>
      </c>
      <c r="U659" s="9">
        <f t="shared" ca="1" si="121"/>
        <v>0.28419999999999845</v>
      </c>
      <c r="V659" s="7">
        <f t="shared" ca="1" si="122"/>
        <v>0</v>
      </c>
      <c r="W659" s="7">
        <f t="shared" ca="1" si="123"/>
        <v>0</v>
      </c>
      <c r="X659" s="5" t="str">
        <f t="shared" ca="1" si="131"/>
        <v>Facebook</v>
      </c>
      <c r="Y659" s="78" t="str">
        <f>IF(COUNTIF($C$1:C658,B658)=1,10,"")</f>
        <v/>
      </c>
    </row>
    <row r="660" spans="1:25" x14ac:dyDescent="0.3">
      <c r="A660" s="75">
        <v>659</v>
      </c>
      <c r="B660" s="6">
        <v>46197</v>
      </c>
      <c r="C660" s="6">
        <v>46202</v>
      </c>
      <c r="D660" s="17" t="str">
        <f t="shared" si="124"/>
        <v>June</v>
      </c>
      <c r="E660" s="5" t="str">
        <f t="shared" ca="1" si="125"/>
        <v>STU-252</v>
      </c>
      <c r="F660" s="5" t="str">
        <f ca="1">IF(COUNTIF($E$2:E660,E660)=1,"New Customer","Returning Customer")</f>
        <v>New Customer</v>
      </c>
      <c r="G660" s="5" t="str">
        <f t="shared" ca="1" si="126"/>
        <v>Male</v>
      </c>
      <c r="H660" s="5" t="s">
        <v>138</v>
      </c>
      <c r="I660" s="5" t="str" cm="1">
        <f t="array" aca="1" ref="I660" ca="1">INDEX(Courses!$B$9:$B$16,RANDBETWEEN(1,8))</f>
        <v>PowerPoint</v>
      </c>
      <c r="J660" s="5" t="str">
        <f ca="1">VLOOKUP(I660,Courses!$B$9:$C$16,2,0)</f>
        <v>Microsoft Office</v>
      </c>
      <c r="K660" s="7">
        <f ca="1">VLOOKUP(I660,Courses!$B$9:$D$16,3,0)</f>
        <v>29</v>
      </c>
      <c r="L660" s="5" t="str">
        <f t="shared" ca="1" si="127"/>
        <v>Paid</v>
      </c>
      <c r="M660" s="8" t="str" cm="1">
        <f t="array" aca="1" ref="M660" ca="1">INDEX('Payment Method'!$A$8:$A$12,RANDBETWEEN(1,5))</f>
        <v>Mastercard Debit</v>
      </c>
      <c r="N660" s="7">
        <f>IFERROR(SUMIF(Holiday!$A$8:$A$11,B660,Holiday!$C$8:$C$11),0)</f>
        <v>0</v>
      </c>
      <c r="O660" s="7">
        <f t="shared" ca="1" si="128"/>
        <v>29</v>
      </c>
      <c r="P660" s="19">
        <f t="shared" ca="1" si="129"/>
        <v>28.42</v>
      </c>
      <c r="Q660" s="7">
        <f t="shared" ca="1" si="130"/>
        <v>0</v>
      </c>
      <c r="R660" s="8">
        <f ca="1">VLOOKUP(M660,'Payment Method'!$A$8:$B$12,2,0)</f>
        <v>0.02</v>
      </c>
      <c r="S660" s="9">
        <f t="shared" ca="1" si="120"/>
        <v>0.57999999999999829</v>
      </c>
      <c r="T660" s="8">
        <v>0.01</v>
      </c>
      <c r="U660" s="9">
        <f t="shared" ca="1" si="121"/>
        <v>0.28419999999999845</v>
      </c>
      <c r="V660" s="7">
        <f t="shared" ca="1" si="122"/>
        <v>0</v>
      </c>
      <c r="W660" s="7">
        <f t="shared" ca="1" si="123"/>
        <v>28.135800000000003</v>
      </c>
      <c r="X660" s="5" t="str">
        <f t="shared" ca="1" si="131"/>
        <v>Tiktok</v>
      </c>
      <c r="Y660" s="78" t="str">
        <f>IF(COUNTIF($C$1:C659,B659)=1,10,"")</f>
        <v/>
      </c>
    </row>
    <row r="661" spans="1:25" x14ac:dyDescent="0.3">
      <c r="A661" s="76">
        <v>660</v>
      </c>
      <c r="B661" s="6">
        <v>46099</v>
      </c>
      <c r="C661" s="6">
        <v>46103</v>
      </c>
      <c r="D661" s="17" t="str">
        <f t="shared" si="124"/>
        <v>March</v>
      </c>
      <c r="E661" s="5" t="str">
        <f t="shared" ca="1" si="125"/>
        <v>STU-80</v>
      </c>
      <c r="F661" s="5" t="str">
        <f ca="1">IF(COUNTIF($E$2:E661,E661)=1,"New Customer","Returning Customer")</f>
        <v>New Customer</v>
      </c>
      <c r="G661" s="5" t="str">
        <f t="shared" ca="1" si="126"/>
        <v>Female</v>
      </c>
      <c r="H661" s="5" t="s">
        <v>142</v>
      </c>
      <c r="I661" s="5" t="str" cm="1">
        <f t="array" aca="1" ref="I661" ca="1">INDEX(Courses!$B$9:$B$16,RANDBETWEEN(1,8))</f>
        <v>PowerPoint</v>
      </c>
      <c r="J661" s="5" t="str">
        <f ca="1">VLOOKUP(I661,Courses!$B$9:$C$16,2,0)</f>
        <v>Microsoft Office</v>
      </c>
      <c r="K661" s="7">
        <f ca="1">VLOOKUP(I661,Courses!$B$9:$D$16,3,0)</f>
        <v>29</v>
      </c>
      <c r="L661" s="5" t="str">
        <f t="shared" ca="1" si="127"/>
        <v>Paid</v>
      </c>
      <c r="M661" s="8" t="str" cm="1">
        <f t="array" aca="1" ref="M661" ca="1">INDEX('Payment Method'!$A$8:$A$12,RANDBETWEEN(1,5))</f>
        <v>Visa Debit</v>
      </c>
      <c r="N661" s="7">
        <f>IFERROR(SUMIF(Holiday!$A$8:$A$11,B661,Holiday!$C$8:$C$11),0)</f>
        <v>0</v>
      </c>
      <c r="O661" s="7">
        <f t="shared" ca="1" si="128"/>
        <v>29</v>
      </c>
      <c r="P661" s="19">
        <f t="shared" ca="1" si="129"/>
        <v>28.42</v>
      </c>
      <c r="Q661" s="7">
        <f t="shared" ca="1" si="130"/>
        <v>0</v>
      </c>
      <c r="R661" s="8">
        <f ca="1">VLOOKUP(M661,'Payment Method'!$A$8:$B$12,2,0)</f>
        <v>0.02</v>
      </c>
      <c r="S661" s="9">
        <f t="shared" ca="1" si="120"/>
        <v>0.57999999999999829</v>
      </c>
      <c r="T661" s="8">
        <v>0.01</v>
      </c>
      <c r="U661" s="9">
        <f t="shared" ca="1" si="121"/>
        <v>0.28419999999999845</v>
      </c>
      <c r="V661" s="7">
        <f t="shared" ca="1" si="122"/>
        <v>0</v>
      </c>
      <c r="W661" s="7">
        <f t="shared" ca="1" si="123"/>
        <v>28.135800000000003</v>
      </c>
      <c r="X661" s="5" t="str">
        <f t="shared" ca="1" si="131"/>
        <v>Tiktok</v>
      </c>
      <c r="Y661" s="78" t="str">
        <f>IF(COUNTIF($C$1:C660,B660)=1,10,"")</f>
        <v/>
      </c>
    </row>
    <row r="662" spans="1:25" x14ac:dyDescent="0.3">
      <c r="A662" s="75">
        <v>661</v>
      </c>
      <c r="B662" s="6">
        <v>46053</v>
      </c>
      <c r="C662" s="6">
        <v>46057</v>
      </c>
      <c r="D662" s="17" t="str">
        <f t="shared" si="124"/>
        <v>February</v>
      </c>
      <c r="E662" s="5" t="str">
        <f t="shared" ca="1" si="125"/>
        <v>STU-46</v>
      </c>
      <c r="F662" s="5" t="str">
        <f ca="1">IF(COUNTIF($E$2:E662,E662)=1,"New Customer","Returning Customer")</f>
        <v>New Customer</v>
      </c>
      <c r="G662" s="5" t="str">
        <f t="shared" ca="1" si="126"/>
        <v>Not specified</v>
      </c>
      <c r="H662" s="5" t="s">
        <v>142</v>
      </c>
      <c r="I662" s="5" t="str" cm="1">
        <f t="array" aca="1" ref="I662" ca="1">INDEX(Courses!$B$9:$B$16,RANDBETWEEN(1,8))</f>
        <v>Power BI</v>
      </c>
      <c r="J662" s="5" t="str">
        <f ca="1">VLOOKUP(I662,Courses!$B$9:$C$16,2,0)</f>
        <v>Data Analytics</v>
      </c>
      <c r="K662" s="7">
        <f ca="1">VLOOKUP(I662,Courses!$B$9:$D$16,3,0)</f>
        <v>59</v>
      </c>
      <c r="L662" s="5" t="str">
        <f t="shared" ca="1" si="127"/>
        <v>Paid</v>
      </c>
      <c r="M662" s="8" t="str" cm="1">
        <f t="array" aca="1" ref="M662" ca="1">INDEX('Payment Method'!$A$8:$A$12,RANDBETWEEN(1,5))</f>
        <v>Mastercard Credit</v>
      </c>
      <c r="N662" s="7">
        <f>IFERROR(SUMIF(Holiday!$A$8:$A$11,B662,Holiday!$C$8:$C$11),0)</f>
        <v>0</v>
      </c>
      <c r="O662" s="7">
        <f t="shared" ca="1" si="128"/>
        <v>59</v>
      </c>
      <c r="P662" s="19">
        <f t="shared" ca="1" si="129"/>
        <v>56.935000000000002</v>
      </c>
      <c r="Q662" s="7">
        <f t="shared" ca="1" si="130"/>
        <v>0</v>
      </c>
      <c r="R662" s="8">
        <f ca="1">VLOOKUP(M662,'Payment Method'!$A$8:$B$12,2,0)</f>
        <v>3.5000000000000003E-2</v>
      </c>
      <c r="S662" s="9">
        <f t="shared" ca="1" si="120"/>
        <v>2.0649999999999977</v>
      </c>
      <c r="T662" s="8">
        <v>0.01</v>
      </c>
      <c r="U662" s="9">
        <f t="shared" ca="1" si="121"/>
        <v>0.56935000000000002</v>
      </c>
      <c r="V662" s="7">
        <f t="shared" ca="1" si="122"/>
        <v>0</v>
      </c>
      <c r="W662" s="7">
        <f t="shared" ca="1" si="123"/>
        <v>56.365650000000002</v>
      </c>
      <c r="X662" s="5" t="str">
        <f t="shared" ca="1" si="131"/>
        <v>Facebook</v>
      </c>
      <c r="Y662" s="78" t="str">
        <f>IF(COUNTIF($C$1:C661,B661)=1,10,"")</f>
        <v/>
      </c>
    </row>
    <row r="663" spans="1:25" x14ac:dyDescent="0.3">
      <c r="A663" s="76">
        <v>662</v>
      </c>
      <c r="B663" s="6">
        <v>46074</v>
      </c>
      <c r="C663" s="6">
        <v>46079</v>
      </c>
      <c r="D663" s="17" t="str">
        <f t="shared" si="124"/>
        <v>February</v>
      </c>
      <c r="E663" s="5" t="str">
        <f t="shared" ca="1" si="125"/>
        <v>STU-690</v>
      </c>
      <c r="F663" s="5" t="str">
        <f ca="1">IF(COUNTIF($E$2:E663,E663)=1,"New Customer","Returning Customer")</f>
        <v>Returning Customer</v>
      </c>
      <c r="G663" s="5" t="str">
        <f t="shared" ca="1" si="126"/>
        <v>Female</v>
      </c>
      <c r="H663" s="5" t="s">
        <v>136</v>
      </c>
      <c r="I663" s="5" t="str" cm="1">
        <f t="array" aca="1" ref="I663" ca="1">INDEX(Courses!$B$9:$B$16,RANDBETWEEN(1,8))</f>
        <v>SQL</v>
      </c>
      <c r="J663" s="5" t="str">
        <f ca="1">VLOOKUP(I663,Courses!$B$9:$C$16,2,0)</f>
        <v>Data Analytics</v>
      </c>
      <c r="K663" s="7">
        <f ca="1">VLOOKUP(I663,Courses!$B$9:$D$16,3,0)</f>
        <v>99</v>
      </c>
      <c r="L663" s="5" t="str">
        <f t="shared" ca="1" si="127"/>
        <v>Paid</v>
      </c>
      <c r="M663" s="8" t="str" cm="1">
        <f t="array" aca="1" ref="M663" ca="1">INDEX('Payment Method'!$A$8:$A$12,RANDBETWEEN(1,5))</f>
        <v>Visa Debit</v>
      </c>
      <c r="N663" s="7">
        <f>IFERROR(SUMIF(Holiday!$A$8:$A$11,B663,Holiday!$C$8:$C$11),0)</f>
        <v>0</v>
      </c>
      <c r="O663" s="7">
        <f t="shared" ca="1" si="128"/>
        <v>99</v>
      </c>
      <c r="P663" s="19">
        <f t="shared" ca="1" si="129"/>
        <v>97.02</v>
      </c>
      <c r="Q663" s="7">
        <f t="shared" ca="1" si="130"/>
        <v>0</v>
      </c>
      <c r="R663" s="8">
        <f ca="1">VLOOKUP(M663,'Payment Method'!$A$8:$B$12,2,0)</f>
        <v>0.02</v>
      </c>
      <c r="S663" s="9">
        <f t="shared" ca="1" si="120"/>
        <v>1.980000000000004</v>
      </c>
      <c r="T663" s="8">
        <v>0.01</v>
      </c>
      <c r="U663" s="9">
        <f t="shared" ca="1" si="121"/>
        <v>0.9702000000000055</v>
      </c>
      <c r="V663" s="7">
        <f t="shared" ca="1" si="122"/>
        <v>0</v>
      </c>
      <c r="W663" s="7">
        <f t="shared" ca="1" si="123"/>
        <v>96.049799999999991</v>
      </c>
      <c r="X663" s="5" t="str">
        <f t="shared" ca="1" si="131"/>
        <v>Instagram</v>
      </c>
      <c r="Y663" s="78" t="str">
        <f>IF(COUNTIF($C$1:C662,B662)=1,10,"")</f>
        <v/>
      </c>
    </row>
    <row r="664" spans="1:25" x14ac:dyDescent="0.3">
      <c r="A664" s="75">
        <v>663</v>
      </c>
      <c r="B664" s="6">
        <v>46074</v>
      </c>
      <c r="C664" s="6">
        <v>46079</v>
      </c>
      <c r="D664" s="17" t="str">
        <f t="shared" si="124"/>
        <v>February</v>
      </c>
      <c r="E664" s="5" t="str">
        <f t="shared" ca="1" si="125"/>
        <v>STU-346</v>
      </c>
      <c r="F664" s="5" t="str">
        <f ca="1">IF(COUNTIF($E$2:E664,E664)=1,"New Customer","Returning Customer")</f>
        <v>Returning Customer</v>
      </c>
      <c r="G664" s="5" t="str">
        <f t="shared" ca="1" si="126"/>
        <v>Female</v>
      </c>
      <c r="H664" s="5" t="s">
        <v>138</v>
      </c>
      <c r="I664" s="5" t="str" cm="1">
        <f t="array" aca="1" ref="I664" ca="1">INDEX(Courses!$B$9:$B$16,RANDBETWEEN(1,8))</f>
        <v>Adolescent Psychology</v>
      </c>
      <c r="J664" s="5" t="str">
        <f ca="1">VLOOKUP(I664,Courses!$B$9:$C$16,2,0)</f>
        <v>Psychology</v>
      </c>
      <c r="K664" s="7">
        <f ca="1">VLOOKUP(I664,Courses!$B$9:$D$16,3,0)</f>
        <v>29</v>
      </c>
      <c r="L664" s="5" t="str">
        <f t="shared" ca="1" si="127"/>
        <v>Refunded</v>
      </c>
      <c r="M664" s="8" t="str" cm="1">
        <f t="array" aca="1" ref="M664" ca="1">INDEX('Payment Method'!$A$8:$A$12,RANDBETWEEN(1,5))</f>
        <v>Mastercard Credit</v>
      </c>
      <c r="N664" s="7">
        <f>IFERROR(SUMIF(Holiday!$A$8:$A$11,B664,Holiday!$C$8:$C$11),0)</f>
        <v>0</v>
      </c>
      <c r="O664" s="7">
        <f t="shared" ca="1" si="128"/>
        <v>29</v>
      </c>
      <c r="P664" s="19">
        <f t="shared" ca="1" si="129"/>
        <v>27.984999999999999</v>
      </c>
      <c r="Q664" s="7">
        <f t="shared" ca="1" si="130"/>
        <v>0</v>
      </c>
      <c r="R664" s="8">
        <f ca="1">VLOOKUP(M664,'Payment Method'!$A$8:$B$12,2,0)</f>
        <v>3.5000000000000003E-2</v>
      </c>
      <c r="S664" s="9">
        <f t="shared" ca="1" si="120"/>
        <v>1.0150000000000006</v>
      </c>
      <c r="T664" s="8">
        <v>0.01</v>
      </c>
      <c r="U664" s="9">
        <f t="shared" ca="1" si="121"/>
        <v>0.27984999999999971</v>
      </c>
      <c r="V664" s="7">
        <f t="shared" ca="1" si="122"/>
        <v>27.70515</v>
      </c>
      <c r="W664" s="7">
        <f t="shared" ca="1" si="123"/>
        <v>0</v>
      </c>
      <c r="X664" s="5" t="str">
        <f t="shared" ca="1" si="131"/>
        <v>Instagram</v>
      </c>
      <c r="Y664" s="78" t="str">
        <f>IF(COUNTIF($C$1:C663,B663)=1,10,"")</f>
        <v/>
      </c>
    </row>
    <row r="665" spans="1:25" x14ac:dyDescent="0.3">
      <c r="A665" s="76">
        <v>664</v>
      </c>
      <c r="B665" s="6">
        <v>46150</v>
      </c>
      <c r="C665" s="6">
        <v>46150</v>
      </c>
      <c r="D665" s="17" t="str">
        <f t="shared" si="124"/>
        <v>May</v>
      </c>
      <c r="E665" s="5" t="str">
        <f t="shared" ca="1" si="125"/>
        <v>STU-230</v>
      </c>
      <c r="F665" s="5" t="str">
        <f ca="1">IF(COUNTIF($E$2:E665,E665)=1,"New Customer","Returning Customer")</f>
        <v>New Customer</v>
      </c>
      <c r="G665" s="5" t="str">
        <f t="shared" ca="1" si="126"/>
        <v>Not specified</v>
      </c>
      <c r="H665" s="5" t="s">
        <v>135</v>
      </c>
      <c r="I665" s="5" t="str" cm="1">
        <f t="array" aca="1" ref="I665" ca="1">INDEX(Courses!$B$9:$B$16,RANDBETWEEN(1,8))</f>
        <v>Tax Code</v>
      </c>
      <c r="J665" s="5" t="str">
        <f ca="1">VLOOKUP(I665,Courses!$B$9:$C$16,2,0)</f>
        <v>Finance &amp; Taxation</v>
      </c>
      <c r="K665" s="7">
        <f ca="1">VLOOKUP(I665,Courses!$B$9:$D$16,3,0)</f>
        <v>59</v>
      </c>
      <c r="L665" s="5" t="str">
        <f t="shared" ca="1" si="127"/>
        <v>Paid</v>
      </c>
      <c r="M665" s="8" t="str" cm="1">
        <f t="array" aca="1" ref="M665" ca="1">INDEX('Payment Method'!$A$8:$A$12,RANDBETWEEN(1,5))</f>
        <v>Bank Transfer</v>
      </c>
      <c r="N665" s="7">
        <f>IFERROR(SUMIF(Holiday!$A$8:$A$11,B665,Holiday!$C$8:$C$11),0)</f>
        <v>0</v>
      </c>
      <c r="O665" s="7">
        <f t="shared" ca="1" si="128"/>
        <v>59</v>
      </c>
      <c r="P665" s="19">
        <f t="shared" ca="1" si="129"/>
        <v>59</v>
      </c>
      <c r="Q665" s="7">
        <f t="shared" ca="1" si="130"/>
        <v>0</v>
      </c>
      <c r="R665" s="8">
        <f ca="1">VLOOKUP(M665,'Payment Method'!$A$8:$B$12,2,0)</f>
        <v>0</v>
      </c>
      <c r="S665" s="9">
        <f t="shared" ca="1" si="120"/>
        <v>0</v>
      </c>
      <c r="T665" s="8">
        <v>0.01</v>
      </c>
      <c r="U665" s="9">
        <f t="shared" ca="1" si="121"/>
        <v>0.59000000000000341</v>
      </c>
      <c r="V665" s="7">
        <f t="shared" ca="1" si="122"/>
        <v>0</v>
      </c>
      <c r="W665" s="7">
        <f t="shared" ca="1" si="123"/>
        <v>58.41</v>
      </c>
      <c r="X665" s="5" t="str">
        <f t="shared" ca="1" si="131"/>
        <v>Instagram</v>
      </c>
      <c r="Y665" s="78" t="str">
        <f>IF(COUNTIF($C$1:C664,B664)=1,10,"")</f>
        <v/>
      </c>
    </row>
    <row r="666" spans="1:25" x14ac:dyDescent="0.3">
      <c r="A666" s="75">
        <v>665</v>
      </c>
      <c r="B666" s="6">
        <v>46080</v>
      </c>
      <c r="C666" s="6">
        <v>46083</v>
      </c>
      <c r="D666" s="17" t="str">
        <f t="shared" si="124"/>
        <v>March</v>
      </c>
      <c r="E666" s="5" t="str">
        <f t="shared" ca="1" si="125"/>
        <v>STU-848</v>
      </c>
      <c r="F666" s="5" t="str">
        <f ca="1">IF(COUNTIF($E$2:E666,E666)=1,"New Customer","Returning Customer")</f>
        <v>Returning Customer</v>
      </c>
      <c r="G666" s="5" t="str">
        <f t="shared" ca="1" si="126"/>
        <v>Female</v>
      </c>
      <c r="H666" s="5" t="s">
        <v>141</v>
      </c>
      <c r="I666" s="5" t="str" cm="1">
        <f t="array" aca="1" ref="I666" ca="1">INDEX(Courses!$B$9:$B$16,RANDBETWEEN(1,8))</f>
        <v>Complete Excel Course</v>
      </c>
      <c r="J666" s="5" t="str">
        <f ca="1">VLOOKUP(I666,Courses!$B$9:$C$16,2,0)</f>
        <v>Microsoft Office</v>
      </c>
      <c r="K666" s="7">
        <f ca="1">VLOOKUP(I666,Courses!$B$9:$D$16,3,0)</f>
        <v>59</v>
      </c>
      <c r="L666" s="5" t="str">
        <f t="shared" ca="1" si="127"/>
        <v>Paid</v>
      </c>
      <c r="M666" s="8" t="str" cm="1">
        <f t="array" aca="1" ref="M666" ca="1">INDEX('Payment Method'!$A$8:$A$12,RANDBETWEEN(1,5))</f>
        <v>Visa Debit</v>
      </c>
      <c r="N666" s="7">
        <f>IFERROR(SUMIF(Holiday!$A$8:$A$11,B666,Holiday!$C$8:$C$11),0)</f>
        <v>0</v>
      </c>
      <c r="O666" s="7">
        <f t="shared" ca="1" si="128"/>
        <v>59</v>
      </c>
      <c r="P666" s="19">
        <f t="shared" ca="1" si="129"/>
        <v>57.82</v>
      </c>
      <c r="Q666" s="7">
        <f t="shared" ca="1" si="130"/>
        <v>0</v>
      </c>
      <c r="R666" s="8">
        <f ca="1">VLOOKUP(M666,'Payment Method'!$A$8:$B$12,2,0)</f>
        <v>0.02</v>
      </c>
      <c r="S666" s="9">
        <f t="shared" ca="1" si="120"/>
        <v>1.1799999999999997</v>
      </c>
      <c r="T666" s="8">
        <v>0.01</v>
      </c>
      <c r="U666" s="9">
        <f t="shared" ca="1" si="121"/>
        <v>0.57820000000000249</v>
      </c>
      <c r="V666" s="7">
        <f t="shared" ca="1" si="122"/>
        <v>0</v>
      </c>
      <c r="W666" s="7">
        <f t="shared" ca="1" si="123"/>
        <v>57.241799999999998</v>
      </c>
      <c r="X666" s="5" t="str">
        <f t="shared" ca="1" si="131"/>
        <v>Instagram</v>
      </c>
      <c r="Y666" s="78" t="str">
        <f>IF(COUNTIF($C$1:C665,B665)=1,10,"")</f>
        <v/>
      </c>
    </row>
    <row r="667" spans="1:25" x14ac:dyDescent="0.3">
      <c r="A667" s="76">
        <v>666</v>
      </c>
      <c r="B667" s="6">
        <v>46176</v>
      </c>
      <c r="C667" s="6">
        <v>46180</v>
      </c>
      <c r="D667" s="17" t="str">
        <f t="shared" si="124"/>
        <v>June</v>
      </c>
      <c r="E667" s="5" t="str">
        <f t="shared" ca="1" si="125"/>
        <v>STU-976</v>
      </c>
      <c r="F667" s="5" t="str">
        <f ca="1">IF(COUNTIF($E$2:E667,E667)=1,"New Customer","Returning Customer")</f>
        <v>New Customer</v>
      </c>
      <c r="G667" s="5" t="str">
        <f t="shared" ca="1" si="126"/>
        <v>Female</v>
      </c>
      <c r="H667" s="5" t="s">
        <v>136</v>
      </c>
      <c r="I667" s="5" t="str" cm="1">
        <f t="array" aca="1" ref="I667" ca="1">INDEX(Courses!$B$9:$B$16,RANDBETWEEN(1,8))</f>
        <v>SQL</v>
      </c>
      <c r="J667" s="5" t="str">
        <f ca="1">VLOOKUP(I667,Courses!$B$9:$C$16,2,0)</f>
        <v>Data Analytics</v>
      </c>
      <c r="K667" s="7">
        <f ca="1">VLOOKUP(I667,Courses!$B$9:$D$16,3,0)</f>
        <v>99</v>
      </c>
      <c r="L667" s="5" t="str">
        <f t="shared" ca="1" si="127"/>
        <v>Paid</v>
      </c>
      <c r="M667" s="8" t="str" cm="1">
        <f t="array" aca="1" ref="M667" ca="1">INDEX('Payment Method'!$A$8:$A$12,RANDBETWEEN(1,5))</f>
        <v>Visa Credit</v>
      </c>
      <c r="N667" s="7">
        <f>IFERROR(SUMIF(Holiday!$A$8:$A$11,B667,Holiday!$C$8:$C$11),0)</f>
        <v>0</v>
      </c>
      <c r="O667" s="7">
        <f t="shared" ca="1" si="128"/>
        <v>99</v>
      </c>
      <c r="P667" s="19">
        <f t="shared" ca="1" si="129"/>
        <v>95.534999999999997</v>
      </c>
      <c r="Q667" s="7">
        <f t="shared" ca="1" si="130"/>
        <v>0</v>
      </c>
      <c r="R667" s="8">
        <f ca="1">VLOOKUP(M667,'Payment Method'!$A$8:$B$12,2,0)</f>
        <v>3.5000000000000003E-2</v>
      </c>
      <c r="S667" s="9">
        <f t="shared" ca="1" si="120"/>
        <v>3.4650000000000034</v>
      </c>
      <c r="T667" s="8">
        <v>0.01</v>
      </c>
      <c r="U667" s="9">
        <f t="shared" ca="1" si="121"/>
        <v>0.9553499999999957</v>
      </c>
      <c r="V667" s="7">
        <f t="shared" ca="1" si="122"/>
        <v>0</v>
      </c>
      <c r="W667" s="7">
        <f t="shared" ca="1" si="123"/>
        <v>94.579650000000001</v>
      </c>
      <c r="X667" s="5" t="str">
        <f t="shared" ca="1" si="131"/>
        <v>Facebook</v>
      </c>
      <c r="Y667" s="78">
        <f>IF(COUNTIF($C$1:C666,B666)=1,10,"")</f>
        <v>10</v>
      </c>
    </row>
    <row r="668" spans="1:25" x14ac:dyDescent="0.3">
      <c r="A668" s="75">
        <v>667</v>
      </c>
      <c r="B668" s="6">
        <v>46221</v>
      </c>
      <c r="C668" s="6">
        <v>46222</v>
      </c>
      <c r="D668" s="17" t="str">
        <f t="shared" si="124"/>
        <v>July</v>
      </c>
      <c r="E668" s="5" t="str">
        <f t="shared" ca="1" si="125"/>
        <v>STU-504</v>
      </c>
      <c r="F668" s="5" t="str">
        <f ca="1">IF(COUNTIF($E$2:E668,E668)=1,"New Customer","Returning Customer")</f>
        <v>New Customer</v>
      </c>
      <c r="G668" s="5" t="str">
        <f t="shared" ca="1" si="126"/>
        <v>Female</v>
      </c>
      <c r="H668" s="5" t="s">
        <v>136</v>
      </c>
      <c r="I668" s="5" t="str" cm="1">
        <f t="array" aca="1" ref="I668" ca="1">INDEX(Courses!$B$9:$B$16,RANDBETWEEN(1,8))</f>
        <v>Microsoft Word</v>
      </c>
      <c r="J668" s="5" t="str">
        <f ca="1">VLOOKUP(I668,Courses!$B$9:$C$16,2,0)</f>
        <v>Microsoft Office</v>
      </c>
      <c r="K668" s="7">
        <f ca="1">VLOOKUP(I668,Courses!$B$9:$D$16,3,0)</f>
        <v>29</v>
      </c>
      <c r="L668" s="5" t="str">
        <f t="shared" ca="1" si="127"/>
        <v>Refunded</v>
      </c>
      <c r="M668" s="8" t="str" cm="1">
        <f t="array" aca="1" ref="M668" ca="1">INDEX('Payment Method'!$A$8:$A$12,RANDBETWEEN(1,5))</f>
        <v>Visa Credit</v>
      </c>
      <c r="N668" s="7">
        <f>IFERROR(SUMIF(Holiday!$A$8:$A$11,B668,Holiday!$C$8:$C$11),0)</f>
        <v>0</v>
      </c>
      <c r="O668" s="7">
        <f t="shared" ca="1" si="128"/>
        <v>29</v>
      </c>
      <c r="P668" s="19">
        <f t="shared" ca="1" si="129"/>
        <v>27.984999999999999</v>
      </c>
      <c r="Q668" s="7">
        <f t="shared" ca="1" si="130"/>
        <v>0</v>
      </c>
      <c r="R668" s="8">
        <f ca="1">VLOOKUP(M668,'Payment Method'!$A$8:$B$12,2,0)</f>
        <v>3.5000000000000003E-2</v>
      </c>
      <c r="S668" s="9">
        <f t="shared" ca="1" si="120"/>
        <v>1.0150000000000006</v>
      </c>
      <c r="T668" s="8">
        <v>0.01</v>
      </c>
      <c r="U668" s="9">
        <f t="shared" ca="1" si="121"/>
        <v>0.27984999999999971</v>
      </c>
      <c r="V668" s="7">
        <f t="shared" ca="1" si="122"/>
        <v>27.70515</v>
      </c>
      <c r="W668" s="7">
        <f t="shared" ca="1" si="123"/>
        <v>0</v>
      </c>
      <c r="X668" s="5" t="str">
        <f t="shared" ca="1" si="131"/>
        <v>Instagram</v>
      </c>
      <c r="Y668" s="78" t="str">
        <f>IF(COUNTIF($C$1:C667,B667)=1,10,"")</f>
        <v/>
      </c>
    </row>
    <row r="669" spans="1:25" x14ac:dyDescent="0.3">
      <c r="A669" s="76">
        <v>668</v>
      </c>
      <c r="B669" s="6">
        <v>46028</v>
      </c>
      <c r="C669" s="6">
        <v>46032</v>
      </c>
      <c r="D669" s="17" t="str">
        <f t="shared" si="124"/>
        <v>January</v>
      </c>
      <c r="E669" s="5" t="str">
        <f t="shared" ca="1" si="125"/>
        <v>STU-608</v>
      </c>
      <c r="F669" s="5" t="str">
        <f ca="1">IF(COUNTIF($E$2:E669,E669)=1,"New Customer","Returning Customer")</f>
        <v>New Customer</v>
      </c>
      <c r="G669" s="5" t="str">
        <f t="shared" ca="1" si="126"/>
        <v>Male</v>
      </c>
      <c r="H669" s="5" t="s">
        <v>135</v>
      </c>
      <c r="I669" s="5" t="str" cm="1">
        <f t="array" aca="1" ref="I669" ca="1">INDEX(Courses!$B$9:$B$16,RANDBETWEEN(1,8))</f>
        <v>Complete Excel Course</v>
      </c>
      <c r="J669" s="5" t="str">
        <f ca="1">VLOOKUP(I669,Courses!$B$9:$C$16,2,0)</f>
        <v>Microsoft Office</v>
      </c>
      <c r="K669" s="7">
        <f ca="1">VLOOKUP(I669,Courses!$B$9:$D$16,3,0)</f>
        <v>59</v>
      </c>
      <c r="L669" s="5" t="str">
        <f t="shared" ca="1" si="127"/>
        <v>Paid</v>
      </c>
      <c r="M669" s="8" t="str" cm="1">
        <f t="array" aca="1" ref="M669" ca="1">INDEX('Payment Method'!$A$8:$A$12,RANDBETWEEN(1,5))</f>
        <v>Visa Credit</v>
      </c>
      <c r="N669" s="7">
        <f>IFERROR(SUMIF(Holiday!$A$8:$A$11,B669,Holiday!$C$8:$C$11),0)</f>
        <v>0</v>
      </c>
      <c r="O669" s="7">
        <f t="shared" ca="1" si="128"/>
        <v>59</v>
      </c>
      <c r="P669" s="19">
        <f t="shared" ca="1" si="129"/>
        <v>56.935000000000002</v>
      </c>
      <c r="Q669" s="7">
        <f t="shared" ca="1" si="130"/>
        <v>0</v>
      </c>
      <c r="R669" s="8">
        <f ca="1">VLOOKUP(M669,'Payment Method'!$A$8:$B$12,2,0)</f>
        <v>3.5000000000000003E-2</v>
      </c>
      <c r="S669" s="9">
        <f t="shared" ca="1" si="120"/>
        <v>2.0649999999999977</v>
      </c>
      <c r="T669" s="8">
        <v>0.01</v>
      </c>
      <c r="U669" s="9">
        <f t="shared" ca="1" si="121"/>
        <v>0.56935000000000002</v>
      </c>
      <c r="V669" s="7">
        <f t="shared" ca="1" si="122"/>
        <v>0</v>
      </c>
      <c r="W669" s="7">
        <f t="shared" ca="1" si="123"/>
        <v>56.365650000000002</v>
      </c>
      <c r="X669" s="5" t="str">
        <f t="shared" ca="1" si="131"/>
        <v>Instagram</v>
      </c>
      <c r="Y669" s="78">
        <f>IF(COUNTIF($C$1:C668,B668)=1,10,"")</f>
        <v>10</v>
      </c>
    </row>
    <row r="670" spans="1:25" x14ac:dyDescent="0.3">
      <c r="A670" s="75">
        <v>669</v>
      </c>
      <c r="B670" s="6">
        <v>46153</v>
      </c>
      <c r="C670" s="6">
        <v>46158</v>
      </c>
      <c r="D670" s="17" t="str">
        <f t="shared" si="124"/>
        <v>May</v>
      </c>
      <c r="E670" s="5" t="str">
        <f t="shared" ca="1" si="125"/>
        <v>STU-4</v>
      </c>
      <c r="F670" s="5" t="str">
        <f ca="1">IF(COUNTIF($E$2:E670,E670)=1,"New Customer","Returning Customer")</f>
        <v>New Customer</v>
      </c>
      <c r="G670" s="5" t="str">
        <f t="shared" ca="1" si="126"/>
        <v>Female</v>
      </c>
      <c r="H670" s="5" t="s">
        <v>136</v>
      </c>
      <c r="I670" s="5" t="str" cm="1">
        <f t="array" aca="1" ref="I670" ca="1">INDEX(Courses!$B$9:$B$16,RANDBETWEEN(1,8))</f>
        <v>Microsoft Word</v>
      </c>
      <c r="J670" s="5" t="str">
        <f ca="1">VLOOKUP(I670,Courses!$B$9:$C$16,2,0)</f>
        <v>Microsoft Office</v>
      </c>
      <c r="K670" s="7">
        <f ca="1">VLOOKUP(I670,Courses!$B$9:$D$16,3,0)</f>
        <v>29</v>
      </c>
      <c r="L670" s="5" t="str">
        <f t="shared" ca="1" si="127"/>
        <v>Pending</v>
      </c>
      <c r="M670" s="8" t="str" cm="1">
        <f t="array" aca="1" ref="M670" ca="1">INDEX('Payment Method'!$A$8:$A$12,RANDBETWEEN(1,5))</f>
        <v>Bank Transfer</v>
      </c>
      <c r="N670" s="7">
        <f>IFERROR(SUMIF(Holiday!$A$8:$A$11,B670,Holiday!$C$8:$C$11),0)</f>
        <v>0</v>
      </c>
      <c r="O670" s="7">
        <f t="shared" ca="1" si="128"/>
        <v>29</v>
      </c>
      <c r="P670" s="19">
        <f t="shared" ca="1" si="129"/>
        <v>29</v>
      </c>
      <c r="Q670" s="7">
        <f t="shared" ca="1" si="130"/>
        <v>28.71</v>
      </c>
      <c r="R670" s="8">
        <f ca="1">VLOOKUP(M670,'Payment Method'!$A$8:$B$12,2,0)</f>
        <v>0</v>
      </c>
      <c r="S670" s="9">
        <f t="shared" ca="1" si="120"/>
        <v>0</v>
      </c>
      <c r="T670" s="8">
        <v>0.01</v>
      </c>
      <c r="U670" s="9">
        <f t="shared" ca="1" si="121"/>
        <v>0.28999999999999915</v>
      </c>
      <c r="V670" s="7">
        <f t="shared" ca="1" si="122"/>
        <v>0</v>
      </c>
      <c r="W670" s="7">
        <f t="shared" ca="1" si="123"/>
        <v>0</v>
      </c>
      <c r="X670" s="5" t="str">
        <f t="shared" ca="1" si="131"/>
        <v>Instagram</v>
      </c>
      <c r="Y670" s="78" t="str">
        <f>IF(COUNTIF($C$1:C669,B669)=1,10,"")</f>
        <v/>
      </c>
    </row>
    <row r="671" spans="1:25" x14ac:dyDescent="0.3">
      <c r="A671" s="76">
        <v>670</v>
      </c>
      <c r="B671" s="6">
        <v>46160</v>
      </c>
      <c r="C671" s="6">
        <v>46161</v>
      </c>
      <c r="D671" s="17" t="str">
        <f t="shared" si="124"/>
        <v>May</v>
      </c>
      <c r="E671" s="5" t="str">
        <f t="shared" ca="1" si="125"/>
        <v>STU-686</v>
      </c>
      <c r="F671" s="5" t="str">
        <f ca="1">IF(COUNTIF($E$2:E671,E671)=1,"New Customer","Returning Customer")</f>
        <v>Returning Customer</v>
      </c>
      <c r="G671" s="5" t="str">
        <f t="shared" ca="1" si="126"/>
        <v>Female</v>
      </c>
      <c r="H671" s="5" t="s">
        <v>135</v>
      </c>
      <c r="I671" s="5" t="str" cm="1">
        <f t="array" aca="1" ref="I671" ca="1">INDEX(Courses!$B$9:$B$16,RANDBETWEEN(1,8))</f>
        <v>Adolescent Psychology</v>
      </c>
      <c r="J671" s="5" t="str">
        <f ca="1">VLOOKUP(I671,Courses!$B$9:$C$16,2,0)</f>
        <v>Psychology</v>
      </c>
      <c r="K671" s="7">
        <f ca="1">VLOOKUP(I671,Courses!$B$9:$D$16,3,0)</f>
        <v>29</v>
      </c>
      <c r="L671" s="5" t="str">
        <f t="shared" ca="1" si="127"/>
        <v>Paid</v>
      </c>
      <c r="M671" s="8" t="str" cm="1">
        <f t="array" aca="1" ref="M671" ca="1">INDEX('Payment Method'!$A$8:$A$12,RANDBETWEEN(1,5))</f>
        <v>Bank Transfer</v>
      </c>
      <c r="N671" s="7">
        <f>IFERROR(SUMIF(Holiday!$A$8:$A$11,B671,Holiday!$C$8:$C$11),0)</f>
        <v>0</v>
      </c>
      <c r="O671" s="7">
        <f t="shared" ca="1" si="128"/>
        <v>29</v>
      </c>
      <c r="P671" s="19">
        <f t="shared" ca="1" si="129"/>
        <v>29</v>
      </c>
      <c r="Q671" s="7">
        <f t="shared" ca="1" si="130"/>
        <v>0</v>
      </c>
      <c r="R671" s="8">
        <f ca="1">VLOOKUP(M671,'Payment Method'!$A$8:$B$12,2,0)</f>
        <v>0</v>
      </c>
      <c r="S671" s="9">
        <f t="shared" ca="1" si="120"/>
        <v>0</v>
      </c>
      <c r="T671" s="8">
        <v>0.01</v>
      </c>
      <c r="U671" s="9">
        <f t="shared" ca="1" si="121"/>
        <v>0.28999999999999915</v>
      </c>
      <c r="V671" s="7">
        <f t="shared" ca="1" si="122"/>
        <v>0</v>
      </c>
      <c r="W671" s="7">
        <f t="shared" ca="1" si="123"/>
        <v>28.71</v>
      </c>
      <c r="X671" s="5" t="str">
        <f t="shared" ca="1" si="131"/>
        <v>Tiktok</v>
      </c>
      <c r="Y671" s="78" t="str">
        <f>IF(COUNTIF($C$1:C670,B670)=1,10,"")</f>
        <v/>
      </c>
    </row>
    <row r="672" spans="1:25" x14ac:dyDescent="0.3">
      <c r="A672" s="75">
        <v>671</v>
      </c>
      <c r="B672" s="6">
        <v>46186</v>
      </c>
      <c r="C672" s="6">
        <v>46186</v>
      </c>
      <c r="D672" s="17" t="str">
        <f t="shared" si="124"/>
        <v>June</v>
      </c>
      <c r="E672" s="5" t="str">
        <f t="shared" ca="1" si="125"/>
        <v>STU-110</v>
      </c>
      <c r="F672" s="5" t="str">
        <f ca="1">IF(COUNTIF($E$2:E672,E672)=1,"New Customer","Returning Customer")</f>
        <v>Returning Customer</v>
      </c>
      <c r="G672" s="5" t="str">
        <f t="shared" ca="1" si="126"/>
        <v>Male</v>
      </c>
      <c r="H672" s="5" t="s">
        <v>142</v>
      </c>
      <c r="I672" s="5" t="str" cm="1">
        <f t="array" aca="1" ref="I672" ca="1">INDEX(Courses!$B$9:$B$16,RANDBETWEEN(1,8))</f>
        <v>SQL</v>
      </c>
      <c r="J672" s="5" t="str">
        <f ca="1">VLOOKUP(I672,Courses!$B$9:$C$16,2,0)</f>
        <v>Data Analytics</v>
      </c>
      <c r="K672" s="7">
        <f ca="1">VLOOKUP(I672,Courses!$B$9:$D$16,3,0)</f>
        <v>99</v>
      </c>
      <c r="L672" s="5" t="str">
        <f t="shared" ca="1" si="127"/>
        <v>Paid</v>
      </c>
      <c r="M672" s="8" t="str" cm="1">
        <f t="array" aca="1" ref="M672" ca="1">INDEX('Payment Method'!$A$8:$A$12,RANDBETWEEN(1,5))</f>
        <v>Mastercard Credit</v>
      </c>
      <c r="N672" s="7">
        <f>IFERROR(SUMIF(Holiday!$A$8:$A$11,B672,Holiday!$C$8:$C$11),0)</f>
        <v>0</v>
      </c>
      <c r="O672" s="7">
        <f t="shared" ca="1" si="128"/>
        <v>99</v>
      </c>
      <c r="P672" s="19">
        <f t="shared" ca="1" si="129"/>
        <v>95.534999999999997</v>
      </c>
      <c r="Q672" s="7">
        <f t="shared" ca="1" si="130"/>
        <v>0</v>
      </c>
      <c r="R672" s="8">
        <f ca="1">VLOOKUP(M672,'Payment Method'!$A$8:$B$12,2,0)</f>
        <v>3.5000000000000003E-2</v>
      </c>
      <c r="S672" s="9">
        <f t="shared" ca="1" si="120"/>
        <v>3.4650000000000034</v>
      </c>
      <c r="T672" s="8">
        <v>0.01</v>
      </c>
      <c r="U672" s="9">
        <f t="shared" ca="1" si="121"/>
        <v>0.9553499999999957</v>
      </c>
      <c r="V672" s="7">
        <f t="shared" ca="1" si="122"/>
        <v>0</v>
      </c>
      <c r="W672" s="7">
        <f t="shared" ca="1" si="123"/>
        <v>94.579650000000001</v>
      </c>
      <c r="X672" s="5" t="str">
        <f t="shared" ca="1" si="131"/>
        <v>Instagram</v>
      </c>
      <c r="Y672" s="78">
        <f>IF(COUNTIF($C$1:C671,B671)=1,10,"")</f>
        <v>10</v>
      </c>
    </row>
    <row r="673" spans="1:25" x14ac:dyDescent="0.3">
      <c r="A673" s="76">
        <v>672</v>
      </c>
      <c r="B673" s="6">
        <v>46081</v>
      </c>
      <c r="C673" s="6">
        <v>46086</v>
      </c>
      <c r="D673" s="17" t="str">
        <f t="shared" si="124"/>
        <v>March</v>
      </c>
      <c r="E673" s="5" t="str">
        <f t="shared" ca="1" si="125"/>
        <v>STU-655</v>
      </c>
      <c r="F673" s="5" t="str">
        <f ca="1">IF(COUNTIF($E$2:E673,E673)=1,"New Customer","Returning Customer")</f>
        <v>Returning Customer</v>
      </c>
      <c r="G673" s="5" t="str">
        <f t="shared" ca="1" si="126"/>
        <v>Male</v>
      </c>
      <c r="H673" s="5" t="s">
        <v>142</v>
      </c>
      <c r="I673" s="5" t="str" cm="1">
        <f t="array" aca="1" ref="I673" ca="1">INDEX(Courses!$B$9:$B$16,RANDBETWEEN(1,8))</f>
        <v>PowerPoint</v>
      </c>
      <c r="J673" s="5" t="str">
        <f ca="1">VLOOKUP(I673,Courses!$B$9:$C$16,2,0)</f>
        <v>Microsoft Office</v>
      </c>
      <c r="K673" s="7">
        <f ca="1">VLOOKUP(I673,Courses!$B$9:$D$16,3,0)</f>
        <v>29</v>
      </c>
      <c r="L673" s="5" t="str">
        <f t="shared" ca="1" si="127"/>
        <v>Paid</v>
      </c>
      <c r="M673" s="8" t="str" cm="1">
        <f t="array" aca="1" ref="M673" ca="1">INDEX('Payment Method'!$A$8:$A$12,RANDBETWEEN(1,5))</f>
        <v>Mastercard Credit</v>
      </c>
      <c r="N673" s="7">
        <f>IFERROR(SUMIF(Holiday!$A$8:$A$11,B673,Holiday!$C$8:$C$11),0)</f>
        <v>0</v>
      </c>
      <c r="O673" s="7">
        <f t="shared" ca="1" si="128"/>
        <v>29</v>
      </c>
      <c r="P673" s="19">
        <f t="shared" ca="1" si="129"/>
        <v>27.984999999999999</v>
      </c>
      <c r="Q673" s="7">
        <f t="shared" ca="1" si="130"/>
        <v>0</v>
      </c>
      <c r="R673" s="8">
        <f ca="1">VLOOKUP(M673,'Payment Method'!$A$8:$B$12,2,0)</f>
        <v>3.5000000000000003E-2</v>
      </c>
      <c r="S673" s="9">
        <f t="shared" ca="1" si="120"/>
        <v>1.0150000000000006</v>
      </c>
      <c r="T673" s="8">
        <v>0.01</v>
      </c>
      <c r="U673" s="9">
        <f t="shared" ca="1" si="121"/>
        <v>0.27984999999999971</v>
      </c>
      <c r="V673" s="7">
        <f t="shared" ca="1" si="122"/>
        <v>0</v>
      </c>
      <c r="W673" s="7">
        <f t="shared" ca="1" si="123"/>
        <v>27.70515</v>
      </c>
      <c r="X673" s="5" t="str">
        <f t="shared" ca="1" si="131"/>
        <v>Instagram</v>
      </c>
      <c r="Y673" s="78" t="str">
        <f>IF(COUNTIF($C$1:C672,B672)=1,10,"")</f>
        <v/>
      </c>
    </row>
    <row r="674" spans="1:25" x14ac:dyDescent="0.3">
      <c r="A674" s="75">
        <v>673</v>
      </c>
      <c r="B674" s="6">
        <v>46043</v>
      </c>
      <c r="C674" s="6">
        <v>46043</v>
      </c>
      <c r="D674" s="17" t="str">
        <f t="shared" si="124"/>
        <v>January</v>
      </c>
      <c r="E674" s="5" t="str">
        <f t="shared" ca="1" si="125"/>
        <v>STU-692</v>
      </c>
      <c r="F674" s="5" t="str">
        <f ca="1">IF(COUNTIF($E$2:E674,E674)=1,"New Customer","Returning Customer")</f>
        <v>New Customer</v>
      </c>
      <c r="G674" s="5" t="str">
        <f t="shared" ca="1" si="126"/>
        <v>Female</v>
      </c>
      <c r="H674" s="5" t="s">
        <v>135</v>
      </c>
      <c r="I674" s="5" t="str" cm="1">
        <f t="array" aca="1" ref="I674" ca="1">INDEX(Courses!$B$9:$B$16,RANDBETWEEN(1,8))</f>
        <v>SQL</v>
      </c>
      <c r="J674" s="5" t="str">
        <f ca="1">VLOOKUP(I674,Courses!$B$9:$C$16,2,0)</f>
        <v>Data Analytics</v>
      </c>
      <c r="K674" s="7">
        <f ca="1">VLOOKUP(I674,Courses!$B$9:$D$16,3,0)</f>
        <v>99</v>
      </c>
      <c r="L674" s="5" t="str">
        <f t="shared" ca="1" si="127"/>
        <v>Pending</v>
      </c>
      <c r="M674" s="8" t="str" cm="1">
        <f t="array" aca="1" ref="M674" ca="1">INDEX('Payment Method'!$A$8:$A$12,RANDBETWEEN(1,5))</f>
        <v>Visa Debit</v>
      </c>
      <c r="N674" s="7">
        <f>IFERROR(SUMIF(Holiday!$A$8:$A$11,B674,Holiday!$C$8:$C$11),0)</f>
        <v>0</v>
      </c>
      <c r="O674" s="7">
        <f t="shared" ca="1" si="128"/>
        <v>99</v>
      </c>
      <c r="P674" s="19">
        <f t="shared" ca="1" si="129"/>
        <v>97.02</v>
      </c>
      <c r="Q674" s="7">
        <f t="shared" ca="1" si="130"/>
        <v>96.049799999999991</v>
      </c>
      <c r="R674" s="8">
        <f ca="1">VLOOKUP(M674,'Payment Method'!$A$8:$B$12,2,0)</f>
        <v>0.02</v>
      </c>
      <c r="S674" s="9">
        <f t="shared" ca="1" si="120"/>
        <v>1.980000000000004</v>
      </c>
      <c r="T674" s="8">
        <v>0.01</v>
      </c>
      <c r="U674" s="9">
        <f t="shared" ca="1" si="121"/>
        <v>0.9702000000000055</v>
      </c>
      <c r="V674" s="7">
        <f t="shared" ca="1" si="122"/>
        <v>0</v>
      </c>
      <c r="W674" s="7">
        <f t="shared" ca="1" si="123"/>
        <v>0</v>
      </c>
      <c r="X674" s="5" t="str">
        <f t="shared" ca="1" si="131"/>
        <v>Tiktok</v>
      </c>
      <c r="Y674" s="78" t="str">
        <f>IF(COUNTIF($C$1:C673,B673)=1,10,"")</f>
        <v/>
      </c>
    </row>
    <row r="675" spans="1:25" x14ac:dyDescent="0.3">
      <c r="A675" s="76">
        <v>674</v>
      </c>
      <c r="B675" s="6">
        <v>46040</v>
      </c>
      <c r="C675" s="6">
        <v>46040</v>
      </c>
      <c r="D675" s="17" t="str">
        <f t="shared" si="124"/>
        <v>January</v>
      </c>
      <c r="E675" s="5" t="str">
        <f t="shared" ca="1" si="125"/>
        <v>STU-699</v>
      </c>
      <c r="F675" s="5" t="str">
        <f ca="1">IF(COUNTIF($E$2:E675,E675)=1,"New Customer","Returning Customer")</f>
        <v>New Customer</v>
      </c>
      <c r="G675" s="5" t="str">
        <f t="shared" ca="1" si="126"/>
        <v>Male</v>
      </c>
      <c r="H675" s="5" t="s">
        <v>142</v>
      </c>
      <c r="I675" s="5" t="str" cm="1">
        <f t="array" aca="1" ref="I675" ca="1">INDEX(Courses!$B$9:$B$16,RANDBETWEEN(1,8))</f>
        <v>Complete Excel Course</v>
      </c>
      <c r="J675" s="5" t="str">
        <f ca="1">VLOOKUP(I675,Courses!$B$9:$C$16,2,0)</f>
        <v>Microsoft Office</v>
      </c>
      <c r="K675" s="7">
        <f ca="1">VLOOKUP(I675,Courses!$B$9:$D$16,3,0)</f>
        <v>59</v>
      </c>
      <c r="L675" s="5" t="str">
        <f t="shared" ca="1" si="127"/>
        <v>Pending</v>
      </c>
      <c r="M675" s="8" t="str" cm="1">
        <f t="array" aca="1" ref="M675" ca="1">INDEX('Payment Method'!$A$8:$A$12,RANDBETWEEN(1,5))</f>
        <v>Visa Debit</v>
      </c>
      <c r="N675" s="7">
        <f>IFERROR(SUMIF(Holiday!$A$8:$A$11,B675,Holiday!$C$8:$C$11),0)</f>
        <v>0</v>
      </c>
      <c r="O675" s="7">
        <f t="shared" ca="1" si="128"/>
        <v>59</v>
      </c>
      <c r="P675" s="19">
        <f t="shared" ca="1" si="129"/>
        <v>57.82</v>
      </c>
      <c r="Q675" s="7">
        <f t="shared" ca="1" si="130"/>
        <v>57.241799999999998</v>
      </c>
      <c r="R675" s="8">
        <f ca="1">VLOOKUP(M675,'Payment Method'!$A$8:$B$12,2,0)</f>
        <v>0.02</v>
      </c>
      <c r="S675" s="9">
        <f t="shared" ca="1" si="120"/>
        <v>1.1799999999999997</v>
      </c>
      <c r="T675" s="8">
        <v>0.01</v>
      </c>
      <c r="U675" s="9">
        <f t="shared" ca="1" si="121"/>
        <v>0.57820000000000249</v>
      </c>
      <c r="V675" s="7">
        <f t="shared" ca="1" si="122"/>
        <v>0</v>
      </c>
      <c r="W675" s="7">
        <f t="shared" ca="1" si="123"/>
        <v>0</v>
      </c>
      <c r="X675" s="5" t="str">
        <f t="shared" ca="1" si="131"/>
        <v>Facebook</v>
      </c>
      <c r="Y675" s="78" t="str">
        <f>IF(COUNTIF($C$1:C674,B674)=1,10,"")</f>
        <v/>
      </c>
    </row>
    <row r="676" spans="1:25" x14ac:dyDescent="0.3">
      <c r="A676" s="75">
        <v>675</v>
      </c>
      <c r="B676" s="6">
        <v>46064</v>
      </c>
      <c r="C676" s="6">
        <v>46066</v>
      </c>
      <c r="D676" s="17" t="str">
        <f t="shared" si="124"/>
        <v>February</v>
      </c>
      <c r="E676" s="5" t="str">
        <f t="shared" ca="1" si="125"/>
        <v>STU-312</v>
      </c>
      <c r="F676" s="5" t="str">
        <f ca="1">IF(COUNTIF($E$2:E676,E676)=1,"New Customer","Returning Customer")</f>
        <v>New Customer</v>
      </c>
      <c r="G676" s="5" t="str">
        <f t="shared" ca="1" si="126"/>
        <v>Female</v>
      </c>
      <c r="H676" s="5" t="s">
        <v>141</v>
      </c>
      <c r="I676" s="5" t="str" cm="1">
        <f t="array" aca="1" ref="I676" ca="1">INDEX(Courses!$B$9:$B$16,RANDBETWEEN(1,8))</f>
        <v>Adolescent Psychology</v>
      </c>
      <c r="J676" s="5" t="str">
        <f ca="1">VLOOKUP(I676,Courses!$B$9:$C$16,2,0)</f>
        <v>Psychology</v>
      </c>
      <c r="K676" s="7">
        <f ca="1">VLOOKUP(I676,Courses!$B$9:$D$16,3,0)</f>
        <v>29</v>
      </c>
      <c r="L676" s="5" t="str">
        <f t="shared" ca="1" si="127"/>
        <v>Paid</v>
      </c>
      <c r="M676" s="8" t="str" cm="1">
        <f t="array" aca="1" ref="M676" ca="1">INDEX('Payment Method'!$A$8:$A$12,RANDBETWEEN(1,5))</f>
        <v>Bank Transfer</v>
      </c>
      <c r="N676" s="7">
        <f>IFERROR(SUMIF(Holiday!$A$8:$A$11,B676,Holiday!$C$8:$C$11),0)</f>
        <v>0</v>
      </c>
      <c r="O676" s="7">
        <f t="shared" ca="1" si="128"/>
        <v>29</v>
      </c>
      <c r="P676" s="19">
        <f t="shared" ca="1" si="129"/>
        <v>29</v>
      </c>
      <c r="Q676" s="7">
        <f t="shared" ca="1" si="130"/>
        <v>0</v>
      </c>
      <c r="R676" s="8">
        <f ca="1">VLOOKUP(M676,'Payment Method'!$A$8:$B$12,2,0)</f>
        <v>0</v>
      </c>
      <c r="S676" s="9">
        <f t="shared" ca="1" si="120"/>
        <v>0</v>
      </c>
      <c r="T676" s="8">
        <v>0.01</v>
      </c>
      <c r="U676" s="9">
        <f t="shared" ca="1" si="121"/>
        <v>0.28999999999999915</v>
      </c>
      <c r="V676" s="7">
        <f t="shared" ca="1" si="122"/>
        <v>0</v>
      </c>
      <c r="W676" s="7">
        <f t="shared" ca="1" si="123"/>
        <v>28.71</v>
      </c>
      <c r="X676" s="5" t="str">
        <f t="shared" ca="1" si="131"/>
        <v>Facebook</v>
      </c>
      <c r="Y676" s="78" t="str">
        <f>IF(COUNTIF($C$1:C675,B675)=1,10,"")</f>
        <v/>
      </c>
    </row>
    <row r="677" spans="1:25" x14ac:dyDescent="0.3">
      <c r="A677" s="76">
        <v>676</v>
      </c>
      <c r="B677" s="6">
        <v>46156</v>
      </c>
      <c r="C677" s="6">
        <v>46158</v>
      </c>
      <c r="D677" s="17" t="str">
        <f t="shared" si="124"/>
        <v>May</v>
      </c>
      <c r="E677" s="5" t="str">
        <f t="shared" ca="1" si="125"/>
        <v>STU-778</v>
      </c>
      <c r="F677" s="5" t="str">
        <f ca="1">IF(COUNTIF($E$2:E677,E677)=1,"New Customer","Returning Customer")</f>
        <v>New Customer</v>
      </c>
      <c r="G677" s="5" t="str">
        <f t="shared" ca="1" si="126"/>
        <v>Male</v>
      </c>
      <c r="H677" s="5" t="s">
        <v>140</v>
      </c>
      <c r="I677" s="5" t="str" cm="1">
        <f t="array" aca="1" ref="I677" ca="1">INDEX(Courses!$B$9:$B$16,RANDBETWEEN(1,8))</f>
        <v>PowerPoint</v>
      </c>
      <c r="J677" s="5" t="str">
        <f ca="1">VLOOKUP(I677,Courses!$B$9:$C$16,2,0)</f>
        <v>Microsoft Office</v>
      </c>
      <c r="K677" s="7">
        <f ca="1">VLOOKUP(I677,Courses!$B$9:$D$16,3,0)</f>
        <v>29</v>
      </c>
      <c r="L677" s="5" t="str">
        <f t="shared" ca="1" si="127"/>
        <v>Paid</v>
      </c>
      <c r="M677" s="8" t="str" cm="1">
        <f t="array" aca="1" ref="M677" ca="1">INDEX('Payment Method'!$A$8:$A$12,RANDBETWEEN(1,5))</f>
        <v>Visa Debit</v>
      </c>
      <c r="N677" s="7">
        <f>IFERROR(SUMIF(Holiday!$A$8:$A$11,B677,Holiday!$C$8:$C$11),0)</f>
        <v>0</v>
      </c>
      <c r="O677" s="7">
        <f t="shared" ca="1" si="128"/>
        <v>29</v>
      </c>
      <c r="P677" s="19">
        <f t="shared" ca="1" si="129"/>
        <v>28.42</v>
      </c>
      <c r="Q677" s="7">
        <f t="shared" ca="1" si="130"/>
        <v>0</v>
      </c>
      <c r="R677" s="8">
        <f ca="1">VLOOKUP(M677,'Payment Method'!$A$8:$B$12,2,0)</f>
        <v>0.02</v>
      </c>
      <c r="S677" s="9">
        <f t="shared" ca="1" si="120"/>
        <v>0.57999999999999829</v>
      </c>
      <c r="T677" s="8">
        <v>0.01</v>
      </c>
      <c r="U677" s="9">
        <f t="shared" ca="1" si="121"/>
        <v>0.28419999999999845</v>
      </c>
      <c r="V677" s="7">
        <f t="shared" ca="1" si="122"/>
        <v>0</v>
      </c>
      <c r="W677" s="7">
        <f t="shared" ca="1" si="123"/>
        <v>28.135800000000003</v>
      </c>
      <c r="X677" s="5" t="str">
        <f t="shared" ca="1" si="131"/>
        <v>Facebook</v>
      </c>
      <c r="Y677" s="78" t="str">
        <f>IF(COUNTIF($C$1:C676,B676)=1,10,"")</f>
        <v/>
      </c>
    </row>
    <row r="678" spans="1:25" x14ac:dyDescent="0.3">
      <c r="A678" s="75">
        <v>677</v>
      </c>
      <c r="B678" s="6">
        <v>46079</v>
      </c>
      <c r="C678" s="6">
        <v>46084</v>
      </c>
      <c r="D678" s="17" t="str">
        <f t="shared" si="124"/>
        <v>March</v>
      </c>
      <c r="E678" s="5" t="str">
        <f t="shared" ca="1" si="125"/>
        <v>STU-752</v>
      </c>
      <c r="F678" s="5" t="str">
        <f ca="1">IF(COUNTIF($E$2:E678,E678)=1,"New Customer","Returning Customer")</f>
        <v>New Customer</v>
      </c>
      <c r="G678" s="5" t="str">
        <f t="shared" ca="1" si="126"/>
        <v>Not specified</v>
      </c>
      <c r="H678" s="5" t="s">
        <v>142</v>
      </c>
      <c r="I678" s="5" t="str" cm="1">
        <f t="array" aca="1" ref="I678" ca="1">INDEX(Courses!$B$9:$B$16,RANDBETWEEN(1,8))</f>
        <v>Microsoft Word</v>
      </c>
      <c r="J678" s="5" t="str">
        <f ca="1">VLOOKUP(I678,Courses!$B$9:$C$16,2,0)</f>
        <v>Microsoft Office</v>
      </c>
      <c r="K678" s="7">
        <f ca="1">VLOOKUP(I678,Courses!$B$9:$D$16,3,0)</f>
        <v>29</v>
      </c>
      <c r="L678" s="5" t="str">
        <f t="shared" ca="1" si="127"/>
        <v>Pending</v>
      </c>
      <c r="M678" s="8" t="str" cm="1">
        <f t="array" aca="1" ref="M678" ca="1">INDEX('Payment Method'!$A$8:$A$12,RANDBETWEEN(1,5))</f>
        <v>Mastercard Debit</v>
      </c>
      <c r="N678" s="7">
        <f>IFERROR(SUMIF(Holiday!$A$8:$A$11,B678,Holiday!$C$8:$C$11),0)</f>
        <v>0</v>
      </c>
      <c r="O678" s="7">
        <f t="shared" ca="1" si="128"/>
        <v>29</v>
      </c>
      <c r="P678" s="19">
        <f t="shared" ca="1" si="129"/>
        <v>28.42</v>
      </c>
      <c r="Q678" s="7">
        <f t="shared" ca="1" si="130"/>
        <v>28.135800000000003</v>
      </c>
      <c r="R678" s="8">
        <f ca="1">VLOOKUP(M678,'Payment Method'!$A$8:$B$12,2,0)</f>
        <v>0.02</v>
      </c>
      <c r="S678" s="9">
        <f t="shared" ca="1" si="120"/>
        <v>0.57999999999999829</v>
      </c>
      <c r="T678" s="8">
        <v>0.01</v>
      </c>
      <c r="U678" s="9">
        <f t="shared" ca="1" si="121"/>
        <v>0.28419999999999845</v>
      </c>
      <c r="V678" s="7">
        <f t="shared" ca="1" si="122"/>
        <v>0</v>
      </c>
      <c r="W678" s="7">
        <f t="shared" ca="1" si="123"/>
        <v>0</v>
      </c>
      <c r="X678" s="5" t="str">
        <f t="shared" ca="1" si="131"/>
        <v>Tiktok</v>
      </c>
      <c r="Y678" s="78" t="str">
        <f>IF(COUNTIF($C$1:C677,B677)=1,10,"")</f>
        <v/>
      </c>
    </row>
    <row r="679" spans="1:25" x14ac:dyDescent="0.3">
      <c r="A679" s="76">
        <v>678</v>
      </c>
      <c r="B679" s="6">
        <v>46040</v>
      </c>
      <c r="C679" s="6">
        <v>46043</v>
      </c>
      <c r="D679" s="17" t="str">
        <f t="shared" si="124"/>
        <v>January</v>
      </c>
      <c r="E679" s="5" t="str">
        <f t="shared" ca="1" si="125"/>
        <v>STU-151</v>
      </c>
      <c r="F679" s="5" t="str">
        <f ca="1">IF(COUNTIF($E$2:E679,E679)=1,"New Customer","Returning Customer")</f>
        <v>Returning Customer</v>
      </c>
      <c r="G679" s="5" t="str">
        <f t="shared" ca="1" si="126"/>
        <v>Female</v>
      </c>
      <c r="H679" s="5" t="s">
        <v>137</v>
      </c>
      <c r="I679" s="5" t="str" cm="1">
        <f t="array" aca="1" ref="I679" ca="1">INDEX(Courses!$B$9:$B$16,RANDBETWEEN(1,8))</f>
        <v>Excel Basics</v>
      </c>
      <c r="J679" s="5" t="str">
        <f ca="1">VLOOKUP(I679,Courses!$B$9:$C$16,2,0)</f>
        <v>Microsoft Office</v>
      </c>
      <c r="K679" s="7">
        <f ca="1">VLOOKUP(I679,Courses!$B$9:$D$16,3,0)</f>
        <v>29</v>
      </c>
      <c r="L679" s="5" t="str">
        <f t="shared" ca="1" si="127"/>
        <v>Pending</v>
      </c>
      <c r="M679" s="8" t="str" cm="1">
        <f t="array" aca="1" ref="M679" ca="1">INDEX('Payment Method'!$A$8:$A$12,RANDBETWEEN(1,5))</f>
        <v>Visa Debit</v>
      </c>
      <c r="N679" s="7">
        <f>IFERROR(SUMIF(Holiday!$A$8:$A$11,B679,Holiday!$C$8:$C$11),0)</f>
        <v>0</v>
      </c>
      <c r="O679" s="7">
        <f t="shared" ca="1" si="128"/>
        <v>29</v>
      </c>
      <c r="P679" s="19">
        <f t="shared" ca="1" si="129"/>
        <v>28.42</v>
      </c>
      <c r="Q679" s="7">
        <f t="shared" ca="1" si="130"/>
        <v>28.135800000000003</v>
      </c>
      <c r="R679" s="8">
        <f ca="1">VLOOKUP(M679,'Payment Method'!$A$8:$B$12,2,0)</f>
        <v>0.02</v>
      </c>
      <c r="S679" s="9">
        <f t="shared" ca="1" si="120"/>
        <v>0.57999999999999829</v>
      </c>
      <c r="T679" s="8">
        <v>0.01</v>
      </c>
      <c r="U679" s="9">
        <f t="shared" ca="1" si="121"/>
        <v>0.28419999999999845</v>
      </c>
      <c r="V679" s="7">
        <f t="shared" ca="1" si="122"/>
        <v>0</v>
      </c>
      <c r="W679" s="7">
        <f t="shared" ca="1" si="123"/>
        <v>0</v>
      </c>
      <c r="X679" s="5" t="str">
        <f t="shared" ca="1" si="131"/>
        <v>Tiktok</v>
      </c>
      <c r="Y679" s="78" t="str">
        <f>IF(COUNTIF($C$1:C678,B678)=1,10,"")</f>
        <v/>
      </c>
    </row>
    <row r="680" spans="1:25" x14ac:dyDescent="0.3">
      <c r="A680" s="75">
        <v>679</v>
      </c>
      <c r="B680" s="6">
        <v>46113</v>
      </c>
      <c r="C680" s="6">
        <v>46114</v>
      </c>
      <c r="D680" s="17" t="str">
        <f t="shared" si="124"/>
        <v>April</v>
      </c>
      <c r="E680" s="5" t="str">
        <f t="shared" ca="1" si="125"/>
        <v>STU-93</v>
      </c>
      <c r="F680" s="5" t="str">
        <f ca="1">IF(COUNTIF($E$2:E680,E680)=1,"New Customer","Returning Customer")</f>
        <v>New Customer</v>
      </c>
      <c r="G680" s="5" t="str">
        <f t="shared" ca="1" si="126"/>
        <v>Not specified</v>
      </c>
      <c r="H680" s="5" t="s">
        <v>140</v>
      </c>
      <c r="I680" s="5" t="str" cm="1">
        <f t="array" aca="1" ref="I680" ca="1">INDEX(Courses!$B$9:$B$16,RANDBETWEEN(1,8))</f>
        <v>Power BI</v>
      </c>
      <c r="J680" s="5" t="str">
        <f ca="1">VLOOKUP(I680,Courses!$B$9:$C$16,2,0)</f>
        <v>Data Analytics</v>
      </c>
      <c r="K680" s="7">
        <f ca="1">VLOOKUP(I680,Courses!$B$9:$D$16,3,0)</f>
        <v>59</v>
      </c>
      <c r="L680" s="5" t="str">
        <f t="shared" ca="1" si="127"/>
        <v>Paid</v>
      </c>
      <c r="M680" s="8" t="str" cm="1">
        <f t="array" aca="1" ref="M680" ca="1">INDEX('Payment Method'!$A$8:$A$12,RANDBETWEEN(1,5))</f>
        <v>Bank Transfer</v>
      </c>
      <c r="N680" s="7">
        <f>IFERROR(SUMIF(Holiday!$A$8:$A$11,B680,Holiday!$C$8:$C$11),0)</f>
        <v>0</v>
      </c>
      <c r="O680" s="7">
        <f t="shared" ca="1" si="128"/>
        <v>59</v>
      </c>
      <c r="P680" s="19">
        <f t="shared" ca="1" si="129"/>
        <v>59</v>
      </c>
      <c r="Q680" s="7">
        <f t="shared" ca="1" si="130"/>
        <v>0</v>
      </c>
      <c r="R680" s="8">
        <f ca="1">VLOOKUP(M680,'Payment Method'!$A$8:$B$12,2,0)</f>
        <v>0</v>
      </c>
      <c r="S680" s="9">
        <f t="shared" ca="1" si="120"/>
        <v>0</v>
      </c>
      <c r="T680" s="8">
        <v>0.01</v>
      </c>
      <c r="U680" s="9">
        <f t="shared" ca="1" si="121"/>
        <v>0.59000000000000341</v>
      </c>
      <c r="V680" s="7">
        <f t="shared" ca="1" si="122"/>
        <v>0</v>
      </c>
      <c r="W680" s="7">
        <f t="shared" ca="1" si="123"/>
        <v>58.41</v>
      </c>
      <c r="X680" s="5" t="str">
        <f t="shared" ca="1" si="131"/>
        <v>Facebook</v>
      </c>
      <c r="Y680" s="78" t="str">
        <f>IF(COUNTIF($C$1:C679,B679)=1,10,"")</f>
        <v/>
      </c>
    </row>
    <row r="681" spans="1:25" x14ac:dyDescent="0.3">
      <c r="A681" s="76">
        <v>680</v>
      </c>
      <c r="B681" s="6">
        <v>46206</v>
      </c>
      <c r="C681" s="6">
        <v>46211</v>
      </c>
      <c r="D681" s="17" t="str">
        <f t="shared" si="124"/>
        <v>July</v>
      </c>
      <c r="E681" s="5" t="str">
        <f t="shared" ca="1" si="125"/>
        <v>STU-899</v>
      </c>
      <c r="F681" s="5" t="str">
        <f ca="1">IF(COUNTIF($E$2:E681,E681)=1,"New Customer","Returning Customer")</f>
        <v>Returning Customer</v>
      </c>
      <c r="G681" s="5" t="str">
        <f t="shared" ca="1" si="126"/>
        <v>Not specified</v>
      </c>
      <c r="H681" s="5" t="s">
        <v>135</v>
      </c>
      <c r="I681" s="5" t="str" cm="1">
        <f t="array" aca="1" ref="I681" ca="1">INDEX(Courses!$B$9:$B$16,RANDBETWEEN(1,8))</f>
        <v>Complete Excel Course</v>
      </c>
      <c r="J681" s="5" t="str">
        <f ca="1">VLOOKUP(I681,Courses!$B$9:$C$16,2,0)</f>
        <v>Microsoft Office</v>
      </c>
      <c r="K681" s="7">
        <f ca="1">VLOOKUP(I681,Courses!$B$9:$D$16,3,0)</f>
        <v>59</v>
      </c>
      <c r="L681" s="5" t="str">
        <f t="shared" ca="1" si="127"/>
        <v>Paid</v>
      </c>
      <c r="M681" s="8" t="str" cm="1">
        <f t="array" aca="1" ref="M681" ca="1">INDEX('Payment Method'!$A$8:$A$12,RANDBETWEEN(1,5))</f>
        <v>Mastercard Credit</v>
      </c>
      <c r="N681" s="7">
        <f>IFERROR(SUMIF(Holiday!$A$8:$A$11,B681,Holiday!$C$8:$C$11),0)</f>
        <v>0</v>
      </c>
      <c r="O681" s="7">
        <f t="shared" ca="1" si="128"/>
        <v>59</v>
      </c>
      <c r="P681" s="19">
        <f t="shared" ca="1" si="129"/>
        <v>56.935000000000002</v>
      </c>
      <c r="Q681" s="7">
        <f t="shared" ca="1" si="130"/>
        <v>0</v>
      </c>
      <c r="R681" s="8">
        <f ca="1">VLOOKUP(M681,'Payment Method'!$A$8:$B$12,2,0)</f>
        <v>3.5000000000000003E-2</v>
      </c>
      <c r="S681" s="9">
        <f t="shared" ca="1" si="120"/>
        <v>2.0649999999999977</v>
      </c>
      <c r="T681" s="8">
        <v>0.01</v>
      </c>
      <c r="U681" s="9">
        <f t="shared" ca="1" si="121"/>
        <v>0.56935000000000002</v>
      </c>
      <c r="V681" s="7">
        <f t="shared" ca="1" si="122"/>
        <v>0</v>
      </c>
      <c r="W681" s="7">
        <f t="shared" ca="1" si="123"/>
        <v>56.365650000000002</v>
      </c>
      <c r="X681" s="5" t="str">
        <f t="shared" ca="1" si="131"/>
        <v>Facebook</v>
      </c>
      <c r="Y681" s="78" t="str">
        <f>IF(COUNTIF($C$1:C680,B680)=1,10,"")</f>
        <v/>
      </c>
    </row>
    <row r="682" spans="1:25" x14ac:dyDescent="0.3">
      <c r="A682" s="75">
        <v>681</v>
      </c>
      <c r="B682" s="6">
        <v>46205</v>
      </c>
      <c r="C682" s="6">
        <v>46206</v>
      </c>
      <c r="D682" s="17" t="str">
        <f t="shared" si="124"/>
        <v>July</v>
      </c>
      <c r="E682" s="5" t="str">
        <f t="shared" ca="1" si="125"/>
        <v>STU-191</v>
      </c>
      <c r="F682" s="5" t="str">
        <f ca="1">IF(COUNTIF($E$2:E682,E682)=1,"New Customer","Returning Customer")</f>
        <v>Returning Customer</v>
      </c>
      <c r="G682" s="5" t="str">
        <f t="shared" ca="1" si="126"/>
        <v>Not specified</v>
      </c>
      <c r="H682" s="5" t="s">
        <v>140</v>
      </c>
      <c r="I682" s="5" t="str" cm="1">
        <f t="array" aca="1" ref="I682" ca="1">INDEX(Courses!$B$9:$B$16,RANDBETWEEN(1,8))</f>
        <v>PowerPoint</v>
      </c>
      <c r="J682" s="5" t="str">
        <f ca="1">VLOOKUP(I682,Courses!$B$9:$C$16,2,0)</f>
        <v>Microsoft Office</v>
      </c>
      <c r="K682" s="7">
        <f ca="1">VLOOKUP(I682,Courses!$B$9:$D$16,3,0)</f>
        <v>29</v>
      </c>
      <c r="L682" s="5" t="str">
        <f t="shared" ca="1" si="127"/>
        <v>Pending</v>
      </c>
      <c r="M682" s="8" t="str" cm="1">
        <f t="array" aca="1" ref="M682" ca="1">INDEX('Payment Method'!$A$8:$A$12,RANDBETWEEN(1,5))</f>
        <v>Visa Debit</v>
      </c>
      <c r="N682" s="7">
        <f>IFERROR(SUMIF(Holiday!$A$8:$A$11,B682,Holiday!$C$8:$C$11),0)</f>
        <v>0</v>
      </c>
      <c r="O682" s="7">
        <f t="shared" ca="1" si="128"/>
        <v>29</v>
      </c>
      <c r="P682" s="19">
        <f t="shared" ca="1" si="129"/>
        <v>28.42</v>
      </c>
      <c r="Q682" s="7">
        <f t="shared" ca="1" si="130"/>
        <v>28.135800000000003</v>
      </c>
      <c r="R682" s="8">
        <f ca="1">VLOOKUP(M682,'Payment Method'!$A$8:$B$12,2,0)</f>
        <v>0.02</v>
      </c>
      <c r="S682" s="9">
        <f t="shared" ca="1" si="120"/>
        <v>0.57999999999999829</v>
      </c>
      <c r="T682" s="8">
        <v>0.01</v>
      </c>
      <c r="U682" s="9">
        <f t="shared" ca="1" si="121"/>
        <v>0.28419999999999845</v>
      </c>
      <c r="V682" s="7">
        <f t="shared" ca="1" si="122"/>
        <v>0</v>
      </c>
      <c r="W682" s="7">
        <f t="shared" ca="1" si="123"/>
        <v>0</v>
      </c>
      <c r="X682" s="5" t="str">
        <f t="shared" ca="1" si="131"/>
        <v>Tiktok</v>
      </c>
      <c r="Y682" s="78" t="str">
        <f>IF(COUNTIF($C$1:C681,B681)=1,10,"")</f>
        <v/>
      </c>
    </row>
    <row r="683" spans="1:25" x14ac:dyDescent="0.3">
      <c r="A683" s="76">
        <v>682</v>
      </c>
      <c r="B683" s="6">
        <v>46130</v>
      </c>
      <c r="C683" s="6">
        <v>46133</v>
      </c>
      <c r="D683" s="17" t="str">
        <f t="shared" si="124"/>
        <v>April</v>
      </c>
      <c r="E683" s="5" t="str">
        <f t="shared" ca="1" si="125"/>
        <v>STU-213</v>
      </c>
      <c r="F683" s="5" t="str">
        <f ca="1">IF(COUNTIF($E$2:E683,E683)=1,"New Customer","Returning Customer")</f>
        <v>New Customer</v>
      </c>
      <c r="G683" s="5" t="str">
        <f t="shared" ca="1" si="126"/>
        <v>Female</v>
      </c>
      <c r="H683" s="5" t="s">
        <v>136</v>
      </c>
      <c r="I683" s="5" t="str" cm="1">
        <f t="array" aca="1" ref="I683" ca="1">INDEX(Courses!$B$9:$B$16,RANDBETWEEN(1,8))</f>
        <v>Adolescent Psychology</v>
      </c>
      <c r="J683" s="5" t="str">
        <f ca="1">VLOOKUP(I683,Courses!$B$9:$C$16,2,0)</f>
        <v>Psychology</v>
      </c>
      <c r="K683" s="7">
        <f ca="1">VLOOKUP(I683,Courses!$B$9:$D$16,3,0)</f>
        <v>29</v>
      </c>
      <c r="L683" s="5" t="str">
        <f t="shared" ca="1" si="127"/>
        <v>Pending</v>
      </c>
      <c r="M683" s="8" t="str" cm="1">
        <f t="array" aca="1" ref="M683" ca="1">INDEX('Payment Method'!$A$8:$A$12,RANDBETWEEN(1,5))</f>
        <v>Visa Credit</v>
      </c>
      <c r="N683" s="7">
        <f>IFERROR(SUMIF(Holiday!$A$8:$A$11,B683,Holiday!$C$8:$C$11),0)</f>
        <v>0</v>
      </c>
      <c r="O683" s="7">
        <f t="shared" ca="1" si="128"/>
        <v>29</v>
      </c>
      <c r="P683" s="19">
        <f t="shared" ca="1" si="129"/>
        <v>27.984999999999999</v>
      </c>
      <c r="Q683" s="7">
        <f t="shared" ca="1" si="130"/>
        <v>27.70515</v>
      </c>
      <c r="R683" s="8">
        <f ca="1">VLOOKUP(M683,'Payment Method'!$A$8:$B$12,2,0)</f>
        <v>3.5000000000000003E-2</v>
      </c>
      <c r="S683" s="9">
        <f t="shared" ca="1" si="120"/>
        <v>1.0150000000000006</v>
      </c>
      <c r="T683" s="8">
        <v>0.01</v>
      </c>
      <c r="U683" s="9">
        <f t="shared" ca="1" si="121"/>
        <v>0.27984999999999971</v>
      </c>
      <c r="V683" s="7">
        <f t="shared" ca="1" si="122"/>
        <v>0</v>
      </c>
      <c r="W683" s="7">
        <f t="shared" ca="1" si="123"/>
        <v>0</v>
      </c>
      <c r="X683" s="5" t="str">
        <f t="shared" ca="1" si="131"/>
        <v>Tiktok</v>
      </c>
      <c r="Y683" s="78" t="str">
        <f>IF(COUNTIF($C$1:C682,B682)=1,10,"")</f>
        <v/>
      </c>
    </row>
    <row r="684" spans="1:25" x14ac:dyDescent="0.3">
      <c r="A684" s="75">
        <v>683</v>
      </c>
      <c r="B684" s="6">
        <v>46219</v>
      </c>
      <c r="C684" s="6">
        <v>46221</v>
      </c>
      <c r="D684" s="17" t="str">
        <f t="shared" si="124"/>
        <v>July</v>
      </c>
      <c r="E684" s="5" t="str">
        <f t="shared" ca="1" si="125"/>
        <v>STU-98</v>
      </c>
      <c r="F684" s="5" t="str">
        <f ca="1">IF(COUNTIF($E$2:E684,E684)=1,"New Customer","Returning Customer")</f>
        <v>Returning Customer</v>
      </c>
      <c r="G684" s="5" t="str">
        <f t="shared" ca="1" si="126"/>
        <v>Female</v>
      </c>
      <c r="H684" s="5" t="s">
        <v>142</v>
      </c>
      <c r="I684" s="5" t="str" cm="1">
        <f t="array" aca="1" ref="I684" ca="1">INDEX(Courses!$B$9:$B$16,RANDBETWEEN(1,8))</f>
        <v>Complete Excel Course</v>
      </c>
      <c r="J684" s="5" t="str">
        <f ca="1">VLOOKUP(I684,Courses!$B$9:$C$16,2,0)</f>
        <v>Microsoft Office</v>
      </c>
      <c r="K684" s="7">
        <f ca="1">VLOOKUP(I684,Courses!$B$9:$D$16,3,0)</f>
        <v>59</v>
      </c>
      <c r="L684" s="5" t="str">
        <f t="shared" ca="1" si="127"/>
        <v>Paid</v>
      </c>
      <c r="M684" s="8" t="str" cm="1">
        <f t="array" aca="1" ref="M684" ca="1">INDEX('Payment Method'!$A$8:$A$12,RANDBETWEEN(1,5))</f>
        <v>Visa Debit</v>
      </c>
      <c r="N684" s="7">
        <f>IFERROR(SUMIF(Holiday!$A$8:$A$11,B684,Holiday!$C$8:$C$11),0)</f>
        <v>0</v>
      </c>
      <c r="O684" s="7">
        <f t="shared" ca="1" si="128"/>
        <v>59</v>
      </c>
      <c r="P684" s="19">
        <f t="shared" ca="1" si="129"/>
        <v>57.82</v>
      </c>
      <c r="Q684" s="7">
        <f t="shared" ca="1" si="130"/>
        <v>0</v>
      </c>
      <c r="R684" s="8">
        <f ca="1">VLOOKUP(M684,'Payment Method'!$A$8:$B$12,2,0)</f>
        <v>0.02</v>
      </c>
      <c r="S684" s="9">
        <f t="shared" ca="1" si="120"/>
        <v>1.1799999999999997</v>
      </c>
      <c r="T684" s="8">
        <v>0.01</v>
      </c>
      <c r="U684" s="9">
        <f t="shared" ca="1" si="121"/>
        <v>0.57820000000000249</v>
      </c>
      <c r="V684" s="7">
        <f t="shared" ca="1" si="122"/>
        <v>0</v>
      </c>
      <c r="W684" s="7">
        <f t="shared" ca="1" si="123"/>
        <v>57.241799999999998</v>
      </c>
      <c r="X684" s="5" t="str">
        <f t="shared" ca="1" si="131"/>
        <v>Instagram</v>
      </c>
      <c r="Y684" s="78" t="str">
        <f>IF(COUNTIF($C$1:C683,B683)=1,10,"")</f>
        <v/>
      </c>
    </row>
    <row r="685" spans="1:25" x14ac:dyDescent="0.3">
      <c r="A685" s="76">
        <v>684</v>
      </c>
      <c r="B685" s="6">
        <v>46206</v>
      </c>
      <c r="C685" s="6">
        <v>46207</v>
      </c>
      <c r="D685" s="17" t="str">
        <f t="shared" si="124"/>
        <v>July</v>
      </c>
      <c r="E685" s="5" t="str">
        <f t="shared" ca="1" si="125"/>
        <v>STU-324</v>
      </c>
      <c r="F685" s="5" t="str">
        <f ca="1">IF(COUNTIF($E$2:E685,E685)=1,"New Customer","Returning Customer")</f>
        <v>Returning Customer</v>
      </c>
      <c r="G685" s="5" t="str">
        <f t="shared" ca="1" si="126"/>
        <v>Female</v>
      </c>
      <c r="H685" s="5" t="s">
        <v>140</v>
      </c>
      <c r="I685" s="5" t="str" cm="1">
        <f t="array" aca="1" ref="I685" ca="1">INDEX(Courses!$B$9:$B$16,RANDBETWEEN(1,8))</f>
        <v>Microsoft Word</v>
      </c>
      <c r="J685" s="5" t="str">
        <f ca="1">VLOOKUP(I685,Courses!$B$9:$C$16,2,0)</f>
        <v>Microsoft Office</v>
      </c>
      <c r="K685" s="7">
        <f ca="1">VLOOKUP(I685,Courses!$B$9:$D$16,3,0)</f>
        <v>29</v>
      </c>
      <c r="L685" s="5" t="str">
        <f t="shared" ca="1" si="127"/>
        <v>Paid</v>
      </c>
      <c r="M685" s="8" t="str" cm="1">
        <f t="array" aca="1" ref="M685" ca="1">INDEX('Payment Method'!$A$8:$A$12,RANDBETWEEN(1,5))</f>
        <v>Visa Debit</v>
      </c>
      <c r="N685" s="7">
        <f>IFERROR(SUMIF(Holiday!$A$8:$A$11,B685,Holiday!$C$8:$C$11),0)</f>
        <v>0</v>
      </c>
      <c r="O685" s="7">
        <f t="shared" ca="1" si="128"/>
        <v>29</v>
      </c>
      <c r="P685" s="19">
        <f t="shared" ca="1" si="129"/>
        <v>28.42</v>
      </c>
      <c r="Q685" s="7">
        <f t="shared" ca="1" si="130"/>
        <v>0</v>
      </c>
      <c r="R685" s="8">
        <f ca="1">VLOOKUP(M685,'Payment Method'!$A$8:$B$12,2,0)</f>
        <v>0.02</v>
      </c>
      <c r="S685" s="9">
        <f t="shared" ca="1" si="120"/>
        <v>0.57999999999999829</v>
      </c>
      <c r="T685" s="8">
        <v>0.01</v>
      </c>
      <c r="U685" s="9">
        <f t="shared" ca="1" si="121"/>
        <v>0.28419999999999845</v>
      </c>
      <c r="V685" s="7">
        <f t="shared" ca="1" si="122"/>
        <v>0</v>
      </c>
      <c r="W685" s="7">
        <f t="shared" ca="1" si="123"/>
        <v>28.135800000000003</v>
      </c>
      <c r="X685" s="5" t="str">
        <f t="shared" ca="1" si="131"/>
        <v>Tiktok</v>
      </c>
      <c r="Y685" s="78" t="str">
        <f>IF(COUNTIF($C$1:C684,B684)=1,10,"")</f>
        <v/>
      </c>
    </row>
    <row r="686" spans="1:25" x14ac:dyDescent="0.3">
      <c r="A686" s="75">
        <v>685</v>
      </c>
      <c r="B686" s="6">
        <v>46145</v>
      </c>
      <c r="C686" s="6">
        <v>46145</v>
      </c>
      <c r="D686" s="17" t="str">
        <f t="shared" si="124"/>
        <v>May</v>
      </c>
      <c r="E686" s="5" t="str">
        <f t="shared" ca="1" si="125"/>
        <v>STU-718</v>
      </c>
      <c r="F686" s="5" t="str">
        <f ca="1">IF(COUNTIF($E$2:E686,E686)=1,"New Customer","Returning Customer")</f>
        <v>New Customer</v>
      </c>
      <c r="G686" s="5" t="str">
        <f t="shared" ca="1" si="126"/>
        <v>Male</v>
      </c>
      <c r="H686" s="5" t="s">
        <v>138</v>
      </c>
      <c r="I686" s="5" t="str" cm="1">
        <f t="array" aca="1" ref="I686" ca="1">INDEX(Courses!$B$9:$B$16,RANDBETWEEN(1,8))</f>
        <v>Power BI</v>
      </c>
      <c r="J686" s="5" t="str">
        <f ca="1">VLOOKUP(I686,Courses!$B$9:$C$16,2,0)</f>
        <v>Data Analytics</v>
      </c>
      <c r="K686" s="7">
        <f ca="1">VLOOKUP(I686,Courses!$B$9:$D$16,3,0)</f>
        <v>59</v>
      </c>
      <c r="L686" s="5" t="str">
        <f t="shared" ca="1" si="127"/>
        <v>Pending</v>
      </c>
      <c r="M686" s="8" t="str" cm="1">
        <f t="array" aca="1" ref="M686" ca="1">INDEX('Payment Method'!$A$8:$A$12,RANDBETWEEN(1,5))</f>
        <v>Visa Credit</v>
      </c>
      <c r="N686" s="7">
        <f>IFERROR(SUMIF(Holiday!$A$8:$A$11,B686,Holiday!$C$8:$C$11),0)</f>
        <v>0</v>
      </c>
      <c r="O686" s="7">
        <f t="shared" ca="1" si="128"/>
        <v>59</v>
      </c>
      <c r="P686" s="19">
        <f t="shared" ca="1" si="129"/>
        <v>56.935000000000002</v>
      </c>
      <c r="Q686" s="7">
        <f t="shared" ca="1" si="130"/>
        <v>56.365650000000002</v>
      </c>
      <c r="R686" s="8">
        <f ca="1">VLOOKUP(M686,'Payment Method'!$A$8:$B$12,2,0)</f>
        <v>3.5000000000000003E-2</v>
      </c>
      <c r="S686" s="9">
        <f t="shared" ca="1" si="120"/>
        <v>2.0649999999999977</v>
      </c>
      <c r="T686" s="8">
        <v>0.01</v>
      </c>
      <c r="U686" s="9">
        <f t="shared" ca="1" si="121"/>
        <v>0.56935000000000002</v>
      </c>
      <c r="V686" s="7">
        <f t="shared" ca="1" si="122"/>
        <v>0</v>
      </c>
      <c r="W686" s="7">
        <f t="shared" ca="1" si="123"/>
        <v>0</v>
      </c>
      <c r="X686" s="5" t="str">
        <f t="shared" ca="1" si="131"/>
        <v>Facebook</v>
      </c>
      <c r="Y686" s="78" t="str">
        <f>IF(COUNTIF($C$1:C685,B685)=1,10,"")</f>
        <v/>
      </c>
    </row>
    <row r="687" spans="1:25" x14ac:dyDescent="0.3">
      <c r="A687" s="76">
        <v>686</v>
      </c>
      <c r="B687" s="6">
        <v>46173</v>
      </c>
      <c r="C687" s="6">
        <v>46176</v>
      </c>
      <c r="D687" s="17" t="str">
        <f t="shared" si="124"/>
        <v>June</v>
      </c>
      <c r="E687" s="5" t="str">
        <f t="shared" ca="1" si="125"/>
        <v>STU-942</v>
      </c>
      <c r="F687" s="5" t="str">
        <f ca="1">IF(COUNTIF($E$2:E687,E687)=1,"New Customer","Returning Customer")</f>
        <v>New Customer</v>
      </c>
      <c r="G687" s="5" t="str">
        <f t="shared" ca="1" si="126"/>
        <v>Male</v>
      </c>
      <c r="H687" s="5" t="s">
        <v>136</v>
      </c>
      <c r="I687" s="5" t="str" cm="1">
        <f t="array" aca="1" ref="I687" ca="1">INDEX(Courses!$B$9:$B$16,RANDBETWEEN(1,8))</f>
        <v>Complete Excel Course</v>
      </c>
      <c r="J687" s="5" t="str">
        <f ca="1">VLOOKUP(I687,Courses!$B$9:$C$16,2,0)</f>
        <v>Microsoft Office</v>
      </c>
      <c r="K687" s="7">
        <f ca="1">VLOOKUP(I687,Courses!$B$9:$D$16,3,0)</f>
        <v>59</v>
      </c>
      <c r="L687" s="5" t="str">
        <f t="shared" ca="1" si="127"/>
        <v>Paid</v>
      </c>
      <c r="M687" s="8" t="str" cm="1">
        <f t="array" aca="1" ref="M687" ca="1">INDEX('Payment Method'!$A$8:$A$12,RANDBETWEEN(1,5))</f>
        <v>Mastercard Debit</v>
      </c>
      <c r="N687" s="7">
        <f>IFERROR(SUMIF(Holiday!$A$8:$A$11,B687,Holiday!$C$8:$C$11),0)</f>
        <v>0</v>
      </c>
      <c r="O687" s="7">
        <f t="shared" ca="1" si="128"/>
        <v>59</v>
      </c>
      <c r="P687" s="19">
        <f t="shared" ca="1" si="129"/>
        <v>57.82</v>
      </c>
      <c r="Q687" s="7">
        <f t="shared" ca="1" si="130"/>
        <v>0</v>
      </c>
      <c r="R687" s="8">
        <f ca="1">VLOOKUP(M687,'Payment Method'!$A$8:$B$12,2,0)</f>
        <v>0.02</v>
      </c>
      <c r="S687" s="9">
        <f t="shared" ca="1" si="120"/>
        <v>1.1799999999999997</v>
      </c>
      <c r="T687" s="8">
        <v>0.01</v>
      </c>
      <c r="U687" s="9">
        <f t="shared" ca="1" si="121"/>
        <v>0.57820000000000249</v>
      </c>
      <c r="V687" s="7">
        <f t="shared" ca="1" si="122"/>
        <v>0</v>
      </c>
      <c r="W687" s="7">
        <f t="shared" ca="1" si="123"/>
        <v>57.241799999999998</v>
      </c>
      <c r="X687" s="5" t="str">
        <f t="shared" ca="1" si="131"/>
        <v>Instagram</v>
      </c>
      <c r="Y687" s="78" t="str">
        <f>IF(COUNTIF($C$1:C686,B686)=1,10,"")</f>
        <v/>
      </c>
    </row>
    <row r="688" spans="1:25" x14ac:dyDescent="0.3">
      <c r="A688" s="75">
        <v>687</v>
      </c>
      <c r="B688" s="6">
        <v>46141</v>
      </c>
      <c r="C688" s="6">
        <v>46143</v>
      </c>
      <c r="D688" s="17" t="str">
        <f t="shared" si="124"/>
        <v>May</v>
      </c>
      <c r="E688" s="5" t="str">
        <f t="shared" ca="1" si="125"/>
        <v>STU-223</v>
      </c>
      <c r="F688" s="5" t="str">
        <f ca="1">IF(COUNTIF($E$2:E688,E688)=1,"New Customer","Returning Customer")</f>
        <v>Returning Customer</v>
      </c>
      <c r="G688" s="5" t="str">
        <f t="shared" ca="1" si="126"/>
        <v>Male</v>
      </c>
      <c r="H688" s="5" t="s">
        <v>137</v>
      </c>
      <c r="I688" s="5" t="str" cm="1">
        <f t="array" aca="1" ref="I688" ca="1">INDEX(Courses!$B$9:$B$16,RANDBETWEEN(1,8))</f>
        <v>SQL</v>
      </c>
      <c r="J688" s="5" t="str">
        <f ca="1">VLOOKUP(I688,Courses!$B$9:$C$16,2,0)</f>
        <v>Data Analytics</v>
      </c>
      <c r="K688" s="7">
        <f ca="1">VLOOKUP(I688,Courses!$B$9:$D$16,3,0)</f>
        <v>99</v>
      </c>
      <c r="L688" s="5" t="str">
        <f t="shared" ca="1" si="127"/>
        <v>Refunded</v>
      </c>
      <c r="M688" s="8" t="str" cm="1">
        <f t="array" aca="1" ref="M688" ca="1">INDEX('Payment Method'!$A$8:$A$12,RANDBETWEEN(1,5))</f>
        <v>Mastercard Debit</v>
      </c>
      <c r="N688" s="7">
        <f>IFERROR(SUMIF(Holiday!$A$8:$A$11,B688,Holiday!$C$8:$C$11),0)</f>
        <v>0</v>
      </c>
      <c r="O688" s="7">
        <f t="shared" ca="1" si="128"/>
        <v>99</v>
      </c>
      <c r="P688" s="19">
        <f t="shared" ca="1" si="129"/>
        <v>97.02</v>
      </c>
      <c r="Q688" s="7">
        <f t="shared" ca="1" si="130"/>
        <v>0</v>
      </c>
      <c r="R688" s="8">
        <f ca="1">VLOOKUP(M688,'Payment Method'!$A$8:$B$12,2,0)</f>
        <v>0.02</v>
      </c>
      <c r="S688" s="9">
        <f t="shared" ca="1" si="120"/>
        <v>1.980000000000004</v>
      </c>
      <c r="T688" s="8">
        <v>0.01</v>
      </c>
      <c r="U688" s="9">
        <f t="shared" ca="1" si="121"/>
        <v>0.9702000000000055</v>
      </c>
      <c r="V688" s="7">
        <f t="shared" ca="1" si="122"/>
        <v>96.049799999999991</v>
      </c>
      <c r="W688" s="7">
        <f t="shared" ca="1" si="123"/>
        <v>0</v>
      </c>
      <c r="X688" s="5" t="str">
        <f t="shared" ca="1" si="131"/>
        <v>Instagram</v>
      </c>
      <c r="Y688" s="78">
        <f>IF(COUNTIF($C$1:C687,B687)=1,10,"")</f>
        <v>10</v>
      </c>
    </row>
    <row r="689" spans="1:25" x14ac:dyDescent="0.3">
      <c r="A689" s="76">
        <v>688</v>
      </c>
      <c r="B689" s="6">
        <v>46207</v>
      </c>
      <c r="C689" s="6">
        <v>46210</v>
      </c>
      <c r="D689" s="17" t="str">
        <f t="shared" si="124"/>
        <v>July</v>
      </c>
      <c r="E689" s="5" t="str">
        <f t="shared" ca="1" si="125"/>
        <v>STU-952</v>
      </c>
      <c r="F689" s="5" t="str">
        <f ca="1">IF(COUNTIF($E$2:E689,E689)=1,"New Customer","Returning Customer")</f>
        <v>Returning Customer</v>
      </c>
      <c r="G689" s="5" t="str">
        <f t="shared" ca="1" si="126"/>
        <v>Male</v>
      </c>
      <c r="H689" s="5" t="s">
        <v>142</v>
      </c>
      <c r="I689" s="5" t="str" cm="1">
        <f t="array" aca="1" ref="I689" ca="1">INDEX(Courses!$B$9:$B$16,RANDBETWEEN(1,8))</f>
        <v>Excel Basics</v>
      </c>
      <c r="J689" s="5" t="str">
        <f ca="1">VLOOKUP(I689,Courses!$B$9:$C$16,2,0)</f>
        <v>Microsoft Office</v>
      </c>
      <c r="K689" s="7">
        <f ca="1">VLOOKUP(I689,Courses!$B$9:$D$16,3,0)</f>
        <v>29</v>
      </c>
      <c r="L689" s="5" t="str">
        <f t="shared" ca="1" si="127"/>
        <v>Paid</v>
      </c>
      <c r="M689" s="8" t="str" cm="1">
        <f t="array" aca="1" ref="M689" ca="1">INDEX('Payment Method'!$A$8:$A$12,RANDBETWEEN(1,5))</f>
        <v>Visa Debit</v>
      </c>
      <c r="N689" s="7">
        <f>IFERROR(SUMIF(Holiday!$A$8:$A$11,B689,Holiday!$C$8:$C$11),0)</f>
        <v>0</v>
      </c>
      <c r="O689" s="7">
        <f t="shared" ca="1" si="128"/>
        <v>29</v>
      </c>
      <c r="P689" s="19">
        <f t="shared" ca="1" si="129"/>
        <v>28.42</v>
      </c>
      <c r="Q689" s="7">
        <f t="shared" ca="1" si="130"/>
        <v>0</v>
      </c>
      <c r="R689" s="8">
        <f ca="1">VLOOKUP(M689,'Payment Method'!$A$8:$B$12,2,0)</f>
        <v>0.02</v>
      </c>
      <c r="S689" s="9">
        <f t="shared" ca="1" si="120"/>
        <v>0.57999999999999829</v>
      </c>
      <c r="T689" s="8">
        <v>0.01</v>
      </c>
      <c r="U689" s="9">
        <f t="shared" ca="1" si="121"/>
        <v>0.28419999999999845</v>
      </c>
      <c r="V689" s="7">
        <f t="shared" ca="1" si="122"/>
        <v>0</v>
      </c>
      <c r="W689" s="7">
        <f t="shared" ca="1" si="123"/>
        <v>28.135800000000003</v>
      </c>
      <c r="X689" s="5" t="str">
        <f t="shared" ca="1" si="131"/>
        <v>Instagram</v>
      </c>
      <c r="Y689" s="78" t="str">
        <f>IF(COUNTIF($C$1:C688,B688)=1,10,"")</f>
        <v/>
      </c>
    </row>
    <row r="690" spans="1:25" x14ac:dyDescent="0.3">
      <c r="A690" s="75">
        <v>689</v>
      </c>
      <c r="B690" s="6">
        <v>46224</v>
      </c>
      <c r="C690" s="6">
        <v>46228</v>
      </c>
      <c r="D690" s="17" t="str">
        <f t="shared" si="124"/>
        <v>July</v>
      </c>
      <c r="E690" s="5" t="str">
        <f t="shared" ca="1" si="125"/>
        <v>STU-478</v>
      </c>
      <c r="F690" s="5" t="str">
        <f ca="1">IF(COUNTIF($E$2:E690,E690)=1,"New Customer","Returning Customer")</f>
        <v>Returning Customer</v>
      </c>
      <c r="G690" s="5" t="str">
        <f t="shared" ca="1" si="126"/>
        <v>Female</v>
      </c>
      <c r="H690" s="5" t="s">
        <v>138</v>
      </c>
      <c r="I690" s="5" t="str" cm="1">
        <f t="array" aca="1" ref="I690" ca="1">INDEX(Courses!$B$9:$B$16,RANDBETWEEN(1,8))</f>
        <v>PowerPoint</v>
      </c>
      <c r="J690" s="5" t="str">
        <f ca="1">VLOOKUP(I690,Courses!$B$9:$C$16,2,0)</f>
        <v>Microsoft Office</v>
      </c>
      <c r="K690" s="7">
        <f ca="1">VLOOKUP(I690,Courses!$B$9:$D$16,3,0)</f>
        <v>29</v>
      </c>
      <c r="L690" s="5" t="str">
        <f t="shared" ca="1" si="127"/>
        <v>Paid</v>
      </c>
      <c r="M690" s="8" t="str" cm="1">
        <f t="array" aca="1" ref="M690" ca="1">INDEX('Payment Method'!$A$8:$A$12,RANDBETWEEN(1,5))</f>
        <v>Visa Debit</v>
      </c>
      <c r="N690" s="7">
        <f>IFERROR(SUMIF(Holiday!$A$8:$A$11,B690,Holiday!$C$8:$C$11),0)</f>
        <v>0</v>
      </c>
      <c r="O690" s="7">
        <f t="shared" ca="1" si="128"/>
        <v>29</v>
      </c>
      <c r="P690" s="19">
        <f t="shared" ca="1" si="129"/>
        <v>28.42</v>
      </c>
      <c r="Q690" s="7">
        <f t="shared" ca="1" si="130"/>
        <v>0</v>
      </c>
      <c r="R690" s="8">
        <f ca="1">VLOOKUP(M690,'Payment Method'!$A$8:$B$12,2,0)</f>
        <v>0.02</v>
      </c>
      <c r="S690" s="9">
        <f t="shared" ca="1" si="120"/>
        <v>0.57999999999999829</v>
      </c>
      <c r="T690" s="8">
        <v>0.01</v>
      </c>
      <c r="U690" s="9">
        <f t="shared" ca="1" si="121"/>
        <v>0.28419999999999845</v>
      </c>
      <c r="V690" s="7">
        <f t="shared" ca="1" si="122"/>
        <v>0</v>
      </c>
      <c r="W690" s="7">
        <f t="shared" ca="1" si="123"/>
        <v>28.135800000000003</v>
      </c>
      <c r="X690" s="5" t="str">
        <f t="shared" ca="1" si="131"/>
        <v>Tiktok</v>
      </c>
      <c r="Y690" s="78" t="str">
        <f>IF(COUNTIF($C$1:C689,B689)=1,10,"")</f>
        <v/>
      </c>
    </row>
    <row r="691" spans="1:25" x14ac:dyDescent="0.3">
      <c r="A691" s="76">
        <v>690</v>
      </c>
      <c r="B691" s="6">
        <v>46096</v>
      </c>
      <c r="C691" s="6">
        <v>46101</v>
      </c>
      <c r="D691" s="17" t="str">
        <f t="shared" si="124"/>
        <v>March</v>
      </c>
      <c r="E691" s="5" t="str">
        <f t="shared" ca="1" si="125"/>
        <v>STU-651</v>
      </c>
      <c r="F691" s="5" t="str">
        <f ca="1">IF(COUNTIF($E$2:E691,E691)=1,"New Customer","Returning Customer")</f>
        <v>Returning Customer</v>
      </c>
      <c r="G691" s="5" t="str">
        <f t="shared" ca="1" si="126"/>
        <v>Male</v>
      </c>
      <c r="H691" s="5" t="s">
        <v>140</v>
      </c>
      <c r="I691" s="5" t="str" cm="1">
        <f t="array" aca="1" ref="I691" ca="1">INDEX(Courses!$B$9:$B$16,RANDBETWEEN(1,8))</f>
        <v>Complete Excel Course</v>
      </c>
      <c r="J691" s="5" t="str">
        <f ca="1">VLOOKUP(I691,Courses!$B$9:$C$16,2,0)</f>
        <v>Microsoft Office</v>
      </c>
      <c r="K691" s="7">
        <f ca="1">VLOOKUP(I691,Courses!$B$9:$D$16,3,0)</f>
        <v>59</v>
      </c>
      <c r="L691" s="5" t="str">
        <f t="shared" ca="1" si="127"/>
        <v>Paid</v>
      </c>
      <c r="M691" s="8" t="str" cm="1">
        <f t="array" aca="1" ref="M691" ca="1">INDEX('Payment Method'!$A$8:$A$12,RANDBETWEEN(1,5))</f>
        <v>Visa Debit</v>
      </c>
      <c r="N691" s="7">
        <f>IFERROR(SUMIF(Holiday!$A$8:$A$11,B691,Holiday!$C$8:$C$11),0)</f>
        <v>0</v>
      </c>
      <c r="O691" s="7">
        <f t="shared" ca="1" si="128"/>
        <v>59</v>
      </c>
      <c r="P691" s="19">
        <f t="shared" ca="1" si="129"/>
        <v>57.82</v>
      </c>
      <c r="Q691" s="7">
        <f t="shared" ca="1" si="130"/>
        <v>0</v>
      </c>
      <c r="R691" s="8">
        <f ca="1">VLOOKUP(M691,'Payment Method'!$A$8:$B$12,2,0)</f>
        <v>0.02</v>
      </c>
      <c r="S691" s="9">
        <f t="shared" ca="1" si="120"/>
        <v>1.1799999999999997</v>
      </c>
      <c r="T691" s="8">
        <v>0.01</v>
      </c>
      <c r="U691" s="9">
        <f t="shared" ca="1" si="121"/>
        <v>0.57820000000000249</v>
      </c>
      <c r="V691" s="7">
        <f t="shared" ca="1" si="122"/>
        <v>0</v>
      </c>
      <c r="W691" s="7">
        <f t="shared" ca="1" si="123"/>
        <v>57.241799999999998</v>
      </c>
      <c r="X691" s="5" t="str">
        <f t="shared" ca="1" si="131"/>
        <v>Tiktok</v>
      </c>
      <c r="Y691" s="78" t="str">
        <f>IF(COUNTIF($C$1:C690,B690)=1,10,"")</f>
        <v/>
      </c>
    </row>
    <row r="692" spans="1:25" x14ac:dyDescent="0.3">
      <c r="A692" s="75">
        <v>691</v>
      </c>
      <c r="B692" s="6">
        <v>46044</v>
      </c>
      <c r="C692" s="6">
        <v>46047</v>
      </c>
      <c r="D692" s="17" t="str">
        <f t="shared" si="124"/>
        <v>January</v>
      </c>
      <c r="E692" s="5" t="str">
        <f t="shared" ca="1" si="125"/>
        <v>STU-821</v>
      </c>
      <c r="F692" s="5" t="str">
        <f ca="1">IF(COUNTIF($E$2:E692,E692)=1,"New Customer","Returning Customer")</f>
        <v>New Customer</v>
      </c>
      <c r="G692" s="5" t="str">
        <f t="shared" ca="1" si="126"/>
        <v>Female</v>
      </c>
      <c r="H692" s="5" t="s">
        <v>138</v>
      </c>
      <c r="I692" s="5" t="str" cm="1">
        <f t="array" aca="1" ref="I692" ca="1">INDEX(Courses!$B$9:$B$16,RANDBETWEEN(1,8))</f>
        <v>Complete Excel Course</v>
      </c>
      <c r="J692" s="5" t="str">
        <f ca="1">VLOOKUP(I692,Courses!$B$9:$C$16,2,0)</f>
        <v>Microsoft Office</v>
      </c>
      <c r="K692" s="7">
        <f ca="1">VLOOKUP(I692,Courses!$B$9:$D$16,3,0)</f>
        <v>59</v>
      </c>
      <c r="L692" s="5" t="str">
        <f t="shared" ca="1" si="127"/>
        <v>Refunded</v>
      </c>
      <c r="M692" s="8" t="str" cm="1">
        <f t="array" aca="1" ref="M692" ca="1">INDEX('Payment Method'!$A$8:$A$12,RANDBETWEEN(1,5))</f>
        <v>Bank Transfer</v>
      </c>
      <c r="N692" s="7">
        <f>IFERROR(SUMIF(Holiday!$A$8:$A$11,B692,Holiday!$C$8:$C$11),0)</f>
        <v>0</v>
      </c>
      <c r="O692" s="7">
        <f t="shared" ca="1" si="128"/>
        <v>59</v>
      </c>
      <c r="P692" s="19">
        <f t="shared" ca="1" si="129"/>
        <v>59</v>
      </c>
      <c r="Q692" s="7">
        <f t="shared" ca="1" si="130"/>
        <v>0</v>
      </c>
      <c r="R692" s="8">
        <f ca="1">VLOOKUP(M692,'Payment Method'!$A$8:$B$12,2,0)</f>
        <v>0</v>
      </c>
      <c r="S692" s="9">
        <f t="shared" ca="1" si="120"/>
        <v>0</v>
      </c>
      <c r="T692" s="8">
        <v>0.01</v>
      </c>
      <c r="U692" s="9">
        <f t="shared" ca="1" si="121"/>
        <v>0.59000000000000341</v>
      </c>
      <c r="V692" s="7">
        <f t="shared" ca="1" si="122"/>
        <v>58.41</v>
      </c>
      <c r="W692" s="7">
        <f t="shared" ca="1" si="123"/>
        <v>0</v>
      </c>
      <c r="X692" s="5" t="str">
        <f t="shared" ca="1" si="131"/>
        <v>Facebook</v>
      </c>
      <c r="Y692" s="78" t="str">
        <f>IF(COUNTIF($C$1:C691,B691)=1,10,"")</f>
        <v/>
      </c>
    </row>
    <row r="693" spans="1:25" x14ac:dyDescent="0.3">
      <c r="A693" s="76">
        <v>692</v>
      </c>
      <c r="B693" s="6">
        <v>46207</v>
      </c>
      <c r="C693" s="6">
        <v>46209</v>
      </c>
      <c r="D693" s="17" t="str">
        <f t="shared" si="124"/>
        <v>July</v>
      </c>
      <c r="E693" s="5" t="str">
        <f t="shared" ca="1" si="125"/>
        <v>STU-153</v>
      </c>
      <c r="F693" s="5" t="str">
        <f ca="1">IF(COUNTIF($E$2:E693,E693)=1,"New Customer","Returning Customer")</f>
        <v>New Customer</v>
      </c>
      <c r="G693" s="5" t="str">
        <f t="shared" ca="1" si="126"/>
        <v>Female</v>
      </c>
      <c r="H693" s="5" t="s">
        <v>139</v>
      </c>
      <c r="I693" s="5" t="str" cm="1">
        <f t="array" aca="1" ref="I693" ca="1">INDEX(Courses!$B$9:$B$16,RANDBETWEEN(1,8))</f>
        <v>Tax Code</v>
      </c>
      <c r="J693" s="5" t="str">
        <f ca="1">VLOOKUP(I693,Courses!$B$9:$C$16,2,0)</f>
        <v>Finance &amp; Taxation</v>
      </c>
      <c r="K693" s="7">
        <f ca="1">VLOOKUP(I693,Courses!$B$9:$D$16,3,0)</f>
        <v>59</v>
      </c>
      <c r="L693" s="5" t="str">
        <f t="shared" ca="1" si="127"/>
        <v>Refunded</v>
      </c>
      <c r="M693" s="8" t="str" cm="1">
        <f t="array" aca="1" ref="M693" ca="1">INDEX('Payment Method'!$A$8:$A$12,RANDBETWEEN(1,5))</f>
        <v>Mastercard Debit</v>
      </c>
      <c r="N693" s="7">
        <f>IFERROR(SUMIF(Holiday!$A$8:$A$11,B693,Holiday!$C$8:$C$11),0)</f>
        <v>0</v>
      </c>
      <c r="O693" s="7">
        <f t="shared" ca="1" si="128"/>
        <v>59</v>
      </c>
      <c r="P693" s="19">
        <f t="shared" ca="1" si="129"/>
        <v>57.82</v>
      </c>
      <c r="Q693" s="7">
        <f t="shared" ca="1" si="130"/>
        <v>0</v>
      </c>
      <c r="R693" s="8">
        <f ca="1">VLOOKUP(M693,'Payment Method'!$A$8:$B$12,2,0)</f>
        <v>0.02</v>
      </c>
      <c r="S693" s="9">
        <f t="shared" ca="1" si="120"/>
        <v>1.1799999999999997</v>
      </c>
      <c r="T693" s="8">
        <v>0.01</v>
      </c>
      <c r="U693" s="9">
        <f t="shared" ca="1" si="121"/>
        <v>0.57820000000000249</v>
      </c>
      <c r="V693" s="7">
        <f t="shared" ca="1" si="122"/>
        <v>57.241799999999998</v>
      </c>
      <c r="W693" s="7">
        <f t="shared" ca="1" si="123"/>
        <v>0</v>
      </c>
      <c r="X693" s="5" t="str">
        <f t="shared" ca="1" si="131"/>
        <v>Tiktok</v>
      </c>
      <c r="Y693" s="78" t="str">
        <f>IF(COUNTIF($C$1:C692,B692)=1,10,"")</f>
        <v/>
      </c>
    </row>
    <row r="694" spans="1:25" x14ac:dyDescent="0.3">
      <c r="A694" s="75">
        <v>693</v>
      </c>
      <c r="B694" s="6">
        <v>46050</v>
      </c>
      <c r="C694" s="6">
        <v>46051</v>
      </c>
      <c r="D694" s="17" t="str">
        <f t="shared" si="124"/>
        <v>January</v>
      </c>
      <c r="E694" s="5" t="str">
        <f t="shared" ca="1" si="125"/>
        <v>STU-288</v>
      </c>
      <c r="F694" s="5" t="str">
        <f ca="1">IF(COUNTIF($E$2:E694,E694)=1,"New Customer","Returning Customer")</f>
        <v>New Customer</v>
      </c>
      <c r="G694" s="5" t="str">
        <f t="shared" ca="1" si="126"/>
        <v>Not specified</v>
      </c>
      <c r="H694" s="5" t="s">
        <v>142</v>
      </c>
      <c r="I694" s="5" t="str" cm="1">
        <f t="array" aca="1" ref="I694" ca="1">INDEX(Courses!$B$9:$B$16,RANDBETWEEN(1,8))</f>
        <v>Tax Code</v>
      </c>
      <c r="J694" s="5" t="str">
        <f ca="1">VLOOKUP(I694,Courses!$B$9:$C$16,2,0)</f>
        <v>Finance &amp; Taxation</v>
      </c>
      <c r="K694" s="7">
        <f ca="1">VLOOKUP(I694,Courses!$B$9:$D$16,3,0)</f>
        <v>59</v>
      </c>
      <c r="L694" s="5" t="str">
        <f t="shared" ca="1" si="127"/>
        <v>Paid</v>
      </c>
      <c r="M694" s="8" t="str" cm="1">
        <f t="array" aca="1" ref="M694" ca="1">INDEX('Payment Method'!$A$8:$A$12,RANDBETWEEN(1,5))</f>
        <v>Visa Debit</v>
      </c>
      <c r="N694" s="7">
        <f>IFERROR(SUMIF(Holiday!$A$8:$A$11,B694,Holiday!$C$8:$C$11),0)</f>
        <v>0</v>
      </c>
      <c r="O694" s="7">
        <f t="shared" ca="1" si="128"/>
        <v>59</v>
      </c>
      <c r="P694" s="19">
        <f t="shared" ca="1" si="129"/>
        <v>57.82</v>
      </c>
      <c r="Q694" s="7">
        <f t="shared" ca="1" si="130"/>
        <v>0</v>
      </c>
      <c r="R694" s="8">
        <f ca="1">VLOOKUP(M694,'Payment Method'!$A$8:$B$12,2,0)</f>
        <v>0.02</v>
      </c>
      <c r="S694" s="9">
        <f t="shared" ca="1" si="120"/>
        <v>1.1799999999999997</v>
      </c>
      <c r="T694" s="8">
        <v>0.01</v>
      </c>
      <c r="U694" s="9">
        <f t="shared" ca="1" si="121"/>
        <v>0.57820000000000249</v>
      </c>
      <c r="V694" s="7">
        <f t="shared" ca="1" si="122"/>
        <v>0</v>
      </c>
      <c r="W694" s="7">
        <f t="shared" ca="1" si="123"/>
        <v>57.241799999999998</v>
      </c>
      <c r="X694" s="5" t="str">
        <f t="shared" ca="1" si="131"/>
        <v>Instagram</v>
      </c>
      <c r="Y694" s="78" t="str">
        <f>IF(COUNTIF($C$1:C693,B693)=1,10,"")</f>
        <v/>
      </c>
    </row>
    <row r="695" spans="1:25" x14ac:dyDescent="0.3">
      <c r="A695" s="76">
        <v>694</v>
      </c>
      <c r="B695" s="6">
        <v>46206</v>
      </c>
      <c r="C695" s="6">
        <v>46209</v>
      </c>
      <c r="D695" s="17" t="str">
        <f t="shared" si="124"/>
        <v>July</v>
      </c>
      <c r="E695" s="5" t="str">
        <f t="shared" ca="1" si="125"/>
        <v>STU-641</v>
      </c>
      <c r="F695" s="5" t="str">
        <f ca="1">IF(COUNTIF($E$2:E695,E695)=1,"New Customer","Returning Customer")</f>
        <v>New Customer</v>
      </c>
      <c r="G695" s="5" t="str">
        <f t="shared" ca="1" si="126"/>
        <v>Male</v>
      </c>
      <c r="H695" s="5" t="s">
        <v>138</v>
      </c>
      <c r="I695" s="5" t="str" cm="1">
        <f t="array" aca="1" ref="I695" ca="1">INDEX(Courses!$B$9:$B$16,RANDBETWEEN(1,8))</f>
        <v>Power BI</v>
      </c>
      <c r="J695" s="5" t="str">
        <f ca="1">VLOOKUP(I695,Courses!$B$9:$C$16,2,0)</f>
        <v>Data Analytics</v>
      </c>
      <c r="K695" s="7">
        <f ca="1">VLOOKUP(I695,Courses!$B$9:$D$16,3,0)</f>
        <v>59</v>
      </c>
      <c r="L695" s="5" t="str">
        <f t="shared" ca="1" si="127"/>
        <v>Pending</v>
      </c>
      <c r="M695" s="8" t="str" cm="1">
        <f t="array" aca="1" ref="M695" ca="1">INDEX('Payment Method'!$A$8:$A$12,RANDBETWEEN(1,5))</f>
        <v>Mastercard Debit</v>
      </c>
      <c r="N695" s="7">
        <f>IFERROR(SUMIF(Holiday!$A$8:$A$11,B695,Holiday!$C$8:$C$11),0)</f>
        <v>0</v>
      </c>
      <c r="O695" s="7">
        <f t="shared" ca="1" si="128"/>
        <v>59</v>
      </c>
      <c r="P695" s="19">
        <f t="shared" ca="1" si="129"/>
        <v>57.82</v>
      </c>
      <c r="Q695" s="7">
        <f t="shared" ca="1" si="130"/>
        <v>57.241799999999998</v>
      </c>
      <c r="R695" s="8">
        <f ca="1">VLOOKUP(M695,'Payment Method'!$A$8:$B$12,2,0)</f>
        <v>0.02</v>
      </c>
      <c r="S695" s="9">
        <f t="shared" ca="1" si="120"/>
        <v>1.1799999999999997</v>
      </c>
      <c r="T695" s="8">
        <v>0.01</v>
      </c>
      <c r="U695" s="9">
        <f t="shared" ca="1" si="121"/>
        <v>0.57820000000000249</v>
      </c>
      <c r="V695" s="7">
        <f t="shared" ca="1" si="122"/>
        <v>0</v>
      </c>
      <c r="W695" s="7">
        <f t="shared" ca="1" si="123"/>
        <v>0</v>
      </c>
      <c r="X695" s="5" t="str">
        <f t="shared" ca="1" si="131"/>
        <v>Facebook</v>
      </c>
      <c r="Y695" s="78" t="str">
        <f>IF(COUNTIF($C$1:C694,B694)=1,10,"")</f>
        <v/>
      </c>
    </row>
    <row r="696" spans="1:25" x14ac:dyDescent="0.3">
      <c r="A696" s="75">
        <v>695</v>
      </c>
      <c r="B696" s="6">
        <v>46153</v>
      </c>
      <c r="C696" s="6">
        <v>46154</v>
      </c>
      <c r="D696" s="17" t="str">
        <f t="shared" si="124"/>
        <v>May</v>
      </c>
      <c r="E696" s="5" t="str">
        <f t="shared" ca="1" si="125"/>
        <v>STU-118</v>
      </c>
      <c r="F696" s="5" t="str">
        <f ca="1">IF(COUNTIF($E$2:E696,E696)=1,"New Customer","Returning Customer")</f>
        <v>New Customer</v>
      </c>
      <c r="G696" s="5" t="str">
        <f t="shared" ca="1" si="126"/>
        <v>Not specified</v>
      </c>
      <c r="H696" s="5" t="s">
        <v>137</v>
      </c>
      <c r="I696" s="5" t="str" cm="1">
        <f t="array" aca="1" ref="I696" ca="1">INDEX(Courses!$B$9:$B$16,RANDBETWEEN(1,8))</f>
        <v>PowerPoint</v>
      </c>
      <c r="J696" s="5" t="str">
        <f ca="1">VLOOKUP(I696,Courses!$B$9:$C$16,2,0)</f>
        <v>Microsoft Office</v>
      </c>
      <c r="K696" s="7">
        <f ca="1">VLOOKUP(I696,Courses!$B$9:$D$16,3,0)</f>
        <v>29</v>
      </c>
      <c r="L696" s="5" t="str">
        <f t="shared" ca="1" si="127"/>
        <v>Pending</v>
      </c>
      <c r="M696" s="8" t="str" cm="1">
        <f t="array" aca="1" ref="M696" ca="1">INDEX('Payment Method'!$A$8:$A$12,RANDBETWEEN(1,5))</f>
        <v>Visa Debit</v>
      </c>
      <c r="N696" s="7">
        <f>IFERROR(SUMIF(Holiday!$A$8:$A$11,B696,Holiday!$C$8:$C$11),0)</f>
        <v>0</v>
      </c>
      <c r="O696" s="7">
        <f t="shared" ca="1" si="128"/>
        <v>29</v>
      </c>
      <c r="P696" s="19">
        <f t="shared" ca="1" si="129"/>
        <v>28.42</v>
      </c>
      <c r="Q696" s="7">
        <f t="shared" ca="1" si="130"/>
        <v>28.135800000000003</v>
      </c>
      <c r="R696" s="8">
        <f ca="1">VLOOKUP(M696,'Payment Method'!$A$8:$B$12,2,0)</f>
        <v>0.02</v>
      </c>
      <c r="S696" s="9">
        <f t="shared" ca="1" si="120"/>
        <v>0.57999999999999829</v>
      </c>
      <c r="T696" s="8">
        <v>0.01</v>
      </c>
      <c r="U696" s="9">
        <f t="shared" ca="1" si="121"/>
        <v>0.28419999999999845</v>
      </c>
      <c r="V696" s="7">
        <f t="shared" ca="1" si="122"/>
        <v>0</v>
      </c>
      <c r="W696" s="7">
        <f t="shared" ca="1" si="123"/>
        <v>0</v>
      </c>
      <c r="X696" s="5" t="str">
        <f t="shared" ca="1" si="131"/>
        <v>Instagram</v>
      </c>
      <c r="Y696" s="78" t="str">
        <f>IF(COUNTIF($C$1:C695,B695)=1,10,"")</f>
        <v/>
      </c>
    </row>
    <row r="697" spans="1:25" x14ac:dyDescent="0.3">
      <c r="A697" s="76">
        <v>696</v>
      </c>
      <c r="B697" s="6">
        <v>46100</v>
      </c>
      <c r="C697" s="6">
        <v>46100</v>
      </c>
      <c r="D697" s="17" t="str">
        <f t="shared" si="124"/>
        <v>March</v>
      </c>
      <c r="E697" s="5" t="str">
        <f t="shared" ca="1" si="125"/>
        <v>STU-523</v>
      </c>
      <c r="F697" s="5" t="str">
        <f ca="1">IF(COUNTIF($E$2:E697,E697)=1,"New Customer","Returning Customer")</f>
        <v>New Customer</v>
      </c>
      <c r="G697" s="5" t="str">
        <f t="shared" ca="1" si="126"/>
        <v>Male</v>
      </c>
      <c r="H697" s="5" t="s">
        <v>141</v>
      </c>
      <c r="I697" s="5" t="str" cm="1">
        <f t="array" aca="1" ref="I697" ca="1">INDEX(Courses!$B$9:$B$16,RANDBETWEEN(1,8))</f>
        <v>PowerPoint</v>
      </c>
      <c r="J697" s="5" t="str">
        <f ca="1">VLOOKUP(I697,Courses!$B$9:$C$16,2,0)</f>
        <v>Microsoft Office</v>
      </c>
      <c r="K697" s="7">
        <f ca="1">VLOOKUP(I697,Courses!$B$9:$D$16,3,0)</f>
        <v>29</v>
      </c>
      <c r="L697" s="5" t="str">
        <f t="shared" ca="1" si="127"/>
        <v>Paid</v>
      </c>
      <c r="M697" s="8" t="str" cm="1">
        <f t="array" aca="1" ref="M697" ca="1">INDEX('Payment Method'!$A$8:$A$12,RANDBETWEEN(1,5))</f>
        <v>Bank Transfer</v>
      </c>
      <c r="N697" s="7">
        <f>IFERROR(SUMIF(Holiday!$A$8:$A$11,B697,Holiday!$C$8:$C$11),0)</f>
        <v>0</v>
      </c>
      <c r="O697" s="7">
        <f t="shared" ca="1" si="128"/>
        <v>29</v>
      </c>
      <c r="P697" s="19">
        <f t="shared" ca="1" si="129"/>
        <v>29</v>
      </c>
      <c r="Q697" s="7">
        <f t="shared" ca="1" si="130"/>
        <v>0</v>
      </c>
      <c r="R697" s="8">
        <f ca="1">VLOOKUP(M697,'Payment Method'!$A$8:$B$12,2,0)</f>
        <v>0</v>
      </c>
      <c r="S697" s="9">
        <f t="shared" ca="1" si="120"/>
        <v>0</v>
      </c>
      <c r="T697" s="8">
        <v>0.01</v>
      </c>
      <c r="U697" s="9">
        <f t="shared" ca="1" si="121"/>
        <v>0.28999999999999915</v>
      </c>
      <c r="V697" s="7">
        <f t="shared" ca="1" si="122"/>
        <v>0</v>
      </c>
      <c r="W697" s="7">
        <f t="shared" ca="1" si="123"/>
        <v>28.71</v>
      </c>
      <c r="X697" s="5" t="str">
        <f t="shared" ca="1" si="131"/>
        <v>Instagram</v>
      </c>
      <c r="Y697" s="78" t="str">
        <f>IF(COUNTIF($C$1:C696,B696)=1,10,"")</f>
        <v/>
      </c>
    </row>
    <row r="698" spans="1:25" x14ac:dyDescent="0.3">
      <c r="A698" s="75">
        <v>697</v>
      </c>
      <c r="B698" s="6">
        <v>46221</v>
      </c>
      <c r="C698" s="6">
        <v>46222</v>
      </c>
      <c r="D698" s="17" t="str">
        <f t="shared" si="124"/>
        <v>July</v>
      </c>
      <c r="E698" s="5" t="str">
        <f t="shared" ca="1" si="125"/>
        <v>STU-191</v>
      </c>
      <c r="F698" s="5" t="str">
        <f ca="1">IF(COUNTIF($E$2:E698,E698)=1,"New Customer","Returning Customer")</f>
        <v>Returning Customer</v>
      </c>
      <c r="G698" s="5" t="str">
        <f t="shared" ca="1" si="126"/>
        <v>Male</v>
      </c>
      <c r="H698" s="5" t="s">
        <v>135</v>
      </c>
      <c r="I698" s="5" t="str" cm="1">
        <f t="array" aca="1" ref="I698" ca="1">INDEX(Courses!$B$9:$B$16,RANDBETWEEN(1,8))</f>
        <v>Power BI</v>
      </c>
      <c r="J698" s="5" t="str">
        <f ca="1">VLOOKUP(I698,Courses!$B$9:$C$16,2,0)</f>
        <v>Data Analytics</v>
      </c>
      <c r="K698" s="7">
        <f ca="1">VLOOKUP(I698,Courses!$B$9:$D$16,3,0)</f>
        <v>59</v>
      </c>
      <c r="L698" s="5" t="str">
        <f t="shared" ca="1" si="127"/>
        <v>Paid</v>
      </c>
      <c r="M698" s="8" t="str" cm="1">
        <f t="array" aca="1" ref="M698" ca="1">INDEX('Payment Method'!$A$8:$A$12,RANDBETWEEN(1,5))</f>
        <v>Bank Transfer</v>
      </c>
      <c r="N698" s="7">
        <f>IFERROR(SUMIF(Holiday!$A$8:$A$11,B698,Holiday!$C$8:$C$11),0)</f>
        <v>0</v>
      </c>
      <c r="O698" s="7">
        <f t="shared" ca="1" si="128"/>
        <v>59</v>
      </c>
      <c r="P698" s="19">
        <f t="shared" ca="1" si="129"/>
        <v>59</v>
      </c>
      <c r="Q698" s="7">
        <f t="shared" ca="1" si="130"/>
        <v>0</v>
      </c>
      <c r="R698" s="8">
        <f ca="1">VLOOKUP(M698,'Payment Method'!$A$8:$B$12,2,0)</f>
        <v>0</v>
      </c>
      <c r="S698" s="9">
        <f t="shared" ca="1" si="120"/>
        <v>0</v>
      </c>
      <c r="T698" s="8">
        <v>0.01</v>
      </c>
      <c r="U698" s="9">
        <f t="shared" ca="1" si="121"/>
        <v>0.59000000000000341</v>
      </c>
      <c r="V698" s="7">
        <f t="shared" ca="1" si="122"/>
        <v>0</v>
      </c>
      <c r="W698" s="7">
        <f t="shared" ca="1" si="123"/>
        <v>58.41</v>
      </c>
      <c r="X698" s="5" t="str">
        <f t="shared" ca="1" si="131"/>
        <v>Tiktok</v>
      </c>
      <c r="Y698" s="78" t="str">
        <f>IF(COUNTIF($C$1:C697,B697)=1,10,"")</f>
        <v/>
      </c>
    </row>
    <row r="699" spans="1:25" x14ac:dyDescent="0.3">
      <c r="A699" s="76">
        <v>698</v>
      </c>
      <c r="B699" s="6">
        <v>46081</v>
      </c>
      <c r="C699" s="6">
        <v>46085</v>
      </c>
      <c r="D699" s="17" t="str">
        <f t="shared" si="124"/>
        <v>March</v>
      </c>
      <c r="E699" s="5" t="str">
        <f t="shared" ca="1" si="125"/>
        <v>STU-992</v>
      </c>
      <c r="F699" s="5" t="str">
        <f ca="1">IF(COUNTIF($E$2:E699,E699)=1,"New Customer","Returning Customer")</f>
        <v>Returning Customer</v>
      </c>
      <c r="G699" s="5" t="str">
        <f t="shared" ca="1" si="126"/>
        <v>Not specified</v>
      </c>
      <c r="H699" s="5" t="s">
        <v>141</v>
      </c>
      <c r="I699" s="5" t="str" cm="1">
        <f t="array" aca="1" ref="I699" ca="1">INDEX(Courses!$B$9:$B$16,RANDBETWEEN(1,8))</f>
        <v>SQL</v>
      </c>
      <c r="J699" s="5" t="str">
        <f ca="1">VLOOKUP(I699,Courses!$B$9:$C$16,2,0)</f>
        <v>Data Analytics</v>
      </c>
      <c r="K699" s="7">
        <f ca="1">VLOOKUP(I699,Courses!$B$9:$D$16,3,0)</f>
        <v>99</v>
      </c>
      <c r="L699" s="5" t="str">
        <f t="shared" ca="1" si="127"/>
        <v>Paid</v>
      </c>
      <c r="M699" s="8" t="str" cm="1">
        <f t="array" aca="1" ref="M699" ca="1">INDEX('Payment Method'!$A$8:$A$12,RANDBETWEEN(1,5))</f>
        <v>Bank Transfer</v>
      </c>
      <c r="N699" s="7">
        <f>IFERROR(SUMIF(Holiday!$A$8:$A$11,B699,Holiday!$C$8:$C$11),0)</f>
        <v>0</v>
      </c>
      <c r="O699" s="7">
        <f t="shared" ca="1" si="128"/>
        <v>99</v>
      </c>
      <c r="P699" s="19">
        <f t="shared" ca="1" si="129"/>
        <v>99</v>
      </c>
      <c r="Q699" s="7">
        <f t="shared" ca="1" si="130"/>
        <v>0</v>
      </c>
      <c r="R699" s="8">
        <f ca="1">VLOOKUP(M699,'Payment Method'!$A$8:$B$12,2,0)</f>
        <v>0</v>
      </c>
      <c r="S699" s="9">
        <f t="shared" ca="1" si="120"/>
        <v>0</v>
      </c>
      <c r="T699" s="8">
        <v>0.01</v>
      </c>
      <c r="U699" s="9">
        <f t="shared" ca="1" si="121"/>
        <v>0.98999999999999488</v>
      </c>
      <c r="V699" s="7">
        <f t="shared" ca="1" si="122"/>
        <v>0</v>
      </c>
      <c r="W699" s="7">
        <f t="shared" ca="1" si="123"/>
        <v>98.01</v>
      </c>
      <c r="X699" s="5" t="str">
        <f t="shared" ca="1" si="131"/>
        <v>Tiktok</v>
      </c>
      <c r="Y699" s="78" t="str">
        <f>IF(COUNTIF($C$1:C698,B698)=1,10,"")</f>
        <v/>
      </c>
    </row>
    <row r="700" spans="1:25" x14ac:dyDescent="0.3">
      <c r="A700" s="75">
        <v>699</v>
      </c>
      <c r="B700" s="6">
        <v>46063</v>
      </c>
      <c r="C700" s="6">
        <v>46063</v>
      </c>
      <c r="D700" s="17" t="str">
        <f t="shared" si="124"/>
        <v>February</v>
      </c>
      <c r="E700" s="5" t="str">
        <f t="shared" ca="1" si="125"/>
        <v>STU-805</v>
      </c>
      <c r="F700" s="5" t="str">
        <f ca="1">IF(COUNTIF($E$2:E700,E700)=1,"New Customer","Returning Customer")</f>
        <v>New Customer</v>
      </c>
      <c r="G700" s="5" t="str">
        <f t="shared" ca="1" si="126"/>
        <v>Female</v>
      </c>
      <c r="H700" s="5" t="s">
        <v>136</v>
      </c>
      <c r="I700" s="5" t="str" cm="1">
        <f t="array" aca="1" ref="I700" ca="1">INDEX(Courses!$B$9:$B$16,RANDBETWEEN(1,8))</f>
        <v>SQL</v>
      </c>
      <c r="J700" s="5" t="str">
        <f ca="1">VLOOKUP(I700,Courses!$B$9:$C$16,2,0)</f>
        <v>Data Analytics</v>
      </c>
      <c r="K700" s="7">
        <f ca="1">VLOOKUP(I700,Courses!$B$9:$D$16,3,0)</f>
        <v>99</v>
      </c>
      <c r="L700" s="5" t="str">
        <f t="shared" ca="1" si="127"/>
        <v>Paid</v>
      </c>
      <c r="M700" s="8" t="str" cm="1">
        <f t="array" aca="1" ref="M700" ca="1">INDEX('Payment Method'!$A$8:$A$12,RANDBETWEEN(1,5))</f>
        <v>Bank Transfer</v>
      </c>
      <c r="N700" s="7">
        <f>IFERROR(SUMIF(Holiday!$A$8:$A$11,B700,Holiday!$C$8:$C$11),0)</f>
        <v>0</v>
      </c>
      <c r="O700" s="7">
        <f t="shared" ca="1" si="128"/>
        <v>99</v>
      </c>
      <c r="P700" s="19">
        <f t="shared" ca="1" si="129"/>
        <v>99</v>
      </c>
      <c r="Q700" s="7">
        <f t="shared" ca="1" si="130"/>
        <v>0</v>
      </c>
      <c r="R700" s="8">
        <f ca="1">VLOOKUP(M700,'Payment Method'!$A$8:$B$12,2,0)</f>
        <v>0</v>
      </c>
      <c r="S700" s="9">
        <f t="shared" ca="1" si="120"/>
        <v>0</v>
      </c>
      <c r="T700" s="8">
        <v>0.01</v>
      </c>
      <c r="U700" s="9">
        <f t="shared" ca="1" si="121"/>
        <v>0.98999999999999488</v>
      </c>
      <c r="V700" s="7">
        <f t="shared" ca="1" si="122"/>
        <v>0</v>
      </c>
      <c r="W700" s="7">
        <f t="shared" ca="1" si="123"/>
        <v>98.01</v>
      </c>
      <c r="X700" s="5" t="str">
        <f t="shared" ca="1" si="131"/>
        <v>Facebook</v>
      </c>
      <c r="Y700" s="78" t="str">
        <f>IF(COUNTIF($C$1:C699,B699)=1,10,"")</f>
        <v/>
      </c>
    </row>
    <row r="701" spans="1:25" x14ac:dyDescent="0.3">
      <c r="A701" s="76">
        <v>700</v>
      </c>
      <c r="B701" s="6">
        <v>46069</v>
      </c>
      <c r="C701" s="6">
        <v>46071</v>
      </c>
      <c r="D701" s="17" t="str">
        <f t="shared" si="124"/>
        <v>February</v>
      </c>
      <c r="E701" s="5" t="str">
        <f t="shared" ca="1" si="125"/>
        <v>STU-691</v>
      </c>
      <c r="F701" s="5" t="str">
        <f ca="1">IF(COUNTIF($E$2:E701,E701)=1,"New Customer","Returning Customer")</f>
        <v>New Customer</v>
      </c>
      <c r="G701" s="5" t="str">
        <f t="shared" ca="1" si="126"/>
        <v>Male</v>
      </c>
      <c r="H701" s="5" t="s">
        <v>138</v>
      </c>
      <c r="I701" s="5" t="str" cm="1">
        <f t="array" aca="1" ref="I701" ca="1">INDEX(Courses!$B$9:$B$16,RANDBETWEEN(1,8))</f>
        <v>SQL</v>
      </c>
      <c r="J701" s="5" t="str">
        <f ca="1">VLOOKUP(I701,Courses!$B$9:$C$16,2,0)</f>
        <v>Data Analytics</v>
      </c>
      <c r="K701" s="7">
        <f ca="1">VLOOKUP(I701,Courses!$B$9:$D$16,3,0)</f>
        <v>99</v>
      </c>
      <c r="L701" s="5" t="str">
        <f t="shared" ca="1" si="127"/>
        <v>Pending</v>
      </c>
      <c r="M701" s="8" t="str" cm="1">
        <f t="array" aca="1" ref="M701" ca="1">INDEX('Payment Method'!$A$8:$A$12,RANDBETWEEN(1,5))</f>
        <v>Bank Transfer</v>
      </c>
      <c r="N701" s="7">
        <f>IFERROR(SUMIF(Holiday!$A$8:$A$11,B701,Holiday!$C$8:$C$11),0)</f>
        <v>0</v>
      </c>
      <c r="O701" s="7">
        <f t="shared" ca="1" si="128"/>
        <v>99</v>
      </c>
      <c r="P701" s="19">
        <f t="shared" ca="1" si="129"/>
        <v>99</v>
      </c>
      <c r="Q701" s="7">
        <f t="shared" ca="1" si="130"/>
        <v>98.01</v>
      </c>
      <c r="R701" s="8">
        <f ca="1">VLOOKUP(M701,'Payment Method'!$A$8:$B$12,2,0)</f>
        <v>0</v>
      </c>
      <c r="S701" s="9">
        <f t="shared" ca="1" si="120"/>
        <v>0</v>
      </c>
      <c r="T701" s="8">
        <v>0.01</v>
      </c>
      <c r="U701" s="9">
        <f t="shared" ca="1" si="121"/>
        <v>0.98999999999999488</v>
      </c>
      <c r="V701" s="7">
        <f t="shared" ca="1" si="122"/>
        <v>0</v>
      </c>
      <c r="W701" s="7">
        <f t="shared" ca="1" si="123"/>
        <v>0</v>
      </c>
      <c r="X701" s="5" t="str">
        <f t="shared" ca="1" si="131"/>
        <v>Tiktok</v>
      </c>
      <c r="Y701" s="78" t="str">
        <f>IF(COUNTIF($C$1:C700,B700)=1,10,"")</f>
        <v/>
      </c>
    </row>
    <row r="702" spans="1:25" x14ac:dyDescent="0.3">
      <c r="A702" s="75">
        <v>701</v>
      </c>
      <c r="B702" s="6">
        <v>46165</v>
      </c>
      <c r="C702" s="6">
        <v>46167</v>
      </c>
      <c r="D702" s="17" t="str">
        <f t="shared" si="124"/>
        <v>May</v>
      </c>
      <c r="E702" s="5" t="str">
        <f t="shared" ca="1" si="125"/>
        <v>STU-910</v>
      </c>
      <c r="F702" s="5" t="str">
        <f ca="1">IF(COUNTIF($E$2:E702,E702)=1,"New Customer","Returning Customer")</f>
        <v>Returning Customer</v>
      </c>
      <c r="G702" s="5" t="str">
        <f t="shared" ca="1" si="126"/>
        <v>Not specified</v>
      </c>
      <c r="H702" s="5" t="s">
        <v>139</v>
      </c>
      <c r="I702" s="5" t="str" cm="1">
        <f t="array" aca="1" ref="I702" ca="1">INDEX(Courses!$B$9:$B$16,RANDBETWEEN(1,8))</f>
        <v>Excel Basics</v>
      </c>
      <c r="J702" s="5" t="str">
        <f ca="1">VLOOKUP(I702,Courses!$B$9:$C$16,2,0)</f>
        <v>Microsoft Office</v>
      </c>
      <c r="K702" s="7">
        <f ca="1">VLOOKUP(I702,Courses!$B$9:$D$16,3,0)</f>
        <v>29</v>
      </c>
      <c r="L702" s="5" t="str">
        <f t="shared" ca="1" si="127"/>
        <v>Paid</v>
      </c>
      <c r="M702" s="8" t="str" cm="1">
        <f t="array" aca="1" ref="M702" ca="1">INDEX('Payment Method'!$A$8:$A$12,RANDBETWEEN(1,5))</f>
        <v>Visa Debit</v>
      </c>
      <c r="N702" s="7">
        <f>IFERROR(SUMIF(Holiday!$A$8:$A$11,B702,Holiday!$C$8:$C$11),0)</f>
        <v>0</v>
      </c>
      <c r="O702" s="7">
        <f t="shared" ca="1" si="128"/>
        <v>29</v>
      </c>
      <c r="P702" s="19">
        <f t="shared" ca="1" si="129"/>
        <v>28.42</v>
      </c>
      <c r="Q702" s="7">
        <f t="shared" ca="1" si="130"/>
        <v>0</v>
      </c>
      <c r="R702" s="8">
        <f ca="1">VLOOKUP(M702,'Payment Method'!$A$8:$B$12,2,0)</f>
        <v>0.02</v>
      </c>
      <c r="S702" s="9">
        <f t="shared" ca="1" si="120"/>
        <v>0.57999999999999829</v>
      </c>
      <c r="T702" s="8">
        <v>0.01</v>
      </c>
      <c r="U702" s="9">
        <f t="shared" ca="1" si="121"/>
        <v>0.28419999999999845</v>
      </c>
      <c r="V702" s="7">
        <f t="shared" ca="1" si="122"/>
        <v>0</v>
      </c>
      <c r="W702" s="7">
        <f t="shared" ca="1" si="123"/>
        <v>28.135800000000003</v>
      </c>
      <c r="X702" s="5" t="str">
        <f t="shared" ca="1" si="131"/>
        <v>Facebook</v>
      </c>
      <c r="Y702" s="78">
        <f>IF(COUNTIF($C$1:C701,B701)=1,10,"")</f>
        <v>10</v>
      </c>
    </row>
    <row r="703" spans="1:25" x14ac:dyDescent="0.3">
      <c r="A703" s="76">
        <v>702</v>
      </c>
      <c r="B703" s="6">
        <v>46090</v>
      </c>
      <c r="C703" s="6">
        <v>46092</v>
      </c>
      <c r="D703" s="17" t="str">
        <f t="shared" si="124"/>
        <v>March</v>
      </c>
      <c r="E703" s="5" t="str">
        <f t="shared" ca="1" si="125"/>
        <v>STU-526</v>
      </c>
      <c r="F703" s="5" t="str">
        <f ca="1">IF(COUNTIF($E$2:E703,E703)=1,"New Customer","Returning Customer")</f>
        <v>Returning Customer</v>
      </c>
      <c r="G703" s="5" t="str">
        <f t="shared" ca="1" si="126"/>
        <v>Not specified</v>
      </c>
      <c r="H703" s="5" t="s">
        <v>137</v>
      </c>
      <c r="I703" s="5" t="str" cm="1">
        <f t="array" aca="1" ref="I703" ca="1">INDEX(Courses!$B$9:$B$16,RANDBETWEEN(1,8))</f>
        <v>Tax Code</v>
      </c>
      <c r="J703" s="5" t="str">
        <f ca="1">VLOOKUP(I703,Courses!$B$9:$C$16,2,0)</f>
        <v>Finance &amp; Taxation</v>
      </c>
      <c r="K703" s="7">
        <f ca="1">VLOOKUP(I703,Courses!$B$9:$D$16,3,0)</f>
        <v>59</v>
      </c>
      <c r="L703" s="5" t="str">
        <f t="shared" ca="1" si="127"/>
        <v>Paid</v>
      </c>
      <c r="M703" s="8" t="str" cm="1">
        <f t="array" aca="1" ref="M703" ca="1">INDEX('Payment Method'!$A$8:$A$12,RANDBETWEEN(1,5))</f>
        <v>Mastercard Credit</v>
      </c>
      <c r="N703" s="7">
        <f>IFERROR(SUMIF(Holiday!$A$8:$A$11,B703,Holiday!$C$8:$C$11),0)</f>
        <v>0</v>
      </c>
      <c r="O703" s="7">
        <f t="shared" ca="1" si="128"/>
        <v>59</v>
      </c>
      <c r="P703" s="19">
        <f t="shared" ca="1" si="129"/>
        <v>56.935000000000002</v>
      </c>
      <c r="Q703" s="7">
        <f t="shared" ca="1" si="130"/>
        <v>0</v>
      </c>
      <c r="R703" s="8">
        <f ca="1">VLOOKUP(M703,'Payment Method'!$A$8:$B$12,2,0)</f>
        <v>3.5000000000000003E-2</v>
      </c>
      <c r="S703" s="9">
        <f t="shared" ca="1" si="120"/>
        <v>2.0649999999999977</v>
      </c>
      <c r="T703" s="8">
        <v>0.01</v>
      </c>
      <c r="U703" s="9">
        <f t="shared" ca="1" si="121"/>
        <v>0.56935000000000002</v>
      </c>
      <c r="V703" s="7">
        <f t="shared" ca="1" si="122"/>
        <v>0</v>
      </c>
      <c r="W703" s="7">
        <f t="shared" ca="1" si="123"/>
        <v>56.365650000000002</v>
      </c>
      <c r="X703" s="5" t="str">
        <f t="shared" ca="1" si="131"/>
        <v>Instagram</v>
      </c>
      <c r="Y703" s="78" t="str">
        <f>IF(COUNTIF($C$1:C702,B702)=1,10,"")</f>
        <v/>
      </c>
    </row>
    <row r="704" spans="1:25" x14ac:dyDescent="0.3">
      <c r="A704" s="75">
        <v>703</v>
      </c>
      <c r="B704" s="6">
        <v>46118</v>
      </c>
      <c r="C704" s="6">
        <v>46119</v>
      </c>
      <c r="D704" s="17" t="str">
        <f t="shared" si="124"/>
        <v>April</v>
      </c>
      <c r="E704" s="5" t="str">
        <f t="shared" ca="1" si="125"/>
        <v>STU-439</v>
      </c>
      <c r="F704" s="5" t="str">
        <f ca="1">IF(COUNTIF($E$2:E704,E704)=1,"New Customer","Returning Customer")</f>
        <v>Returning Customer</v>
      </c>
      <c r="G704" s="5" t="str">
        <f t="shared" ca="1" si="126"/>
        <v>Male</v>
      </c>
      <c r="H704" s="5" t="s">
        <v>140</v>
      </c>
      <c r="I704" s="5" t="str" cm="1">
        <f t="array" aca="1" ref="I704" ca="1">INDEX(Courses!$B$9:$B$16,RANDBETWEEN(1,8))</f>
        <v>Excel Basics</v>
      </c>
      <c r="J704" s="5" t="str">
        <f ca="1">VLOOKUP(I704,Courses!$B$9:$C$16,2,0)</f>
        <v>Microsoft Office</v>
      </c>
      <c r="K704" s="7">
        <f ca="1">VLOOKUP(I704,Courses!$B$9:$D$16,3,0)</f>
        <v>29</v>
      </c>
      <c r="L704" s="5" t="str">
        <f t="shared" ca="1" si="127"/>
        <v>Paid</v>
      </c>
      <c r="M704" s="8" t="str" cm="1">
        <f t="array" aca="1" ref="M704" ca="1">INDEX('Payment Method'!$A$8:$A$12,RANDBETWEEN(1,5))</f>
        <v>Bank Transfer</v>
      </c>
      <c r="N704" s="7">
        <f>IFERROR(SUMIF(Holiday!$A$8:$A$11,B704,Holiday!$C$8:$C$11),0)</f>
        <v>0</v>
      </c>
      <c r="O704" s="7">
        <f t="shared" ca="1" si="128"/>
        <v>29</v>
      </c>
      <c r="P704" s="19">
        <f t="shared" ca="1" si="129"/>
        <v>29</v>
      </c>
      <c r="Q704" s="7">
        <f t="shared" ca="1" si="130"/>
        <v>0</v>
      </c>
      <c r="R704" s="8">
        <f ca="1">VLOOKUP(M704,'Payment Method'!$A$8:$B$12,2,0)</f>
        <v>0</v>
      </c>
      <c r="S704" s="9">
        <f t="shared" ca="1" si="120"/>
        <v>0</v>
      </c>
      <c r="T704" s="8">
        <v>0.01</v>
      </c>
      <c r="U704" s="9">
        <f t="shared" ca="1" si="121"/>
        <v>0.28999999999999915</v>
      </c>
      <c r="V704" s="7">
        <f t="shared" ca="1" si="122"/>
        <v>0</v>
      </c>
      <c r="W704" s="7">
        <f t="shared" ca="1" si="123"/>
        <v>28.71</v>
      </c>
      <c r="X704" s="5" t="str">
        <f t="shared" ca="1" si="131"/>
        <v>Instagram</v>
      </c>
      <c r="Y704" s="78" t="str">
        <f>IF(COUNTIF($C$1:C703,B703)=1,10,"")</f>
        <v/>
      </c>
    </row>
    <row r="705" spans="1:25" x14ac:dyDescent="0.3">
      <c r="A705" s="76">
        <v>704</v>
      </c>
      <c r="B705" s="6">
        <v>46055</v>
      </c>
      <c r="C705" s="6">
        <v>46056</v>
      </c>
      <c r="D705" s="17" t="str">
        <f t="shared" si="124"/>
        <v>February</v>
      </c>
      <c r="E705" s="5" t="str">
        <f t="shared" ca="1" si="125"/>
        <v>STU-978</v>
      </c>
      <c r="F705" s="5" t="str">
        <f ca="1">IF(COUNTIF($E$2:E705,E705)=1,"New Customer","Returning Customer")</f>
        <v>Returning Customer</v>
      </c>
      <c r="G705" s="5" t="str">
        <f t="shared" ca="1" si="126"/>
        <v>Female</v>
      </c>
      <c r="H705" s="5" t="s">
        <v>142</v>
      </c>
      <c r="I705" s="5" t="str" cm="1">
        <f t="array" aca="1" ref="I705" ca="1">INDEX(Courses!$B$9:$B$16,RANDBETWEEN(1,8))</f>
        <v>Power BI</v>
      </c>
      <c r="J705" s="5" t="str">
        <f ca="1">VLOOKUP(I705,Courses!$B$9:$C$16,2,0)</f>
        <v>Data Analytics</v>
      </c>
      <c r="K705" s="7">
        <f ca="1">VLOOKUP(I705,Courses!$B$9:$D$16,3,0)</f>
        <v>59</v>
      </c>
      <c r="L705" s="5" t="str">
        <f t="shared" ca="1" si="127"/>
        <v>Refunded</v>
      </c>
      <c r="M705" s="8" t="str" cm="1">
        <f t="array" aca="1" ref="M705" ca="1">INDEX('Payment Method'!$A$8:$A$12,RANDBETWEEN(1,5))</f>
        <v>Visa Debit</v>
      </c>
      <c r="N705" s="7">
        <f>IFERROR(SUMIF(Holiday!$A$8:$A$11,B705,Holiday!$C$8:$C$11),0)</f>
        <v>0</v>
      </c>
      <c r="O705" s="7">
        <f t="shared" ca="1" si="128"/>
        <v>59</v>
      </c>
      <c r="P705" s="19">
        <f t="shared" ca="1" si="129"/>
        <v>57.82</v>
      </c>
      <c r="Q705" s="7">
        <f t="shared" ca="1" si="130"/>
        <v>0</v>
      </c>
      <c r="R705" s="8">
        <f ca="1">VLOOKUP(M705,'Payment Method'!$A$8:$B$12,2,0)</f>
        <v>0.02</v>
      </c>
      <c r="S705" s="9">
        <f t="shared" ca="1" si="120"/>
        <v>1.1799999999999997</v>
      </c>
      <c r="T705" s="8">
        <v>0.01</v>
      </c>
      <c r="U705" s="9">
        <f t="shared" ca="1" si="121"/>
        <v>0.57820000000000249</v>
      </c>
      <c r="V705" s="7">
        <f t="shared" ca="1" si="122"/>
        <v>57.241799999999998</v>
      </c>
      <c r="W705" s="7">
        <f t="shared" ca="1" si="123"/>
        <v>0</v>
      </c>
      <c r="X705" s="5" t="str">
        <f t="shared" ca="1" si="131"/>
        <v>Instagram</v>
      </c>
      <c r="Y705" s="78" t="str">
        <f>IF(COUNTIF($C$1:C704,B704)=1,10,"")</f>
        <v/>
      </c>
    </row>
    <row r="706" spans="1:25" x14ac:dyDescent="0.3">
      <c r="A706" s="75">
        <v>705</v>
      </c>
      <c r="B706" s="6">
        <v>46099</v>
      </c>
      <c r="C706" s="6">
        <v>46104</v>
      </c>
      <c r="D706" s="17" t="str">
        <f t="shared" si="124"/>
        <v>March</v>
      </c>
      <c r="E706" s="5" t="str">
        <f t="shared" ca="1" si="125"/>
        <v>STU-282</v>
      </c>
      <c r="F706" s="5" t="str">
        <f ca="1">IF(COUNTIF($E$2:E706,E706)=1,"New Customer","Returning Customer")</f>
        <v>New Customer</v>
      </c>
      <c r="G706" s="5" t="str">
        <f t="shared" ca="1" si="126"/>
        <v>Not specified</v>
      </c>
      <c r="H706" s="5" t="s">
        <v>135</v>
      </c>
      <c r="I706" s="5" t="str" cm="1">
        <f t="array" aca="1" ref="I706" ca="1">INDEX(Courses!$B$9:$B$16,RANDBETWEEN(1,8))</f>
        <v>PowerPoint</v>
      </c>
      <c r="J706" s="5" t="str">
        <f ca="1">VLOOKUP(I706,Courses!$B$9:$C$16,2,0)</f>
        <v>Microsoft Office</v>
      </c>
      <c r="K706" s="7">
        <f ca="1">VLOOKUP(I706,Courses!$B$9:$D$16,3,0)</f>
        <v>29</v>
      </c>
      <c r="L706" s="5" t="str">
        <f t="shared" ca="1" si="127"/>
        <v>Paid</v>
      </c>
      <c r="M706" s="8" t="str" cm="1">
        <f t="array" aca="1" ref="M706" ca="1">INDEX('Payment Method'!$A$8:$A$12,RANDBETWEEN(1,5))</f>
        <v>Bank Transfer</v>
      </c>
      <c r="N706" s="7">
        <f>IFERROR(SUMIF(Holiday!$A$8:$A$11,B706,Holiday!$C$8:$C$11),0)</f>
        <v>0</v>
      </c>
      <c r="O706" s="7">
        <f t="shared" ca="1" si="128"/>
        <v>29</v>
      </c>
      <c r="P706" s="19">
        <f t="shared" ca="1" si="129"/>
        <v>29</v>
      </c>
      <c r="Q706" s="7">
        <f t="shared" ca="1" si="130"/>
        <v>0</v>
      </c>
      <c r="R706" s="8">
        <f ca="1">VLOOKUP(M706,'Payment Method'!$A$8:$B$12,2,0)</f>
        <v>0</v>
      </c>
      <c r="S706" s="9">
        <f t="shared" ref="S706:S769" ca="1" si="132">O706-(O706-O706*R706)</f>
        <v>0</v>
      </c>
      <c r="T706" s="8">
        <v>0.01</v>
      </c>
      <c r="U706" s="9">
        <f t="shared" ref="U706:U769" ca="1" si="133">O706-S706-((O706-S706)-(O706-S706)*T706)</f>
        <v>0.28999999999999915</v>
      </c>
      <c r="V706" s="7">
        <f t="shared" ref="V706:V769" ca="1" si="134">IF(L706="refunded",(K706-K706*N706)-(K706-K706*N706)*R706-((K706-K706*N706)-(K706-K706*N706)*R706)*T706,0)</f>
        <v>0</v>
      </c>
      <c r="W706" s="7">
        <f t="shared" ref="W706:W769" ca="1" si="135">IF(L706="paid",(K706-K706*N706)-(K706-K706*N706)*R706-((K706-K706*N706)-(K706-K706*N706)*R706)*T706,0)</f>
        <v>28.71</v>
      </c>
      <c r="X706" s="5" t="str">
        <f t="shared" ca="1" si="131"/>
        <v>Facebook</v>
      </c>
      <c r="Y706" s="78" t="str">
        <f>IF(COUNTIF($C$1:C705,B705)=1,10,"")</f>
        <v/>
      </c>
    </row>
    <row r="707" spans="1:25" x14ac:dyDescent="0.3">
      <c r="A707" s="76">
        <v>706</v>
      </c>
      <c r="B707" s="6">
        <v>46152</v>
      </c>
      <c r="C707" s="6">
        <v>46152</v>
      </c>
      <c r="D707" s="17" t="str">
        <f t="shared" ref="D707:D770" si="136">TEXT(C707,"mmmm")</f>
        <v>May</v>
      </c>
      <c r="E707" s="5" t="str">
        <f t="shared" ref="E707:E770" ca="1" si="137">"STU-"&amp;RANDBETWEEN(1,1000)</f>
        <v>STU-183</v>
      </c>
      <c r="F707" s="5" t="str">
        <f ca="1">IF(COUNTIF($E$2:E707,E707)=1,"New Customer","Returning Customer")</f>
        <v>Returning Customer</v>
      </c>
      <c r="G707" s="5" t="str">
        <f t="shared" ref="G707:G770" ca="1" si="138">CHOOSE(RANDBETWEEN(1,3),"Male","Female","Not specified")</f>
        <v>Male</v>
      </c>
      <c r="H707" s="5" t="s">
        <v>138</v>
      </c>
      <c r="I707" s="5" t="str" cm="1">
        <f t="array" aca="1" ref="I707" ca="1">INDEX(Courses!$B$9:$B$16,RANDBETWEEN(1,8))</f>
        <v>Tax Code</v>
      </c>
      <c r="J707" s="5" t="str">
        <f ca="1">VLOOKUP(I707,Courses!$B$9:$C$16,2,0)</f>
        <v>Finance &amp; Taxation</v>
      </c>
      <c r="K707" s="7">
        <f ca="1">VLOOKUP(I707,Courses!$B$9:$D$16,3,0)</f>
        <v>59</v>
      </c>
      <c r="L707" s="5" t="str">
        <f t="shared" ref="L707:L770" ca="1" si="139">IF(RAND()&lt;0.6,"Paid",IF(RAND()&lt;0.75,"Pending","Refunded"))</f>
        <v>Paid</v>
      </c>
      <c r="M707" s="8" t="str" cm="1">
        <f t="array" aca="1" ref="M707" ca="1">INDEX('Payment Method'!$A$8:$A$12,RANDBETWEEN(1,5))</f>
        <v>Mastercard Credit</v>
      </c>
      <c r="N707" s="7">
        <f>IFERROR(SUMIF(Holiday!$A$8:$A$11,B707,Holiday!$C$8:$C$11),0)</f>
        <v>0</v>
      </c>
      <c r="O707" s="7">
        <f t="shared" ref="O707:O770" ca="1" si="140">K707-K707*N707</f>
        <v>59</v>
      </c>
      <c r="P707" s="19">
        <f t="shared" ref="P707:P770" ca="1" si="141">O707-S707</f>
        <v>56.935000000000002</v>
      </c>
      <c r="Q707" s="7">
        <f t="shared" ref="Q707:Q770" ca="1" si="142">IF(L707="pending",(K707-K707*N707)-(K707-K707*N707)*R707-((K707-K707*N707)-(K707-K707*N707)*R707)*T707,0)</f>
        <v>0</v>
      </c>
      <c r="R707" s="8">
        <f ca="1">VLOOKUP(M707,'Payment Method'!$A$8:$B$12,2,0)</f>
        <v>3.5000000000000003E-2</v>
      </c>
      <c r="S707" s="9">
        <f t="shared" ca="1" si="132"/>
        <v>2.0649999999999977</v>
      </c>
      <c r="T707" s="8">
        <v>0.01</v>
      </c>
      <c r="U707" s="9">
        <f t="shared" ca="1" si="133"/>
        <v>0.56935000000000002</v>
      </c>
      <c r="V707" s="7">
        <f t="shared" ca="1" si="134"/>
        <v>0</v>
      </c>
      <c r="W707" s="7">
        <f t="shared" ca="1" si="135"/>
        <v>56.365650000000002</v>
      </c>
      <c r="X707" s="5" t="str">
        <f t="shared" ref="X707:X770" ca="1" si="143">CHOOSE(RANDBETWEEN(1,3),"Facebook","Instagram","Tiktok")</f>
        <v>Tiktok</v>
      </c>
      <c r="Y707" s="78" t="str">
        <f>IF(COUNTIF($C$1:C706,B706)=1,10,"")</f>
        <v/>
      </c>
    </row>
    <row r="708" spans="1:25" x14ac:dyDescent="0.3">
      <c r="A708" s="75">
        <v>707</v>
      </c>
      <c r="B708" s="6">
        <v>46175</v>
      </c>
      <c r="C708" s="6">
        <v>46176</v>
      </c>
      <c r="D708" s="17" t="str">
        <f t="shared" si="136"/>
        <v>June</v>
      </c>
      <c r="E708" s="5" t="str">
        <f t="shared" ca="1" si="137"/>
        <v>STU-619</v>
      </c>
      <c r="F708" s="5" t="str">
        <f ca="1">IF(COUNTIF($E$2:E708,E708)=1,"New Customer","Returning Customer")</f>
        <v>Returning Customer</v>
      </c>
      <c r="G708" s="5" t="str">
        <f t="shared" ca="1" si="138"/>
        <v>Male</v>
      </c>
      <c r="H708" s="5" t="s">
        <v>136</v>
      </c>
      <c r="I708" s="5" t="str" cm="1">
        <f t="array" aca="1" ref="I708" ca="1">INDEX(Courses!$B$9:$B$16,RANDBETWEEN(1,8))</f>
        <v>SQL</v>
      </c>
      <c r="J708" s="5" t="str">
        <f ca="1">VLOOKUP(I708,Courses!$B$9:$C$16,2,0)</f>
        <v>Data Analytics</v>
      </c>
      <c r="K708" s="7">
        <f ca="1">VLOOKUP(I708,Courses!$B$9:$D$16,3,0)</f>
        <v>99</v>
      </c>
      <c r="L708" s="5" t="str">
        <f t="shared" ca="1" si="139"/>
        <v>Pending</v>
      </c>
      <c r="M708" s="8" t="str" cm="1">
        <f t="array" aca="1" ref="M708" ca="1">INDEX('Payment Method'!$A$8:$A$12,RANDBETWEEN(1,5))</f>
        <v>Visa Debit</v>
      </c>
      <c r="N708" s="7">
        <f>IFERROR(SUMIF(Holiday!$A$8:$A$11,B708,Holiday!$C$8:$C$11),0)</f>
        <v>0</v>
      </c>
      <c r="O708" s="7">
        <f t="shared" ca="1" si="140"/>
        <v>99</v>
      </c>
      <c r="P708" s="19">
        <f t="shared" ca="1" si="141"/>
        <v>97.02</v>
      </c>
      <c r="Q708" s="7">
        <f t="shared" ca="1" si="142"/>
        <v>96.049799999999991</v>
      </c>
      <c r="R708" s="8">
        <f ca="1">VLOOKUP(M708,'Payment Method'!$A$8:$B$12,2,0)</f>
        <v>0.02</v>
      </c>
      <c r="S708" s="9">
        <f t="shared" ca="1" si="132"/>
        <v>1.980000000000004</v>
      </c>
      <c r="T708" s="8">
        <v>0.01</v>
      </c>
      <c r="U708" s="9">
        <f t="shared" ca="1" si="133"/>
        <v>0.9702000000000055</v>
      </c>
      <c r="V708" s="7">
        <f t="shared" ca="1" si="134"/>
        <v>0</v>
      </c>
      <c r="W708" s="7">
        <f t="shared" ca="1" si="135"/>
        <v>0</v>
      </c>
      <c r="X708" s="5" t="str">
        <f t="shared" ca="1" si="143"/>
        <v>Facebook</v>
      </c>
      <c r="Y708" s="78" t="str">
        <f>IF(COUNTIF($C$1:C707,B707)=1,10,"")</f>
        <v/>
      </c>
    </row>
    <row r="709" spans="1:25" x14ac:dyDescent="0.3">
      <c r="A709" s="76">
        <v>708</v>
      </c>
      <c r="B709" s="6">
        <v>46074</v>
      </c>
      <c r="C709" s="6">
        <v>46075</v>
      </c>
      <c r="D709" s="17" t="str">
        <f t="shared" si="136"/>
        <v>February</v>
      </c>
      <c r="E709" s="5" t="str">
        <f t="shared" ca="1" si="137"/>
        <v>STU-10</v>
      </c>
      <c r="F709" s="5" t="str">
        <f ca="1">IF(COUNTIF($E$2:E709,E709)=1,"New Customer","Returning Customer")</f>
        <v>New Customer</v>
      </c>
      <c r="G709" s="5" t="str">
        <f t="shared" ca="1" si="138"/>
        <v>Female</v>
      </c>
      <c r="H709" s="5" t="s">
        <v>142</v>
      </c>
      <c r="I709" s="5" t="str" cm="1">
        <f t="array" aca="1" ref="I709" ca="1">INDEX(Courses!$B$9:$B$16,RANDBETWEEN(1,8))</f>
        <v>Complete Excel Course</v>
      </c>
      <c r="J709" s="5" t="str">
        <f ca="1">VLOOKUP(I709,Courses!$B$9:$C$16,2,0)</f>
        <v>Microsoft Office</v>
      </c>
      <c r="K709" s="7">
        <f ca="1">VLOOKUP(I709,Courses!$B$9:$D$16,3,0)</f>
        <v>59</v>
      </c>
      <c r="L709" s="5" t="str">
        <f t="shared" ca="1" si="139"/>
        <v>Paid</v>
      </c>
      <c r="M709" s="8" t="str" cm="1">
        <f t="array" aca="1" ref="M709" ca="1">INDEX('Payment Method'!$A$8:$A$12,RANDBETWEEN(1,5))</f>
        <v>Visa Debit</v>
      </c>
      <c r="N709" s="7">
        <f>IFERROR(SUMIF(Holiday!$A$8:$A$11,B709,Holiday!$C$8:$C$11),0)</f>
        <v>0</v>
      </c>
      <c r="O709" s="7">
        <f t="shared" ca="1" si="140"/>
        <v>59</v>
      </c>
      <c r="P709" s="19">
        <f t="shared" ca="1" si="141"/>
        <v>57.82</v>
      </c>
      <c r="Q709" s="7">
        <f t="shared" ca="1" si="142"/>
        <v>0</v>
      </c>
      <c r="R709" s="8">
        <f ca="1">VLOOKUP(M709,'Payment Method'!$A$8:$B$12,2,0)</f>
        <v>0.02</v>
      </c>
      <c r="S709" s="9">
        <f t="shared" ca="1" si="132"/>
        <v>1.1799999999999997</v>
      </c>
      <c r="T709" s="8">
        <v>0.01</v>
      </c>
      <c r="U709" s="9">
        <f t="shared" ca="1" si="133"/>
        <v>0.57820000000000249</v>
      </c>
      <c r="V709" s="7">
        <f t="shared" ca="1" si="134"/>
        <v>0</v>
      </c>
      <c r="W709" s="7">
        <f t="shared" ca="1" si="135"/>
        <v>57.241799999999998</v>
      </c>
      <c r="X709" s="5" t="str">
        <f t="shared" ca="1" si="143"/>
        <v>Tiktok</v>
      </c>
      <c r="Y709" s="78" t="str">
        <f>IF(COUNTIF($C$1:C708,B708)=1,10,"")</f>
        <v/>
      </c>
    </row>
    <row r="710" spans="1:25" x14ac:dyDescent="0.3">
      <c r="A710" s="75">
        <v>709</v>
      </c>
      <c r="B710" s="6">
        <v>46110</v>
      </c>
      <c r="C710" s="6">
        <v>46115</v>
      </c>
      <c r="D710" s="17" t="str">
        <f t="shared" si="136"/>
        <v>April</v>
      </c>
      <c r="E710" s="5" t="str">
        <f t="shared" ca="1" si="137"/>
        <v>STU-411</v>
      </c>
      <c r="F710" s="5" t="str">
        <f ca="1">IF(COUNTIF($E$2:E710,E710)=1,"New Customer","Returning Customer")</f>
        <v>New Customer</v>
      </c>
      <c r="G710" s="5" t="str">
        <f t="shared" ca="1" si="138"/>
        <v>Male</v>
      </c>
      <c r="H710" s="5" t="s">
        <v>137</v>
      </c>
      <c r="I710" s="5" t="str" cm="1">
        <f t="array" aca="1" ref="I710" ca="1">INDEX(Courses!$B$9:$B$16,RANDBETWEEN(1,8))</f>
        <v>PowerPoint</v>
      </c>
      <c r="J710" s="5" t="str">
        <f ca="1">VLOOKUP(I710,Courses!$B$9:$C$16,2,0)</f>
        <v>Microsoft Office</v>
      </c>
      <c r="K710" s="7">
        <f ca="1">VLOOKUP(I710,Courses!$B$9:$D$16,3,0)</f>
        <v>29</v>
      </c>
      <c r="L710" s="5" t="str">
        <f t="shared" ca="1" si="139"/>
        <v>Paid</v>
      </c>
      <c r="M710" s="8" t="str" cm="1">
        <f t="array" aca="1" ref="M710" ca="1">INDEX('Payment Method'!$A$8:$A$12,RANDBETWEEN(1,5))</f>
        <v>Visa Credit</v>
      </c>
      <c r="N710" s="7">
        <f>IFERROR(SUMIF(Holiday!$A$8:$A$11,B710,Holiday!$C$8:$C$11),0)</f>
        <v>0</v>
      </c>
      <c r="O710" s="7">
        <f t="shared" ca="1" si="140"/>
        <v>29</v>
      </c>
      <c r="P710" s="19">
        <f t="shared" ca="1" si="141"/>
        <v>27.984999999999999</v>
      </c>
      <c r="Q710" s="7">
        <f t="shared" ca="1" si="142"/>
        <v>0</v>
      </c>
      <c r="R710" s="8">
        <f ca="1">VLOOKUP(M710,'Payment Method'!$A$8:$B$12,2,0)</f>
        <v>3.5000000000000003E-2</v>
      </c>
      <c r="S710" s="9">
        <f t="shared" ca="1" si="132"/>
        <v>1.0150000000000006</v>
      </c>
      <c r="T710" s="8">
        <v>0.01</v>
      </c>
      <c r="U710" s="9">
        <f t="shared" ca="1" si="133"/>
        <v>0.27984999999999971</v>
      </c>
      <c r="V710" s="7">
        <f t="shared" ca="1" si="134"/>
        <v>0</v>
      </c>
      <c r="W710" s="7">
        <f t="shared" ca="1" si="135"/>
        <v>27.70515</v>
      </c>
      <c r="X710" s="5" t="str">
        <f t="shared" ca="1" si="143"/>
        <v>Tiktok</v>
      </c>
      <c r="Y710" s="78" t="str">
        <f>IF(COUNTIF($C$1:C709,B709)=1,10,"")</f>
        <v/>
      </c>
    </row>
    <row r="711" spans="1:25" x14ac:dyDescent="0.3">
      <c r="A711" s="76">
        <v>710</v>
      </c>
      <c r="B711" s="6">
        <v>46104</v>
      </c>
      <c r="C711" s="6">
        <v>46108</v>
      </c>
      <c r="D711" s="17" t="str">
        <f t="shared" si="136"/>
        <v>March</v>
      </c>
      <c r="E711" s="5" t="str">
        <f t="shared" ca="1" si="137"/>
        <v>STU-796</v>
      </c>
      <c r="F711" s="5" t="str">
        <f ca="1">IF(COUNTIF($E$2:E711,E711)=1,"New Customer","Returning Customer")</f>
        <v>New Customer</v>
      </c>
      <c r="G711" s="5" t="str">
        <f t="shared" ca="1" si="138"/>
        <v>Not specified</v>
      </c>
      <c r="H711" s="5" t="s">
        <v>137</v>
      </c>
      <c r="I711" s="5" t="str" cm="1">
        <f t="array" aca="1" ref="I711" ca="1">INDEX(Courses!$B$9:$B$16,RANDBETWEEN(1,8))</f>
        <v>Adolescent Psychology</v>
      </c>
      <c r="J711" s="5" t="str">
        <f ca="1">VLOOKUP(I711,Courses!$B$9:$C$16,2,0)</f>
        <v>Psychology</v>
      </c>
      <c r="K711" s="7">
        <f ca="1">VLOOKUP(I711,Courses!$B$9:$D$16,3,0)</f>
        <v>29</v>
      </c>
      <c r="L711" s="5" t="str">
        <f t="shared" ca="1" si="139"/>
        <v>Paid</v>
      </c>
      <c r="M711" s="8" t="str" cm="1">
        <f t="array" aca="1" ref="M711" ca="1">INDEX('Payment Method'!$A$8:$A$12,RANDBETWEEN(1,5))</f>
        <v>Mastercard Credit</v>
      </c>
      <c r="N711" s="7">
        <f>IFERROR(SUMIF(Holiday!$A$8:$A$11,B711,Holiday!$C$8:$C$11),0)</f>
        <v>0</v>
      </c>
      <c r="O711" s="7">
        <f t="shared" ca="1" si="140"/>
        <v>29</v>
      </c>
      <c r="P711" s="19">
        <f t="shared" ca="1" si="141"/>
        <v>27.984999999999999</v>
      </c>
      <c r="Q711" s="7">
        <f t="shared" ca="1" si="142"/>
        <v>0</v>
      </c>
      <c r="R711" s="8">
        <f ca="1">VLOOKUP(M711,'Payment Method'!$A$8:$B$12,2,0)</f>
        <v>3.5000000000000003E-2</v>
      </c>
      <c r="S711" s="9">
        <f t="shared" ca="1" si="132"/>
        <v>1.0150000000000006</v>
      </c>
      <c r="T711" s="8">
        <v>0.01</v>
      </c>
      <c r="U711" s="9">
        <f t="shared" ca="1" si="133"/>
        <v>0.27984999999999971</v>
      </c>
      <c r="V711" s="7">
        <f t="shared" ca="1" si="134"/>
        <v>0</v>
      </c>
      <c r="W711" s="7">
        <f t="shared" ca="1" si="135"/>
        <v>27.70515</v>
      </c>
      <c r="X711" s="5" t="str">
        <f t="shared" ca="1" si="143"/>
        <v>Instagram</v>
      </c>
      <c r="Y711" s="78" t="str">
        <f>IF(COUNTIF($C$1:C710,B710)=1,10,"")</f>
        <v/>
      </c>
    </row>
    <row r="712" spans="1:25" x14ac:dyDescent="0.3">
      <c r="A712" s="75">
        <v>711</v>
      </c>
      <c r="B712" s="6">
        <v>46072</v>
      </c>
      <c r="C712" s="6">
        <v>46077</v>
      </c>
      <c r="D712" s="17" t="str">
        <f t="shared" si="136"/>
        <v>February</v>
      </c>
      <c r="E712" s="5" t="str">
        <f t="shared" ca="1" si="137"/>
        <v>STU-384</v>
      </c>
      <c r="F712" s="5" t="str">
        <f ca="1">IF(COUNTIF($E$2:E712,E712)=1,"New Customer","Returning Customer")</f>
        <v>Returning Customer</v>
      </c>
      <c r="G712" s="5" t="str">
        <f t="shared" ca="1" si="138"/>
        <v>Not specified</v>
      </c>
      <c r="H712" s="5" t="s">
        <v>137</v>
      </c>
      <c r="I712" s="5" t="str" cm="1">
        <f t="array" aca="1" ref="I712" ca="1">INDEX(Courses!$B$9:$B$16,RANDBETWEEN(1,8))</f>
        <v>Excel Basics</v>
      </c>
      <c r="J712" s="5" t="str">
        <f ca="1">VLOOKUP(I712,Courses!$B$9:$C$16,2,0)</f>
        <v>Microsoft Office</v>
      </c>
      <c r="K712" s="7">
        <f ca="1">VLOOKUP(I712,Courses!$B$9:$D$16,3,0)</f>
        <v>29</v>
      </c>
      <c r="L712" s="5" t="str">
        <f t="shared" ca="1" si="139"/>
        <v>Pending</v>
      </c>
      <c r="M712" s="8" t="str" cm="1">
        <f t="array" aca="1" ref="M712" ca="1">INDEX('Payment Method'!$A$8:$A$12,RANDBETWEEN(1,5))</f>
        <v>Mastercard Debit</v>
      </c>
      <c r="N712" s="7">
        <f>IFERROR(SUMIF(Holiday!$A$8:$A$11,B712,Holiday!$C$8:$C$11),0)</f>
        <v>0</v>
      </c>
      <c r="O712" s="7">
        <f t="shared" ca="1" si="140"/>
        <v>29</v>
      </c>
      <c r="P712" s="19">
        <f t="shared" ca="1" si="141"/>
        <v>28.42</v>
      </c>
      <c r="Q712" s="7">
        <f t="shared" ca="1" si="142"/>
        <v>28.135800000000003</v>
      </c>
      <c r="R712" s="8">
        <f ca="1">VLOOKUP(M712,'Payment Method'!$A$8:$B$12,2,0)</f>
        <v>0.02</v>
      </c>
      <c r="S712" s="9">
        <f t="shared" ca="1" si="132"/>
        <v>0.57999999999999829</v>
      </c>
      <c r="T712" s="8">
        <v>0.01</v>
      </c>
      <c r="U712" s="9">
        <f t="shared" ca="1" si="133"/>
        <v>0.28419999999999845</v>
      </c>
      <c r="V712" s="7">
        <f t="shared" ca="1" si="134"/>
        <v>0</v>
      </c>
      <c r="W712" s="7">
        <f t="shared" ca="1" si="135"/>
        <v>0</v>
      </c>
      <c r="X712" s="5" t="str">
        <f t="shared" ca="1" si="143"/>
        <v>Tiktok</v>
      </c>
      <c r="Y712" s="78" t="str">
        <f>IF(COUNTIF($C$1:C711,B711)=1,10,"")</f>
        <v/>
      </c>
    </row>
    <row r="713" spans="1:25" x14ac:dyDescent="0.3">
      <c r="A713" s="76">
        <v>712</v>
      </c>
      <c r="B713" s="6">
        <v>46157</v>
      </c>
      <c r="C713" s="6">
        <v>46162</v>
      </c>
      <c r="D713" s="17" t="str">
        <f t="shared" si="136"/>
        <v>May</v>
      </c>
      <c r="E713" s="5" t="str">
        <f t="shared" ca="1" si="137"/>
        <v>STU-507</v>
      </c>
      <c r="F713" s="5" t="str">
        <f ca="1">IF(COUNTIF($E$2:E713,E713)=1,"New Customer","Returning Customer")</f>
        <v>Returning Customer</v>
      </c>
      <c r="G713" s="5" t="str">
        <f t="shared" ca="1" si="138"/>
        <v>Not specified</v>
      </c>
      <c r="H713" s="5" t="s">
        <v>137</v>
      </c>
      <c r="I713" s="5" t="str" cm="1">
        <f t="array" aca="1" ref="I713" ca="1">INDEX(Courses!$B$9:$B$16,RANDBETWEEN(1,8))</f>
        <v>SQL</v>
      </c>
      <c r="J713" s="5" t="str">
        <f ca="1">VLOOKUP(I713,Courses!$B$9:$C$16,2,0)</f>
        <v>Data Analytics</v>
      </c>
      <c r="K713" s="7">
        <f ca="1">VLOOKUP(I713,Courses!$B$9:$D$16,3,0)</f>
        <v>99</v>
      </c>
      <c r="L713" s="5" t="str">
        <f t="shared" ca="1" si="139"/>
        <v>Paid</v>
      </c>
      <c r="M713" s="8" t="str" cm="1">
        <f t="array" aca="1" ref="M713" ca="1">INDEX('Payment Method'!$A$8:$A$12,RANDBETWEEN(1,5))</f>
        <v>Visa Debit</v>
      </c>
      <c r="N713" s="7">
        <f>IFERROR(SUMIF(Holiday!$A$8:$A$11,B713,Holiday!$C$8:$C$11),0)</f>
        <v>0</v>
      </c>
      <c r="O713" s="7">
        <f t="shared" ca="1" si="140"/>
        <v>99</v>
      </c>
      <c r="P713" s="19">
        <f t="shared" ca="1" si="141"/>
        <v>97.02</v>
      </c>
      <c r="Q713" s="7">
        <f t="shared" ca="1" si="142"/>
        <v>0</v>
      </c>
      <c r="R713" s="8">
        <f ca="1">VLOOKUP(M713,'Payment Method'!$A$8:$B$12,2,0)</f>
        <v>0.02</v>
      </c>
      <c r="S713" s="9">
        <f t="shared" ca="1" si="132"/>
        <v>1.980000000000004</v>
      </c>
      <c r="T713" s="8">
        <v>0.01</v>
      </c>
      <c r="U713" s="9">
        <f t="shared" ca="1" si="133"/>
        <v>0.9702000000000055</v>
      </c>
      <c r="V713" s="7">
        <f t="shared" ca="1" si="134"/>
        <v>0</v>
      </c>
      <c r="W713" s="7">
        <f t="shared" ca="1" si="135"/>
        <v>96.049799999999991</v>
      </c>
      <c r="X713" s="5" t="str">
        <f t="shared" ca="1" si="143"/>
        <v>Facebook</v>
      </c>
      <c r="Y713" s="78" t="str">
        <f>IF(COUNTIF($C$1:C712,B712)=1,10,"")</f>
        <v/>
      </c>
    </row>
    <row r="714" spans="1:25" x14ac:dyDescent="0.3">
      <c r="A714" s="75">
        <v>713</v>
      </c>
      <c r="B714" s="6">
        <v>46115</v>
      </c>
      <c r="C714" s="6">
        <v>46120</v>
      </c>
      <c r="D714" s="17" t="str">
        <f t="shared" si="136"/>
        <v>April</v>
      </c>
      <c r="E714" s="5" t="str">
        <f t="shared" ca="1" si="137"/>
        <v>STU-732</v>
      </c>
      <c r="F714" s="5" t="str">
        <f ca="1">IF(COUNTIF($E$2:E714,E714)=1,"New Customer","Returning Customer")</f>
        <v>Returning Customer</v>
      </c>
      <c r="G714" s="5" t="str">
        <f t="shared" ca="1" si="138"/>
        <v>Female</v>
      </c>
      <c r="H714" s="5" t="s">
        <v>142</v>
      </c>
      <c r="I714" s="5" t="str" cm="1">
        <f t="array" aca="1" ref="I714" ca="1">INDEX(Courses!$B$9:$B$16,RANDBETWEEN(1,8))</f>
        <v>PowerPoint</v>
      </c>
      <c r="J714" s="5" t="str">
        <f ca="1">VLOOKUP(I714,Courses!$B$9:$C$16,2,0)</f>
        <v>Microsoft Office</v>
      </c>
      <c r="K714" s="7">
        <f ca="1">VLOOKUP(I714,Courses!$B$9:$D$16,3,0)</f>
        <v>29</v>
      </c>
      <c r="L714" s="5" t="str">
        <f t="shared" ca="1" si="139"/>
        <v>Refunded</v>
      </c>
      <c r="M714" s="8" t="str" cm="1">
        <f t="array" aca="1" ref="M714" ca="1">INDEX('Payment Method'!$A$8:$A$12,RANDBETWEEN(1,5))</f>
        <v>Bank Transfer</v>
      </c>
      <c r="N714" s="7">
        <f>IFERROR(SUMIF(Holiday!$A$8:$A$11,B714,Holiday!$C$8:$C$11),0)</f>
        <v>0</v>
      </c>
      <c r="O714" s="7">
        <f t="shared" ca="1" si="140"/>
        <v>29</v>
      </c>
      <c r="P714" s="19">
        <f t="shared" ca="1" si="141"/>
        <v>29</v>
      </c>
      <c r="Q714" s="7">
        <f t="shared" ca="1" si="142"/>
        <v>0</v>
      </c>
      <c r="R714" s="8">
        <f ca="1">VLOOKUP(M714,'Payment Method'!$A$8:$B$12,2,0)</f>
        <v>0</v>
      </c>
      <c r="S714" s="9">
        <f t="shared" ca="1" si="132"/>
        <v>0</v>
      </c>
      <c r="T714" s="8">
        <v>0.01</v>
      </c>
      <c r="U714" s="9">
        <f t="shared" ca="1" si="133"/>
        <v>0.28999999999999915</v>
      </c>
      <c r="V714" s="7">
        <f t="shared" ca="1" si="134"/>
        <v>28.71</v>
      </c>
      <c r="W714" s="7">
        <f t="shared" ca="1" si="135"/>
        <v>0</v>
      </c>
      <c r="X714" s="5" t="str">
        <f t="shared" ca="1" si="143"/>
        <v>Facebook</v>
      </c>
      <c r="Y714" s="78" t="str">
        <f>IF(COUNTIF($C$1:C713,B713)=1,10,"")</f>
        <v/>
      </c>
    </row>
    <row r="715" spans="1:25" x14ac:dyDescent="0.3">
      <c r="A715" s="76">
        <v>714</v>
      </c>
      <c r="B715" s="6">
        <v>46080</v>
      </c>
      <c r="C715" s="6">
        <v>46085</v>
      </c>
      <c r="D715" s="17" t="str">
        <f t="shared" si="136"/>
        <v>March</v>
      </c>
      <c r="E715" s="5" t="str">
        <f t="shared" ca="1" si="137"/>
        <v>STU-385</v>
      </c>
      <c r="F715" s="5" t="str">
        <f ca="1">IF(COUNTIF($E$2:E715,E715)=1,"New Customer","Returning Customer")</f>
        <v>New Customer</v>
      </c>
      <c r="G715" s="5" t="str">
        <f t="shared" ca="1" si="138"/>
        <v>Not specified</v>
      </c>
      <c r="H715" s="5" t="s">
        <v>139</v>
      </c>
      <c r="I715" s="5" t="str" cm="1">
        <f t="array" aca="1" ref="I715" ca="1">INDEX(Courses!$B$9:$B$16,RANDBETWEEN(1,8))</f>
        <v>PowerPoint</v>
      </c>
      <c r="J715" s="5" t="str">
        <f ca="1">VLOOKUP(I715,Courses!$B$9:$C$16,2,0)</f>
        <v>Microsoft Office</v>
      </c>
      <c r="K715" s="7">
        <f ca="1">VLOOKUP(I715,Courses!$B$9:$D$16,3,0)</f>
        <v>29</v>
      </c>
      <c r="L715" s="5" t="str">
        <f t="shared" ca="1" si="139"/>
        <v>Paid</v>
      </c>
      <c r="M715" s="8" t="str" cm="1">
        <f t="array" aca="1" ref="M715" ca="1">INDEX('Payment Method'!$A$8:$A$12,RANDBETWEEN(1,5))</f>
        <v>Visa Debit</v>
      </c>
      <c r="N715" s="7">
        <f>IFERROR(SUMIF(Holiday!$A$8:$A$11,B715,Holiday!$C$8:$C$11),0)</f>
        <v>0</v>
      </c>
      <c r="O715" s="7">
        <f t="shared" ca="1" si="140"/>
        <v>29</v>
      </c>
      <c r="P715" s="19">
        <f t="shared" ca="1" si="141"/>
        <v>28.42</v>
      </c>
      <c r="Q715" s="7">
        <f t="shared" ca="1" si="142"/>
        <v>0</v>
      </c>
      <c r="R715" s="8">
        <f ca="1">VLOOKUP(M715,'Payment Method'!$A$8:$B$12,2,0)</f>
        <v>0.02</v>
      </c>
      <c r="S715" s="9">
        <f t="shared" ca="1" si="132"/>
        <v>0.57999999999999829</v>
      </c>
      <c r="T715" s="8">
        <v>0.01</v>
      </c>
      <c r="U715" s="9">
        <f t="shared" ca="1" si="133"/>
        <v>0.28419999999999845</v>
      </c>
      <c r="V715" s="7">
        <f t="shared" ca="1" si="134"/>
        <v>0</v>
      </c>
      <c r="W715" s="7">
        <f t="shared" ca="1" si="135"/>
        <v>28.135800000000003</v>
      </c>
      <c r="X715" s="5" t="str">
        <f t="shared" ca="1" si="143"/>
        <v>Facebook</v>
      </c>
      <c r="Y715" s="78" t="str">
        <f>IF(COUNTIF($C$1:C714,B714)=1,10,"")</f>
        <v/>
      </c>
    </row>
    <row r="716" spans="1:25" x14ac:dyDescent="0.3">
      <c r="A716" s="75">
        <v>715</v>
      </c>
      <c r="B716" s="6">
        <v>46038</v>
      </c>
      <c r="C716" s="6">
        <v>46040</v>
      </c>
      <c r="D716" s="17" t="str">
        <f t="shared" si="136"/>
        <v>January</v>
      </c>
      <c r="E716" s="5" t="str">
        <f t="shared" ca="1" si="137"/>
        <v>STU-847</v>
      </c>
      <c r="F716" s="5" t="str">
        <f ca="1">IF(COUNTIF($E$2:E716,E716)=1,"New Customer","Returning Customer")</f>
        <v>Returning Customer</v>
      </c>
      <c r="G716" s="5" t="str">
        <f t="shared" ca="1" si="138"/>
        <v>Female</v>
      </c>
      <c r="H716" s="5" t="s">
        <v>136</v>
      </c>
      <c r="I716" s="5" t="str" cm="1">
        <f t="array" aca="1" ref="I716" ca="1">INDEX(Courses!$B$9:$B$16,RANDBETWEEN(1,8))</f>
        <v>Microsoft Word</v>
      </c>
      <c r="J716" s="5" t="str">
        <f ca="1">VLOOKUP(I716,Courses!$B$9:$C$16,2,0)</f>
        <v>Microsoft Office</v>
      </c>
      <c r="K716" s="7">
        <f ca="1">VLOOKUP(I716,Courses!$B$9:$D$16,3,0)</f>
        <v>29</v>
      </c>
      <c r="L716" s="5" t="str">
        <f t="shared" ca="1" si="139"/>
        <v>Paid</v>
      </c>
      <c r="M716" s="8" t="str" cm="1">
        <f t="array" aca="1" ref="M716" ca="1">INDEX('Payment Method'!$A$8:$A$12,RANDBETWEEN(1,5))</f>
        <v>Bank Transfer</v>
      </c>
      <c r="N716" s="7">
        <f>IFERROR(SUMIF(Holiday!$A$8:$A$11,B716,Holiday!$C$8:$C$11),0)</f>
        <v>0</v>
      </c>
      <c r="O716" s="7">
        <f t="shared" ca="1" si="140"/>
        <v>29</v>
      </c>
      <c r="P716" s="19">
        <f t="shared" ca="1" si="141"/>
        <v>29</v>
      </c>
      <c r="Q716" s="7">
        <f t="shared" ca="1" si="142"/>
        <v>0</v>
      </c>
      <c r="R716" s="8">
        <f ca="1">VLOOKUP(M716,'Payment Method'!$A$8:$B$12,2,0)</f>
        <v>0</v>
      </c>
      <c r="S716" s="9">
        <f t="shared" ca="1" si="132"/>
        <v>0</v>
      </c>
      <c r="T716" s="8">
        <v>0.01</v>
      </c>
      <c r="U716" s="9">
        <f t="shared" ca="1" si="133"/>
        <v>0.28999999999999915</v>
      </c>
      <c r="V716" s="7">
        <f t="shared" ca="1" si="134"/>
        <v>0</v>
      </c>
      <c r="W716" s="7">
        <f t="shared" ca="1" si="135"/>
        <v>28.71</v>
      </c>
      <c r="X716" s="5" t="str">
        <f t="shared" ca="1" si="143"/>
        <v>Facebook</v>
      </c>
      <c r="Y716" s="78">
        <f>IF(COUNTIF($C$1:C715,B715)=1,10,"")</f>
        <v>10</v>
      </c>
    </row>
    <row r="717" spans="1:25" x14ac:dyDescent="0.3">
      <c r="A717" s="76">
        <v>716</v>
      </c>
      <c r="B717" s="6">
        <v>46062</v>
      </c>
      <c r="C717" s="6">
        <v>46067</v>
      </c>
      <c r="D717" s="17" t="str">
        <f t="shared" si="136"/>
        <v>February</v>
      </c>
      <c r="E717" s="5" t="str">
        <f t="shared" ca="1" si="137"/>
        <v>STU-118</v>
      </c>
      <c r="F717" s="5" t="str">
        <f ca="1">IF(COUNTIF($E$2:E717,E717)=1,"New Customer","Returning Customer")</f>
        <v>Returning Customer</v>
      </c>
      <c r="G717" s="5" t="str">
        <f t="shared" ca="1" si="138"/>
        <v>Male</v>
      </c>
      <c r="H717" s="5" t="s">
        <v>137</v>
      </c>
      <c r="I717" s="5" t="str" cm="1">
        <f t="array" aca="1" ref="I717" ca="1">INDEX(Courses!$B$9:$B$16,RANDBETWEEN(1,8))</f>
        <v>SQL</v>
      </c>
      <c r="J717" s="5" t="str">
        <f ca="1">VLOOKUP(I717,Courses!$B$9:$C$16,2,0)</f>
        <v>Data Analytics</v>
      </c>
      <c r="K717" s="7">
        <f ca="1">VLOOKUP(I717,Courses!$B$9:$D$16,3,0)</f>
        <v>99</v>
      </c>
      <c r="L717" s="5" t="str">
        <f t="shared" ca="1" si="139"/>
        <v>Paid</v>
      </c>
      <c r="M717" s="8" t="str" cm="1">
        <f t="array" aca="1" ref="M717" ca="1">INDEX('Payment Method'!$A$8:$A$12,RANDBETWEEN(1,5))</f>
        <v>Mastercard Debit</v>
      </c>
      <c r="N717" s="7">
        <f>IFERROR(SUMIF(Holiday!$A$8:$A$11,B717,Holiday!$C$8:$C$11),0)</f>
        <v>0</v>
      </c>
      <c r="O717" s="7">
        <f t="shared" ca="1" si="140"/>
        <v>99</v>
      </c>
      <c r="P717" s="19">
        <f t="shared" ca="1" si="141"/>
        <v>97.02</v>
      </c>
      <c r="Q717" s="7">
        <f t="shared" ca="1" si="142"/>
        <v>0</v>
      </c>
      <c r="R717" s="8">
        <f ca="1">VLOOKUP(M717,'Payment Method'!$A$8:$B$12,2,0)</f>
        <v>0.02</v>
      </c>
      <c r="S717" s="9">
        <f t="shared" ca="1" si="132"/>
        <v>1.980000000000004</v>
      </c>
      <c r="T717" s="8">
        <v>0.01</v>
      </c>
      <c r="U717" s="9">
        <f t="shared" ca="1" si="133"/>
        <v>0.9702000000000055</v>
      </c>
      <c r="V717" s="7">
        <f t="shared" ca="1" si="134"/>
        <v>0</v>
      </c>
      <c r="W717" s="7">
        <f t="shared" ca="1" si="135"/>
        <v>96.049799999999991</v>
      </c>
      <c r="X717" s="5" t="str">
        <f t="shared" ca="1" si="143"/>
        <v>Instagram</v>
      </c>
      <c r="Y717" s="78" t="str">
        <f>IF(COUNTIF($C$1:C716,B716)=1,10,"")</f>
        <v/>
      </c>
    </row>
    <row r="718" spans="1:25" x14ac:dyDescent="0.3">
      <c r="A718" s="75">
        <v>717</v>
      </c>
      <c r="B718" s="6">
        <v>46198</v>
      </c>
      <c r="C718" s="6">
        <v>46202</v>
      </c>
      <c r="D718" s="17" t="str">
        <f t="shared" si="136"/>
        <v>June</v>
      </c>
      <c r="E718" s="5" t="str">
        <f t="shared" ca="1" si="137"/>
        <v>STU-556</v>
      </c>
      <c r="F718" s="5" t="str">
        <f ca="1">IF(COUNTIF($E$2:E718,E718)=1,"New Customer","Returning Customer")</f>
        <v>Returning Customer</v>
      </c>
      <c r="G718" s="5" t="str">
        <f t="shared" ca="1" si="138"/>
        <v>Male</v>
      </c>
      <c r="H718" s="5" t="s">
        <v>137</v>
      </c>
      <c r="I718" s="5" t="str" cm="1">
        <f t="array" aca="1" ref="I718" ca="1">INDEX(Courses!$B$9:$B$16,RANDBETWEEN(1,8))</f>
        <v>SQL</v>
      </c>
      <c r="J718" s="5" t="str">
        <f ca="1">VLOOKUP(I718,Courses!$B$9:$C$16,2,0)</f>
        <v>Data Analytics</v>
      </c>
      <c r="K718" s="7">
        <f ca="1">VLOOKUP(I718,Courses!$B$9:$D$16,3,0)</f>
        <v>99</v>
      </c>
      <c r="L718" s="5" t="str">
        <f t="shared" ca="1" si="139"/>
        <v>Paid</v>
      </c>
      <c r="M718" s="8" t="str" cm="1">
        <f t="array" aca="1" ref="M718" ca="1">INDEX('Payment Method'!$A$8:$A$12,RANDBETWEEN(1,5))</f>
        <v>Mastercard Debit</v>
      </c>
      <c r="N718" s="7">
        <f>IFERROR(SUMIF(Holiday!$A$8:$A$11,B718,Holiday!$C$8:$C$11),0)</f>
        <v>0</v>
      </c>
      <c r="O718" s="7">
        <f t="shared" ca="1" si="140"/>
        <v>99</v>
      </c>
      <c r="P718" s="19">
        <f t="shared" ca="1" si="141"/>
        <v>97.02</v>
      </c>
      <c r="Q718" s="7">
        <f t="shared" ca="1" si="142"/>
        <v>0</v>
      </c>
      <c r="R718" s="8">
        <f ca="1">VLOOKUP(M718,'Payment Method'!$A$8:$B$12,2,0)</f>
        <v>0.02</v>
      </c>
      <c r="S718" s="9">
        <f t="shared" ca="1" si="132"/>
        <v>1.980000000000004</v>
      </c>
      <c r="T718" s="8">
        <v>0.01</v>
      </c>
      <c r="U718" s="9">
        <f t="shared" ca="1" si="133"/>
        <v>0.9702000000000055</v>
      </c>
      <c r="V718" s="7">
        <f t="shared" ca="1" si="134"/>
        <v>0</v>
      </c>
      <c r="W718" s="7">
        <f t="shared" ca="1" si="135"/>
        <v>96.049799999999991</v>
      </c>
      <c r="X718" s="5" t="str">
        <f t="shared" ca="1" si="143"/>
        <v>Tiktok</v>
      </c>
      <c r="Y718" s="78" t="str">
        <f>IF(COUNTIF($C$1:C717,B717)=1,10,"")</f>
        <v/>
      </c>
    </row>
    <row r="719" spans="1:25" x14ac:dyDescent="0.3">
      <c r="A719" s="76">
        <v>718</v>
      </c>
      <c r="B719" s="6">
        <v>46031</v>
      </c>
      <c r="C719" s="6">
        <v>46031</v>
      </c>
      <c r="D719" s="17" t="str">
        <f t="shared" si="136"/>
        <v>January</v>
      </c>
      <c r="E719" s="5" t="str">
        <f t="shared" ca="1" si="137"/>
        <v>STU-336</v>
      </c>
      <c r="F719" s="5" t="str">
        <f ca="1">IF(COUNTIF($E$2:E719,E719)=1,"New Customer","Returning Customer")</f>
        <v>Returning Customer</v>
      </c>
      <c r="G719" s="5" t="str">
        <f t="shared" ca="1" si="138"/>
        <v>Not specified</v>
      </c>
      <c r="H719" s="5" t="s">
        <v>136</v>
      </c>
      <c r="I719" s="5" t="str" cm="1">
        <f t="array" aca="1" ref="I719" ca="1">INDEX(Courses!$B$9:$B$16,RANDBETWEEN(1,8))</f>
        <v>Complete Excel Course</v>
      </c>
      <c r="J719" s="5" t="str">
        <f ca="1">VLOOKUP(I719,Courses!$B$9:$C$16,2,0)</f>
        <v>Microsoft Office</v>
      </c>
      <c r="K719" s="7">
        <f ca="1">VLOOKUP(I719,Courses!$B$9:$D$16,3,0)</f>
        <v>59</v>
      </c>
      <c r="L719" s="5" t="str">
        <f t="shared" ca="1" si="139"/>
        <v>Pending</v>
      </c>
      <c r="M719" s="8" t="str" cm="1">
        <f t="array" aca="1" ref="M719" ca="1">INDEX('Payment Method'!$A$8:$A$12,RANDBETWEEN(1,5))</f>
        <v>Visa Debit</v>
      </c>
      <c r="N719" s="7">
        <f>IFERROR(SUMIF(Holiday!$A$8:$A$11,B719,Holiday!$C$8:$C$11),0)</f>
        <v>0</v>
      </c>
      <c r="O719" s="7">
        <f t="shared" ca="1" si="140"/>
        <v>59</v>
      </c>
      <c r="P719" s="19">
        <f t="shared" ca="1" si="141"/>
        <v>57.82</v>
      </c>
      <c r="Q719" s="7">
        <f t="shared" ca="1" si="142"/>
        <v>57.241799999999998</v>
      </c>
      <c r="R719" s="8">
        <f ca="1">VLOOKUP(M719,'Payment Method'!$A$8:$B$12,2,0)</f>
        <v>0.02</v>
      </c>
      <c r="S719" s="9">
        <f t="shared" ca="1" si="132"/>
        <v>1.1799999999999997</v>
      </c>
      <c r="T719" s="8">
        <v>0.01</v>
      </c>
      <c r="U719" s="9">
        <f t="shared" ca="1" si="133"/>
        <v>0.57820000000000249</v>
      </c>
      <c r="V719" s="7">
        <f t="shared" ca="1" si="134"/>
        <v>0</v>
      </c>
      <c r="W719" s="7">
        <f t="shared" ca="1" si="135"/>
        <v>0</v>
      </c>
      <c r="X719" s="5" t="str">
        <f t="shared" ca="1" si="143"/>
        <v>Instagram</v>
      </c>
      <c r="Y719" s="78" t="str">
        <f>IF(COUNTIF($C$1:C718,B718)=1,10,"")</f>
        <v/>
      </c>
    </row>
    <row r="720" spans="1:25" x14ac:dyDescent="0.3">
      <c r="A720" s="75">
        <v>719</v>
      </c>
      <c r="B720" s="6">
        <v>46072</v>
      </c>
      <c r="C720" s="6">
        <v>46073</v>
      </c>
      <c r="D720" s="17" t="str">
        <f t="shared" si="136"/>
        <v>February</v>
      </c>
      <c r="E720" s="5" t="str">
        <f t="shared" ca="1" si="137"/>
        <v>STU-247</v>
      </c>
      <c r="F720" s="5" t="str">
        <f ca="1">IF(COUNTIF($E$2:E720,E720)=1,"New Customer","Returning Customer")</f>
        <v>New Customer</v>
      </c>
      <c r="G720" s="5" t="str">
        <f t="shared" ca="1" si="138"/>
        <v>Not specified</v>
      </c>
      <c r="H720" s="5" t="s">
        <v>139</v>
      </c>
      <c r="I720" s="5" t="str" cm="1">
        <f t="array" aca="1" ref="I720" ca="1">INDEX(Courses!$B$9:$B$16,RANDBETWEEN(1,8))</f>
        <v>PowerPoint</v>
      </c>
      <c r="J720" s="5" t="str">
        <f ca="1">VLOOKUP(I720,Courses!$B$9:$C$16,2,0)</f>
        <v>Microsoft Office</v>
      </c>
      <c r="K720" s="7">
        <f ca="1">VLOOKUP(I720,Courses!$B$9:$D$16,3,0)</f>
        <v>29</v>
      </c>
      <c r="L720" s="5" t="str">
        <f t="shared" ca="1" si="139"/>
        <v>Paid</v>
      </c>
      <c r="M720" s="8" t="str" cm="1">
        <f t="array" aca="1" ref="M720" ca="1">INDEX('Payment Method'!$A$8:$A$12,RANDBETWEEN(1,5))</f>
        <v>Visa Debit</v>
      </c>
      <c r="N720" s="7">
        <f>IFERROR(SUMIF(Holiday!$A$8:$A$11,B720,Holiday!$C$8:$C$11),0)</f>
        <v>0</v>
      </c>
      <c r="O720" s="7">
        <f t="shared" ca="1" si="140"/>
        <v>29</v>
      </c>
      <c r="P720" s="19">
        <f t="shared" ca="1" si="141"/>
        <v>28.42</v>
      </c>
      <c r="Q720" s="7">
        <f t="shared" ca="1" si="142"/>
        <v>0</v>
      </c>
      <c r="R720" s="8">
        <f ca="1">VLOOKUP(M720,'Payment Method'!$A$8:$B$12,2,0)</f>
        <v>0.02</v>
      </c>
      <c r="S720" s="9">
        <f t="shared" ca="1" si="132"/>
        <v>0.57999999999999829</v>
      </c>
      <c r="T720" s="8">
        <v>0.01</v>
      </c>
      <c r="U720" s="9">
        <f t="shared" ca="1" si="133"/>
        <v>0.28419999999999845</v>
      </c>
      <c r="V720" s="7">
        <f t="shared" ca="1" si="134"/>
        <v>0</v>
      </c>
      <c r="W720" s="7">
        <f t="shared" ca="1" si="135"/>
        <v>28.135800000000003</v>
      </c>
      <c r="X720" s="5" t="str">
        <f t="shared" ca="1" si="143"/>
        <v>Instagram</v>
      </c>
      <c r="Y720" s="78" t="str">
        <f>IF(COUNTIF($C$1:C719,B719)=1,10,"")</f>
        <v/>
      </c>
    </row>
    <row r="721" spans="1:25" x14ac:dyDescent="0.3">
      <c r="A721" s="76">
        <v>720</v>
      </c>
      <c r="B721" s="6">
        <v>46141</v>
      </c>
      <c r="C721" s="6">
        <v>46144</v>
      </c>
      <c r="D721" s="17" t="str">
        <f t="shared" si="136"/>
        <v>May</v>
      </c>
      <c r="E721" s="5" t="str">
        <f t="shared" ca="1" si="137"/>
        <v>STU-223</v>
      </c>
      <c r="F721" s="5" t="str">
        <f ca="1">IF(COUNTIF($E$2:E721,E721)=1,"New Customer","Returning Customer")</f>
        <v>Returning Customer</v>
      </c>
      <c r="G721" s="5" t="str">
        <f t="shared" ca="1" si="138"/>
        <v>Not specified</v>
      </c>
      <c r="H721" s="5" t="s">
        <v>137</v>
      </c>
      <c r="I721" s="5" t="str" cm="1">
        <f t="array" aca="1" ref="I721" ca="1">INDEX(Courses!$B$9:$B$16,RANDBETWEEN(1,8))</f>
        <v>Power BI</v>
      </c>
      <c r="J721" s="5" t="str">
        <f ca="1">VLOOKUP(I721,Courses!$B$9:$C$16,2,0)</f>
        <v>Data Analytics</v>
      </c>
      <c r="K721" s="7">
        <f ca="1">VLOOKUP(I721,Courses!$B$9:$D$16,3,0)</f>
        <v>59</v>
      </c>
      <c r="L721" s="5" t="str">
        <f t="shared" ca="1" si="139"/>
        <v>Pending</v>
      </c>
      <c r="M721" s="8" t="str" cm="1">
        <f t="array" aca="1" ref="M721" ca="1">INDEX('Payment Method'!$A$8:$A$12,RANDBETWEEN(1,5))</f>
        <v>Visa Credit</v>
      </c>
      <c r="N721" s="7">
        <f>IFERROR(SUMIF(Holiday!$A$8:$A$11,B721,Holiday!$C$8:$C$11),0)</f>
        <v>0</v>
      </c>
      <c r="O721" s="7">
        <f t="shared" ca="1" si="140"/>
        <v>59</v>
      </c>
      <c r="P721" s="19">
        <f t="shared" ca="1" si="141"/>
        <v>56.935000000000002</v>
      </c>
      <c r="Q721" s="7">
        <f t="shared" ca="1" si="142"/>
        <v>56.365650000000002</v>
      </c>
      <c r="R721" s="8">
        <f ca="1">VLOOKUP(M721,'Payment Method'!$A$8:$B$12,2,0)</f>
        <v>3.5000000000000003E-2</v>
      </c>
      <c r="S721" s="9">
        <f t="shared" ca="1" si="132"/>
        <v>2.0649999999999977</v>
      </c>
      <c r="T721" s="8">
        <v>0.01</v>
      </c>
      <c r="U721" s="9">
        <f t="shared" ca="1" si="133"/>
        <v>0.56935000000000002</v>
      </c>
      <c r="V721" s="7">
        <f t="shared" ca="1" si="134"/>
        <v>0</v>
      </c>
      <c r="W721" s="7">
        <f t="shared" ca="1" si="135"/>
        <v>0</v>
      </c>
      <c r="X721" s="5" t="str">
        <f t="shared" ca="1" si="143"/>
        <v>Instagram</v>
      </c>
      <c r="Y721" s="78" t="str">
        <f>IF(COUNTIF($C$1:C720,B720)=1,10,"")</f>
        <v/>
      </c>
    </row>
    <row r="722" spans="1:25" x14ac:dyDescent="0.3">
      <c r="A722" s="75">
        <v>721</v>
      </c>
      <c r="B722" s="6">
        <v>46156</v>
      </c>
      <c r="C722" s="6">
        <v>46156</v>
      </c>
      <c r="D722" s="17" t="str">
        <f t="shared" si="136"/>
        <v>May</v>
      </c>
      <c r="E722" s="5" t="str">
        <f t="shared" ca="1" si="137"/>
        <v>STU-314</v>
      </c>
      <c r="F722" s="5" t="str">
        <f ca="1">IF(COUNTIF($E$2:E722,E722)=1,"New Customer","Returning Customer")</f>
        <v>Returning Customer</v>
      </c>
      <c r="G722" s="5" t="str">
        <f t="shared" ca="1" si="138"/>
        <v>Not specified</v>
      </c>
      <c r="H722" s="5" t="s">
        <v>140</v>
      </c>
      <c r="I722" s="5" t="str" cm="1">
        <f t="array" aca="1" ref="I722" ca="1">INDEX(Courses!$B$9:$B$16,RANDBETWEEN(1,8))</f>
        <v>SQL</v>
      </c>
      <c r="J722" s="5" t="str">
        <f ca="1">VLOOKUP(I722,Courses!$B$9:$C$16,2,0)</f>
        <v>Data Analytics</v>
      </c>
      <c r="K722" s="7">
        <f ca="1">VLOOKUP(I722,Courses!$B$9:$D$16,3,0)</f>
        <v>99</v>
      </c>
      <c r="L722" s="5" t="str">
        <f t="shared" ca="1" si="139"/>
        <v>Refunded</v>
      </c>
      <c r="M722" s="8" t="str" cm="1">
        <f t="array" aca="1" ref="M722" ca="1">INDEX('Payment Method'!$A$8:$A$12,RANDBETWEEN(1,5))</f>
        <v>Bank Transfer</v>
      </c>
      <c r="N722" s="7">
        <f>IFERROR(SUMIF(Holiday!$A$8:$A$11,B722,Holiday!$C$8:$C$11),0)</f>
        <v>0</v>
      </c>
      <c r="O722" s="7">
        <f t="shared" ca="1" si="140"/>
        <v>99</v>
      </c>
      <c r="P722" s="19">
        <f t="shared" ca="1" si="141"/>
        <v>99</v>
      </c>
      <c r="Q722" s="7">
        <f t="shared" ca="1" si="142"/>
        <v>0</v>
      </c>
      <c r="R722" s="8">
        <f ca="1">VLOOKUP(M722,'Payment Method'!$A$8:$B$12,2,0)</f>
        <v>0</v>
      </c>
      <c r="S722" s="9">
        <f t="shared" ca="1" si="132"/>
        <v>0</v>
      </c>
      <c r="T722" s="8">
        <v>0.01</v>
      </c>
      <c r="U722" s="9">
        <f t="shared" ca="1" si="133"/>
        <v>0.98999999999999488</v>
      </c>
      <c r="V722" s="7">
        <f t="shared" ca="1" si="134"/>
        <v>98.01</v>
      </c>
      <c r="W722" s="7">
        <f t="shared" ca="1" si="135"/>
        <v>0</v>
      </c>
      <c r="X722" s="5" t="str">
        <f t="shared" ca="1" si="143"/>
        <v>Tiktok</v>
      </c>
      <c r="Y722" s="78" t="str">
        <f>IF(COUNTIF($C$1:C721,B721)=1,10,"")</f>
        <v/>
      </c>
    </row>
    <row r="723" spans="1:25" x14ac:dyDescent="0.3">
      <c r="A723" s="76">
        <v>722</v>
      </c>
      <c r="B723" s="6">
        <v>46212</v>
      </c>
      <c r="C723" s="6">
        <v>46215</v>
      </c>
      <c r="D723" s="17" t="str">
        <f t="shared" si="136"/>
        <v>July</v>
      </c>
      <c r="E723" s="5" t="str">
        <f t="shared" ca="1" si="137"/>
        <v>STU-97</v>
      </c>
      <c r="F723" s="5" t="str">
        <f ca="1">IF(COUNTIF($E$2:E723,E723)=1,"New Customer","Returning Customer")</f>
        <v>Returning Customer</v>
      </c>
      <c r="G723" s="5" t="str">
        <f t="shared" ca="1" si="138"/>
        <v>Male</v>
      </c>
      <c r="H723" s="5" t="s">
        <v>136</v>
      </c>
      <c r="I723" s="5" t="str" cm="1">
        <f t="array" aca="1" ref="I723" ca="1">INDEX(Courses!$B$9:$B$16,RANDBETWEEN(1,8))</f>
        <v>Microsoft Word</v>
      </c>
      <c r="J723" s="5" t="str">
        <f ca="1">VLOOKUP(I723,Courses!$B$9:$C$16,2,0)</f>
        <v>Microsoft Office</v>
      </c>
      <c r="K723" s="7">
        <f ca="1">VLOOKUP(I723,Courses!$B$9:$D$16,3,0)</f>
        <v>29</v>
      </c>
      <c r="L723" s="5" t="str">
        <f t="shared" ca="1" si="139"/>
        <v>Paid</v>
      </c>
      <c r="M723" s="8" t="str" cm="1">
        <f t="array" aca="1" ref="M723" ca="1">INDEX('Payment Method'!$A$8:$A$12,RANDBETWEEN(1,5))</f>
        <v>Visa Credit</v>
      </c>
      <c r="N723" s="7">
        <f>IFERROR(SUMIF(Holiday!$A$8:$A$11,B723,Holiday!$C$8:$C$11),0)</f>
        <v>0</v>
      </c>
      <c r="O723" s="7">
        <f t="shared" ca="1" si="140"/>
        <v>29</v>
      </c>
      <c r="P723" s="19">
        <f t="shared" ca="1" si="141"/>
        <v>27.984999999999999</v>
      </c>
      <c r="Q723" s="7">
        <f t="shared" ca="1" si="142"/>
        <v>0</v>
      </c>
      <c r="R723" s="8">
        <f ca="1">VLOOKUP(M723,'Payment Method'!$A$8:$B$12,2,0)</f>
        <v>3.5000000000000003E-2</v>
      </c>
      <c r="S723" s="9">
        <f t="shared" ca="1" si="132"/>
        <v>1.0150000000000006</v>
      </c>
      <c r="T723" s="8">
        <v>0.01</v>
      </c>
      <c r="U723" s="9">
        <f t="shared" ca="1" si="133"/>
        <v>0.27984999999999971</v>
      </c>
      <c r="V723" s="7">
        <f t="shared" ca="1" si="134"/>
        <v>0</v>
      </c>
      <c r="W723" s="7">
        <f t="shared" ca="1" si="135"/>
        <v>27.70515</v>
      </c>
      <c r="X723" s="5" t="str">
        <f t="shared" ca="1" si="143"/>
        <v>Tiktok</v>
      </c>
      <c r="Y723" s="78" t="str">
        <f>IF(COUNTIF($C$1:C722,B722)=1,10,"")</f>
        <v/>
      </c>
    </row>
    <row r="724" spans="1:25" x14ac:dyDescent="0.3">
      <c r="A724" s="75">
        <v>723</v>
      </c>
      <c r="B724" s="6">
        <v>46054</v>
      </c>
      <c r="C724" s="6">
        <v>46057</v>
      </c>
      <c r="D724" s="17" t="str">
        <f t="shared" si="136"/>
        <v>February</v>
      </c>
      <c r="E724" s="5" t="str">
        <f t="shared" ca="1" si="137"/>
        <v>STU-264</v>
      </c>
      <c r="F724" s="5" t="str">
        <f ca="1">IF(COUNTIF($E$2:E724,E724)=1,"New Customer","Returning Customer")</f>
        <v>New Customer</v>
      </c>
      <c r="G724" s="5" t="str">
        <f t="shared" ca="1" si="138"/>
        <v>Not specified</v>
      </c>
      <c r="H724" s="5" t="s">
        <v>137</v>
      </c>
      <c r="I724" s="5" t="str" cm="1">
        <f t="array" aca="1" ref="I724" ca="1">INDEX(Courses!$B$9:$B$16,RANDBETWEEN(1,8))</f>
        <v>Adolescent Psychology</v>
      </c>
      <c r="J724" s="5" t="str">
        <f ca="1">VLOOKUP(I724,Courses!$B$9:$C$16,2,0)</f>
        <v>Psychology</v>
      </c>
      <c r="K724" s="7">
        <f ca="1">VLOOKUP(I724,Courses!$B$9:$D$16,3,0)</f>
        <v>29</v>
      </c>
      <c r="L724" s="5" t="str">
        <f t="shared" ca="1" si="139"/>
        <v>Pending</v>
      </c>
      <c r="M724" s="8" t="str" cm="1">
        <f t="array" aca="1" ref="M724" ca="1">INDEX('Payment Method'!$A$8:$A$12,RANDBETWEEN(1,5))</f>
        <v>Visa Debit</v>
      </c>
      <c r="N724" s="7">
        <f>IFERROR(SUMIF(Holiday!$A$8:$A$11,B724,Holiday!$C$8:$C$11),0)</f>
        <v>0</v>
      </c>
      <c r="O724" s="7">
        <f t="shared" ca="1" si="140"/>
        <v>29</v>
      </c>
      <c r="P724" s="19">
        <f t="shared" ca="1" si="141"/>
        <v>28.42</v>
      </c>
      <c r="Q724" s="7">
        <f t="shared" ca="1" si="142"/>
        <v>28.135800000000003</v>
      </c>
      <c r="R724" s="8">
        <f ca="1">VLOOKUP(M724,'Payment Method'!$A$8:$B$12,2,0)</f>
        <v>0.02</v>
      </c>
      <c r="S724" s="9">
        <f t="shared" ca="1" si="132"/>
        <v>0.57999999999999829</v>
      </c>
      <c r="T724" s="8">
        <v>0.01</v>
      </c>
      <c r="U724" s="9">
        <f t="shared" ca="1" si="133"/>
        <v>0.28419999999999845</v>
      </c>
      <c r="V724" s="7">
        <f t="shared" ca="1" si="134"/>
        <v>0</v>
      </c>
      <c r="W724" s="7">
        <f t="shared" ca="1" si="135"/>
        <v>0</v>
      </c>
      <c r="X724" s="5" t="str">
        <f t="shared" ca="1" si="143"/>
        <v>Instagram</v>
      </c>
      <c r="Y724" s="78" t="str">
        <f>IF(COUNTIF($C$1:C723,B723)=1,10,"")</f>
        <v/>
      </c>
    </row>
    <row r="725" spans="1:25" x14ac:dyDescent="0.3">
      <c r="A725" s="76">
        <v>724</v>
      </c>
      <c r="B725" s="6">
        <v>46126</v>
      </c>
      <c r="C725" s="6">
        <v>46128</v>
      </c>
      <c r="D725" s="17" t="str">
        <f t="shared" si="136"/>
        <v>April</v>
      </c>
      <c r="E725" s="5" t="str">
        <f t="shared" ca="1" si="137"/>
        <v>STU-435</v>
      </c>
      <c r="F725" s="5" t="str">
        <f ca="1">IF(COUNTIF($E$2:E725,E725)=1,"New Customer","Returning Customer")</f>
        <v>Returning Customer</v>
      </c>
      <c r="G725" s="5" t="str">
        <f t="shared" ca="1" si="138"/>
        <v>Female</v>
      </c>
      <c r="H725" s="5" t="s">
        <v>140</v>
      </c>
      <c r="I725" s="5" t="str" cm="1">
        <f t="array" aca="1" ref="I725" ca="1">INDEX(Courses!$B$9:$B$16,RANDBETWEEN(1,8))</f>
        <v>Excel Basics</v>
      </c>
      <c r="J725" s="5" t="str">
        <f ca="1">VLOOKUP(I725,Courses!$B$9:$C$16,2,0)</f>
        <v>Microsoft Office</v>
      </c>
      <c r="K725" s="7">
        <f ca="1">VLOOKUP(I725,Courses!$B$9:$D$16,3,0)</f>
        <v>29</v>
      </c>
      <c r="L725" s="5" t="str">
        <f t="shared" ca="1" si="139"/>
        <v>Pending</v>
      </c>
      <c r="M725" s="8" t="str" cm="1">
        <f t="array" aca="1" ref="M725" ca="1">INDEX('Payment Method'!$A$8:$A$12,RANDBETWEEN(1,5))</f>
        <v>Mastercard Credit</v>
      </c>
      <c r="N725" s="7">
        <f>IFERROR(SUMIF(Holiday!$A$8:$A$11,B725,Holiday!$C$8:$C$11),0)</f>
        <v>0</v>
      </c>
      <c r="O725" s="7">
        <f t="shared" ca="1" si="140"/>
        <v>29</v>
      </c>
      <c r="P725" s="19">
        <f t="shared" ca="1" si="141"/>
        <v>27.984999999999999</v>
      </c>
      <c r="Q725" s="7">
        <f t="shared" ca="1" si="142"/>
        <v>27.70515</v>
      </c>
      <c r="R725" s="8">
        <f ca="1">VLOOKUP(M725,'Payment Method'!$A$8:$B$12,2,0)</f>
        <v>3.5000000000000003E-2</v>
      </c>
      <c r="S725" s="9">
        <f t="shared" ca="1" si="132"/>
        <v>1.0150000000000006</v>
      </c>
      <c r="T725" s="8">
        <v>0.01</v>
      </c>
      <c r="U725" s="9">
        <f t="shared" ca="1" si="133"/>
        <v>0.27984999999999971</v>
      </c>
      <c r="V725" s="7">
        <f t="shared" ca="1" si="134"/>
        <v>0</v>
      </c>
      <c r="W725" s="7">
        <f t="shared" ca="1" si="135"/>
        <v>0</v>
      </c>
      <c r="X725" s="5" t="str">
        <f t="shared" ca="1" si="143"/>
        <v>Facebook</v>
      </c>
      <c r="Y725" s="78" t="str">
        <f>IF(COUNTIF($C$1:C724,B724)=1,10,"")</f>
        <v/>
      </c>
    </row>
    <row r="726" spans="1:25" x14ac:dyDescent="0.3">
      <c r="A726" s="75">
        <v>725</v>
      </c>
      <c r="B726" s="6">
        <v>46189</v>
      </c>
      <c r="C726" s="6">
        <v>46194</v>
      </c>
      <c r="D726" s="17" t="str">
        <f t="shared" si="136"/>
        <v>June</v>
      </c>
      <c r="E726" s="5" t="str">
        <f t="shared" ca="1" si="137"/>
        <v>STU-937</v>
      </c>
      <c r="F726" s="5" t="str">
        <f ca="1">IF(COUNTIF($E$2:E726,E726)=1,"New Customer","Returning Customer")</f>
        <v>New Customer</v>
      </c>
      <c r="G726" s="5" t="str">
        <f t="shared" ca="1" si="138"/>
        <v>Male</v>
      </c>
      <c r="H726" s="5" t="s">
        <v>137</v>
      </c>
      <c r="I726" s="5" t="str" cm="1">
        <f t="array" aca="1" ref="I726" ca="1">INDEX(Courses!$B$9:$B$16,RANDBETWEEN(1,8))</f>
        <v>Excel Basics</v>
      </c>
      <c r="J726" s="5" t="str">
        <f ca="1">VLOOKUP(I726,Courses!$B$9:$C$16,2,0)</f>
        <v>Microsoft Office</v>
      </c>
      <c r="K726" s="7">
        <f ca="1">VLOOKUP(I726,Courses!$B$9:$D$16,3,0)</f>
        <v>29</v>
      </c>
      <c r="L726" s="5" t="str">
        <f t="shared" ca="1" si="139"/>
        <v>Pending</v>
      </c>
      <c r="M726" s="8" t="str" cm="1">
        <f t="array" aca="1" ref="M726" ca="1">INDEX('Payment Method'!$A$8:$A$12,RANDBETWEEN(1,5))</f>
        <v>Mastercard Debit</v>
      </c>
      <c r="N726" s="7">
        <f>IFERROR(SUMIF(Holiday!$A$8:$A$11,B726,Holiday!$C$8:$C$11),0)</f>
        <v>0</v>
      </c>
      <c r="O726" s="7">
        <f t="shared" ca="1" si="140"/>
        <v>29</v>
      </c>
      <c r="P726" s="19">
        <f t="shared" ca="1" si="141"/>
        <v>28.42</v>
      </c>
      <c r="Q726" s="7">
        <f t="shared" ca="1" si="142"/>
        <v>28.135800000000003</v>
      </c>
      <c r="R726" s="8">
        <f ca="1">VLOOKUP(M726,'Payment Method'!$A$8:$B$12,2,0)</f>
        <v>0.02</v>
      </c>
      <c r="S726" s="9">
        <f t="shared" ca="1" si="132"/>
        <v>0.57999999999999829</v>
      </c>
      <c r="T726" s="8">
        <v>0.01</v>
      </c>
      <c r="U726" s="9">
        <f t="shared" ca="1" si="133"/>
        <v>0.28419999999999845</v>
      </c>
      <c r="V726" s="7">
        <f t="shared" ca="1" si="134"/>
        <v>0</v>
      </c>
      <c r="W726" s="7">
        <f t="shared" ca="1" si="135"/>
        <v>0</v>
      </c>
      <c r="X726" s="5" t="str">
        <f t="shared" ca="1" si="143"/>
        <v>Facebook</v>
      </c>
      <c r="Y726" s="78" t="str">
        <f>IF(COUNTIF($C$1:C725,B725)=1,10,"")</f>
        <v/>
      </c>
    </row>
    <row r="727" spans="1:25" x14ac:dyDescent="0.3">
      <c r="A727" s="76">
        <v>726</v>
      </c>
      <c r="B727" s="6">
        <v>46105</v>
      </c>
      <c r="C727" s="6">
        <v>46108</v>
      </c>
      <c r="D727" s="17" t="str">
        <f t="shared" si="136"/>
        <v>March</v>
      </c>
      <c r="E727" s="5" t="str">
        <f t="shared" ca="1" si="137"/>
        <v>STU-430</v>
      </c>
      <c r="F727" s="5" t="str">
        <f ca="1">IF(COUNTIF($E$2:E727,E727)=1,"New Customer","Returning Customer")</f>
        <v>New Customer</v>
      </c>
      <c r="G727" s="5" t="str">
        <f t="shared" ca="1" si="138"/>
        <v>Female</v>
      </c>
      <c r="H727" s="5" t="s">
        <v>136</v>
      </c>
      <c r="I727" s="5" t="str" cm="1">
        <f t="array" aca="1" ref="I727" ca="1">INDEX(Courses!$B$9:$B$16,RANDBETWEEN(1,8))</f>
        <v>Microsoft Word</v>
      </c>
      <c r="J727" s="5" t="str">
        <f ca="1">VLOOKUP(I727,Courses!$B$9:$C$16,2,0)</f>
        <v>Microsoft Office</v>
      </c>
      <c r="K727" s="7">
        <f ca="1">VLOOKUP(I727,Courses!$B$9:$D$16,3,0)</f>
        <v>29</v>
      </c>
      <c r="L727" s="5" t="str">
        <f t="shared" ca="1" si="139"/>
        <v>Pending</v>
      </c>
      <c r="M727" s="8" t="str" cm="1">
        <f t="array" aca="1" ref="M727" ca="1">INDEX('Payment Method'!$A$8:$A$12,RANDBETWEEN(1,5))</f>
        <v>Visa Credit</v>
      </c>
      <c r="N727" s="7">
        <f>IFERROR(SUMIF(Holiday!$A$8:$A$11,B727,Holiday!$C$8:$C$11),0)</f>
        <v>0</v>
      </c>
      <c r="O727" s="7">
        <f t="shared" ca="1" si="140"/>
        <v>29</v>
      </c>
      <c r="P727" s="19">
        <f t="shared" ca="1" si="141"/>
        <v>27.984999999999999</v>
      </c>
      <c r="Q727" s="7">
        <f t="shared" ca="1" si="142"/>
        <v>27.70515</v>
      </c>
      <c r="R727" s="8">
        <f ca="1">VLOOKUP(M727,'Payment Method'!$A$8:$B$12,2,0)</f>
        <v>3.5000000000000003E-2</v>
      </c>
      <c r="S727" s="9">
        <f t="shared" ca="1" si="132"/>
        <v>1.0150000000000006</v>
      </c>
      <c r="T727" s="8">
        <v>0.01</v>
      </c>
      <c r="U727" s="9">
        <f t="shared" ca="1" si="133"/>
        <v>0.27984999999999971</v>
      </c>
      <c r="V727" s="7">
        <f t="shared" ca="1" si="134"/>
        <v>0</v>
      </c>
      <c r="W727" s="7">
        <f t="shared" ca="1" si="135"/>
        <v>0</v>
      </c>
      <c r="X727" s="5" t="str">
        <f t="shared" ca="1" si="143"/>
        <v>Instagram</v>
      </c>
      <c r="Y727" s="78" t="str">
        <f>IF(COUNTIF($C$1:C726,B726)=1,10,"")</f>
        <v/>
      </c>
    </row>
    <row r="728" spans="1:25" x14ac:dyDescent="0.3">
      <c r="A728" s="75">
        <v>727</v>
      </c>
      <c r="B728" s="6">
        <v>46144</v>
      </c>
      <c r="C728" s="6">
        <v>46149</v>
      </c>
      <c r="D728" s="17" t="str">
        <f t="shared" si="136"/>
        <v>May</v>
      </c>
      <c r="E728" s="5" t="str">
        <f t="shared" ca="1" si="137"/>
        <v>STU-170</v>
      </c>
      <c r="F728" s="5" t="str">
        <f ca="1">IF(COUNTIF($E$2:E728,E728)=1,"New Customer","Returning Customer")</f>
        <v>New Customer</v>
      </c>
      <c r="G728" s="5" t="str">
        <f t="shared" ca="1" si="138"/>
        <v>Female</v>
      </c>
      <c r="H728" s="5" t="s">
        <v>140</v>
      </c>
      <c r="I728" s="5" t="str" cm="1">
        <f t="array" aca="1" ref="I728" ca="1">INDEX(Courses!$B$9:$B$16,RANDBETWEEN(1,8))</f>
        <v>Adolescent Psychology</v>
      </c>
      <c r="J728" s="5" t="str">
        <f ca="1">VLOOKUP(I728,Courses!$B$9:$C$16,2,0)</f>
        <v>Psychology</v>
      </c>
      <c r="K728" s="7">
        <f ca="1">VLOOKUP(I728,Courses!$B$9:$D$16,3,0)</f>
        <v>29</v>
      </c>
      <c r="L728" s="5" t="str">
        <f t="shared" ca="1" si="139"/>
        <v>Paid</v>
      </c>
      <c r="M728" s="8" t="str" cm="1">
        <f t="array" aca="1" ref="M728" ca="1">INDEX('Payment Method'!$A$8:$A$12,RANDBETWEEN(1,5))</f>
        <v>Bank Transfer</v>
      </c>
      <c r="N728" s="7">
        <f>IFERROR(SUMIF(Holiday!$A$8:$A$11,B728,Holiday!$C$8:$C$11),0)</f>
        <v>0</v>
      </c>
      <c r="O728" s="7">
        <f t="shared" ca="1" si="140"/>
        <v>29</v>
      </c>
      <c r="P728" s="19">
        <f t="shared" ca="1" si="141"/>
        <v>29</v>
      </c>
      <c r="Q728" s="7">
        <f t="shared" ca="1" si="142"/>
        <v>0</v>
      </c>
      <c r="R728" s="8">
        <f ca="1">VLOOKUP(M728,'Payment Method'!$A$8:$B$12,2,0)</f>
        <v>0</v>
      </c>
      <c r="S728" s="9">
        <f t="shared" ca="1" si="132"/>
        <v>0</v>
      </c>
      <c r="T728" s="8">
        <v>0.01</v>
      </c>
      <c r="U728" s="9">
        <f t="shared" ca="1" si="133"/>
        <v>0.28999999999999915</v>
      </c>
      <c r="V728" s="7">
        <f t="shared" ca="1" si="134"/>
        <v>0</v>
      </c>
      <c r="W728" s="7">
        <f t="shared" ca="1" si="135"/>
        <v>28.71</v>
      </c>
      <c r="X728" s="5" t="str">
        <f t="shared" ca="1" si="143"/>
        <v>Instagram</v>
      </c>
      <c r="Y728" s="78" t="str">
        <f>IF(COUNTIF($C$1:C727,B727)=1,10,"")</f>
        <v/>
      </c>
    </row>
    <row r="729" spans="1:25" x14ac:dyDescent="0.3">
      <c r="A729" s="76">
        <v>728</v>
      </c>
      <c r="B729" s="6">
        <v>46208</v>
      </c>
      <c r="C729" s="6">
        <v>46211</v>
      </c>
      <c r="D729" s="17" t="str">
        <f t="shared" si="136"/>
        <v>July</v>
      </c>
      <c r="E729" s="5" t="str">
        <f t="shared" ca="1" si="137"/>
        <v>STU-458</v>
      </c>
      <c r="F729" s="5" t="str">
        <f ca="1">IF(COUNTIF($E$2:E729,E729)=1,"New Customer","Returning Customer")</f>
        <v>Returning Customer</v>
      </c>
      <c r="G729" s="5" t="str">
        <f t="shared" ca="1" si="138"/>
        <v>Not specified</v>
      </c>
      <c r="H729" s="5" t="s">
        <v>138</v>
      </c>
      <c r="I729" s="5" t="str" cm="1">
        <f t="array" aca="1" ref="I729" ca="1">INDEX(Courses!$B$9:$B$16,RANDBETWEEN(1,8))</f>
        <v>Microsoft Word</v>
      </c>
      <c r="J729" s="5" t="str">
        <f ca="1">VLOOKUP(I729,Courses!$B$9:$C$16,2,0)</f>
        <v>Microsoft Office</v>
      </c>
      <c r="K729" s="7">
        <f ca="1">VLOOKUP(I729,Courses!$B$9:$D$16,3,0)</f>
        <v>29</v>
      </c>
      <c r="L729" s="5" t="str">
        <f t="shared" ca="1" si="139"/>
        <v>Paid</v>
      </c>
      <c r="M729" s="8" t="str" cm="1">
        <f t="array" aca="1" ref="M729" ca="1">INDEX('Payment Method'!$A$8:$A$12,RANDBETWEEN(1,5))</f>
        <v>Bank Transfer</v>
      </c>
      <c r="N729" s="7">
        <f>IFERROR(SUMIF(Holiday!$A$8:$A$11,B729,Holiday!$C$8:$C$11),0)</f>
        <v>0</v>
      </c>
      <c r="O729" s="7">
        <f t="shared" ca="1" si="140"/>
        <v>29</v>
      </c>
      <c r="P729" s="19">
        <f t="shared" ca="1" si="141"/>
        <v>29</v>
      </c>
      <c r="Q729" s="7">
        <f t="shared" ca="1" si="142"/>
        <v>0</v>
      </c>
      <c r="R729" s="8">
        <f ca="1">VLOOKUP(M729,'Payment Method'!$A$8:$B$12,2,0)</f>
        <v>0</v>
      </c>
      <c r="S729" s="9">
        <f t="shared" ca="1" si="132"/>
        <v>0</v>
      </c>
      <c r="T729" s="8">
        <v>0.01</v>
      </c>
      <c r="U729" s="9">
        <f t="shared" ca="1" si="133"/>
        <v>0.28999999999999915</v>
      </c>
      <c r="V729" s="7">
        <f t="shared" ca="1" si="134"/>
        <v>0</v>
      </c>
      <c r="W729" s="7">
        <f t="shared" ca="1" si="135"/>
        <v>28.71</v>
      </c>
      <c r="X729" s="5" t="str">
        <f t="shared" ca="1" si="143"/>
        <v>Tiktok</v>
      </c>
      <c r="Y729" s="78" t="str">
        <f>IF(COUNTIF($C$1:C728,B728)=1,10,"")</f>
        <v/>
      </c>
    </row>
    <row r="730" spans="1:25" x14ac:dyDescent="0.3">
      <c r="A730" s="75">
        <v>729</v>
      </c>
      <c r="B730" s="6">
        <v>46198</v>
      </c>
      <c r="C730" s="6">
        <v>46201</v>
      </c>
      <c r="D730" s="17" t="str">
        <f t="shared" si="136"/>
        <v>June</v>
      </c>
      <c r="E730" s="5" t="str">
        <f t="shared" ca="1" si="137"/>
        <v>STU-91</v>
      </c>
      <c r="F730" s="5" t="str">
        <f ca="1">IF(COUNTIF($E$2:E730,E730)=1,"New Customer","Returning Customer")</f>
        <v>New Customer</v>
      </c>
      <c r="G730" s="5" t="str">
        <f t="shared" ca="1" si="138"/>
        <v>Not specified</v>
      </c>
      <c r="H730" s="5" t="s">
        <v>136</v>
      </c>
      <c r="I730" s="5" t="str" cm="1">
        <f t="array" aca="1" ref="I730" ca="1">INDEX(Courses!$B$9:$B$16,RANDBETWEEN(1,8))</f>
        <v>Power BI</v>
      </c>
      <c r="J730" s="5" t="str">
        <f ca="1">VLOOKUP(I730,Courses!$B$9:$C$16,2,0)</f>
        <v>Data Analytics</v>
      </c>
      <c r="K730" s="7">
        <f ca="1">VLOOKUP(I730,Courses!$B$9:$D$16,3,0)</f>
        <v>59</v>
      </c>
      <c r="L730" s="5" t="str">
        <f t="shared" ca="1" si="139"/>
        <v>Pending</v>
      </c>
      <c r="M730" s="8" t="str" cm="1">
        <f t="array" aca="1" ref="M730" ca="1">INDEX('Payment Method'!$A$8:$A$12,RANDBETWEEN(1,5))</f>
        <v>Mastercard Credit</v>
      </c>
      <c r="N730" s="7">
        <f>IFERROR(SUMIF(Holiday!$A$8:$A$11,B730,Holiday!$C$8:$C$11),0)</f>
        <v>0</v>
      </c>
      <c r="O730" s="7">
        <f t="shared" ca="1" si="140"/>
        <v>59</v>
      </c>
      <c r="P730" s="19">
        <f t="shared" ca="1" si="141"/>
        <v>56.935000000000002</v>
      </c>
      <c r="Q730" s="7">
        <f t="shared" ca="1" si="142"/>
        <v>56.365650000000002</v>
      </c>
      <c r="R730" s="8">
        <f ca="1">VLOOKUP(M730,'Payment Method'!$A$8:$B$12,2,0)</f>
        <v>3.5000000000000003E-2</v>
      </c>
      <c r="S730" s="9">
        <f t="shared" ca="1" si="132"/>
        <v>2.0649999999999977</v>
      </c>
      <c r="T730" s="8">
        <v>0.01</v>
      </c>
      <c r="U730" s="9">
        <f t="shared" ca="1" si="133"/>
        <v>0.56935000000000002</v>
      </c>
      <c r="V730" s="7">
        <f t="shared" ca="1" si="134"/>
        <v>0</v>
      </c>
      <c r="W730" s="7">
        <f t="shared" ca="1" si="135"/>
        <v>0</v>
      </c>
      <c r="X730" s="5" t="str">
        <f t="shared" ca="1" si="143"/>
        <v>Facebook</v>
      </c>
      <c r="Y730" s="78" t="str">
        <f>IF(COUNTIF($C$1:C729,B729)=1,10,"")</f>
        <v/>
      </c>
    </row>
    <row r="731" spans="1:25" x14ac:dyDescent="0.3">
      <c r="A731" s="76">
        <v>730</v>
      </c>
      <c r="B731" s="6">
        <v>46051</v>
      </c>
      <c r="C731" s="6">
        <v>46053</v>
      </c>
      <c r="D731" s="17" t="str">
        <f t="shared" si="136"/>
        <v>January</v>
      </c>
      <c r="E731" s="5" t="str">
        <f t="shared" ca="1" si="137"/>
        <v>STU-846</v>
      </c>
      <c r="F731" s="5" t="str">
        <f ca="1">IF(COUNTIF($E$2:E731,E731)=1,"New Customer","Returning Customer")</f>
        <v>Returning Customer</v>
      </c>
      <c r="G731" s="5" t="str">
        <f t="shared" ca="1" si="138"/>
        <v>Male</v>
      </c>
      <c r="H731" s="5" t="s">
        <v>138</v>
      </c>
      <c r="I731" s="5" t="str" cm="1">
        <f t="array" aca="1" ref="I731" ca="1">INDEX(Courses!$B$9:$B$16,RANDBETWEEN(1,8))</f>
        <v>Tax Code</v>
      </c>
      <c r="J731" s="5" t="str">
        <f ca="1">VLOOKUP(I731,Courses!$B$9:$C$16,2,0)</f>
        <v>Finance &amp; Taxation</v>
      </c>
      <c r="K731" s="7">
        <f ca="1">VLOOKUP(I731,Courses!$B$9:$D$16,3,0)</f>
        <v>59</v>
      </c>
      <c r="L731" s="5" t="str">
        <f t="shared" ca="1" si="139"/>
        <v>Paid</v>
      </c>
      <c r="M731" s="8" t="str" cm="1">
        <f t="array" aca="1" ref="M731" ca="1">INDEX('Payment Method'!$A$8:$A$12,RANDBETWEEN(1,5))</f>
        <v>Mastercard Credit</v>
      </c>
      <c r="N731" s="7">
        <f>IFERROR(SUMIF(Holiday!$A$8:$A$11,B731,Holiday!$C$8:$C$11),0)</f>
        <v>0</v>
      </c>
      <c r="O731" s="7">
        <f t="shared" ca="1" si="140"/>
        <v>59</v>
      </c>
      <c r="P731" s="19">
        <f t="shared" ca="1" si="141"/>
        <v>56.935000000000002</v>
      </c>
      <c r="Q731" s="7">
        <f t="shared" ca="1" si="142"/>
        <v>0</v>
      </c>
      <c r="R731" s="8">
        <f ca="1">VLOOKUP(M731,'Payment Method'!$A$8:$B$12,2,0)</f>
        <v>3.5000000000000003E-2</v>
      </c>
      <c r="S731" s="9">
        <f t="shared" ca="1" si="132"/>
        <v>2.0649999999999977</v>
      </c>
      <c r="T731" s="8">
        <v>0.01</v>
      </c>
      <c r="U731" s="9">
        <f t="shared" ca="1" si="133"/>
        <v>0.56935000000000002</v>
      </c>
      <c r="V731" s="7">
        <f t="shared" ca="1" si="134"/>
        <v>0</v>
      </c>
      <c r="W731" s="7">
        <f t="shared" ca="1" si="135"/>
        <v>56.365650000000002</v>
      </c>
      <c r="X731" s="5" t="str">
        <f t="shared" ca="1" si="143"/>
        <v>Tiktok</v>
      </c>
      <c r="Y731" s="78" t="str">
        <f>IF(COUNTIF($C$1:C730,B730)=1,10,"")</f>
        <v/>
      </c>
    </row>
    <row r="732" spans="1:25" x14ac:dyDescent="0.3">
      <c r="A732" s="75">
        <v>731</v>
      </c>
      <c r="B732" s="6">
        <v>46147</v>
      </c>
      <c r="C732" s="6">
        <v>46152</v>
      </c>
      <c r="D732" s="17" t="str">
        <f t="shared" si="136"/>
        <v>May</v>
      </c>
      <c r="E732" s="5" t="str">
        <f t="shared" ca="1" si="137"/>
        <v>STU-401</v>
      </c>
      <c r="F732" s="5" t="str">
        <f ca="1">IF(COUNTIF($E$2:E732,E732)=1,"New Customer","Returning Customer")</f>
        <v>Returning Customer</v>
      </c>
      <c r="G732" s="5" t="str">
        <f t="shared" ca="1" si="138"/>
        <v>Female</v>
      </c>
      <c r="H732" s="5" t="s">
        <v>139</v>
      </c>
      <c r="I732" s="5" t="str" cm="1">
        <f t="array" aca="1" ref="I732" ca="1">INDEX(Courses!$B$9:$B$16,RANDBETWEEN(1,8))</f>
        <v>Microsoft Word</v>
      </c>
      <c r="J732" s="5" t="str">
        <f ca="1">VLOOKUP(I732,Courses!$B$9:$C$16,2,0)</f>
        <v>Microsoft Office</v>
      </c>
      <c r="K732" s="7">
        <f ca="1">VLOOKUP(I732,Courses!$B$9:$D$16,3,0)</f>
        <v>29</v>
      </c>
      <c r="L732" s="5" t="str">
        <f t="shared" ca="1" si="139"/>
        <v>Paid</v>
      </c>
      <c r="M732" s="8" t="str" cm="1">
        <f t="array" aca="1" ref="M732" ca="1">INDEX('Payment Method'!$A$8:$A$12,RANDBETWEEN(1,5))</f>
        <v>Mastercard Credit</v>
      </c>
      <c r="N732" s="7">
        <f>IFERROR(SUMIF(Holiday!$A$8:$A$11,B732,Holiday!$C$8:$C$11),0)</f>
        <v>0</v>
      </c>
      <c r="O732" s="7">
        <f t="shared" ca="1" si="140"/>
        <v>29</v>
      </c>
      <c r="P732" s="19">
        <f t="shared" ca="1" si="141"/>
        <v>27.984999999999999</v>
      </c>
      <c r="Q732" s="7">
        <f t="shared" ca="1" si="142"/>
        <v>0</v>
      </c>
      <c r="R732" s="8">
        <f ca="1">VLOOKUP(M732,'Payment Method'!$A$8:$B$12,2,0)</f>
        <v>3.5000000000000003E-2</v>
      </c>
      <c r="S732" s="9">
        <f t="shared" ca="1" si="132"/>
        <v>1.0150000000000006</v>
      </c>
      <c r="T732" s="8">
        <v>0.01</v>
      </c>
      <c r="U732" s="9">
        <f t="shared" ca="1" si="133"/>
        <v>0.27984999999999971</v>
      </c>
      <c r="V732" s="7">
        <f t="shared" ca="1" si="134"/>
        <v>0</v>
      </c>
      <c r="W732" s="7">
        <f t="shared" ca="1" si="135"/>
        <v>27.70515</v>
      </c>
      <c r="X732" s="5" t="str">
        <f t="shared" ca="1" si="143"/>
        <v>Tiktok</v>
      </c>
      <c r="Y732" s="78" t="str">
        <f>IF(COUNTIF($C$1:C731,B731)=1,10,"")</f>
        <v/>
      </c>
    </row>
    <row r="733" spans="1:25" x14ac:dyDescent="0.3">
      <c r="A733" s="76">
        <v>732</v>
      </c>
      <c r="B733" s="6">
        <v>46208</v>
      </c>
      <c r="C733" s="6">
        <v>46209</v>
      </c>
      <c r="D733" s="17" t="str">
        <f t="shared" si="136"/>
        <v>July</v>
      </c>
      <c r="E733" s="5" t="str">
        <f t="shared" ca="1" si="137"/>
        <v>STU-492</v>
      </c>
      <c r="F733" s="5" t="str">
        <f ca="1">IF(COUNTIF($E$2:E733,E733)=1,"New Customer","Returning Customer")</f>
        <v>New Customer</v>
      </c>
      <c r="G733" s="5" t="str">
        <f t="shared" ca="1" si="138"/>
        <v>Not specified</v>
      </c>
      <c r="H733" s="5" t="s">
        <v>138</v>
      </c>
      <c r="I733" s="5" t="str" cm="1">
        <f t="array" aca="1" ref="I733" ca="1">INDEX(Courses!$B$9:$B$16,RANDBETWEEN(1,8))</f>
        <v>Complete Excel Course</v>
      </c>
      <c r="J733" s="5" t="str">
        <f ca="1">VLOOKUP(I733,Courses!$B$9:$C$16,2,0)</f>
        <v>Microsoft Office</v>
      </c>
      <c r="K733" s="7">
        <f ca="1">VLOOKUP(I733,Courses!$B$9:$D$16,3,0)</f>
        <v>59</v>
      </c>
      <c r="L733" s="5" t="str">
        <f t="shared" ca="1" si="139"/>
        <v>Pending</v>
      </c>
      <c r="M733" s="8" t="str" cm="1">
        <f t="array" aca="1" ref="M733" ca="1">INDEX('Payment Method'!$A$8:$A$12,RANDBETWEEN(1,5))</f>
        <v>Mastercard Credit</v>
      </c>
      <c r="N733" s="7">
        <f>IFERROR(SUMIF(Holiday!$A$8:$A$11,B733,Holiday!$C$8:$C$11),0)</f>
        <v>0</v>
      </c>
      <c r="O733" s="7">
        <f t="shared" ca="1" si="140"/>
        <v>59</v>
      </c>
      <c r="P733" s="19">
        <f t="shared" ca="1" si="141"/>
        <v>56.935000000000002</v>
      </c>
      <c r="Q733" s="7">
        <f t="shared" ca="1" si="142"/>
        <v>56.365650000000002</v>
      </c>
      <c r="R733" s="8">
        <f ca="1">VLOOKUP(M733,'Payment Method'!$A$8:$B$12,2,0)</f>
        <v>3.5000000000000003E-2</v>
      </c>
      <c r="S733" s="9">
        <f t="shared" ca="1" si="132"/>
        <v>2.0649999999999977</v>
      </c>
      <c r="T733" s="8">
        <v>0.01</v>
      </c>
      <c r="U733" s="9">
        <f t="shared" ca="1" si="133"/>
        <v>0.56935000000000002</v>
      </c>
      <c r="V733" s="7">
        <f t="shared" ca="1" si="134"/>
        <v>0</v>
      </c>
      <c r="W733" s="7">
        <f t="shared" ca="1" si="135"/>
        <v>0</v>
      </c>
      <c r="X733" s="5" t="str">
        <f t="shared" ca="1" si="143"/>
        <v>Instagram</v>
      </c>
      <c r="Y733" s="78" t="str">
        <f>IF(COUNTIF($C$1:C732,B732)=1,10,"")</f>
        <v/>
      </c>
    </row>
    <row r="734" spans="1:25" x14ac:dyDescent="0.3">
      <c r="A734" s="75">
        <v>733</v>
      </c>
      <c r="B734" s="6">
        <v>46164</v>
      </c>
      <c r="C734" s="6">
        <v>46168</v>
      </c>
      <c r="D734" s="17" t="str">
        <f t="shared" si="136"/>
        <v>May</v>
      </c>
      <c r="E734" s="5" t="str">
        <f t="shared" ca="1" si="137"/>
        <v>STU-615</v>
      </c>
      <c r="F734" s="5" t="str">
        <f ca="1">IF(COUNTIF($E$2:E734,E734)=1,"New Customer","Returning Customer")</f>
        <v>New Customer</v>
      </c>
      <c r="G734" s="5" t="str">
        <f t="shared" ca="1" si="138"/>
        <v>Male</v>
      </c>
      <c r="H734" s="5" t="s">
        <v>136</v>
      </c>
      <c r="I734" s="5" t="str" cm="1">
        <f t="array" aca="1" ref="I734" ca="1">INDEX(Courses!$B$9:$B$16,RANDBETWEEN(1,8))</f>
        <v>Complete Excel Course</v>
      </c>
      <c r="J734" s="5" t="str">
        <f ca="1">VLOOKUP(I734,Courses!$B$9:$C$16,2,0)</f>
        <v>Microsoft Office</v>
      </c>
      <c r="K734" s="7">
        <f ca="1">VLOOKUP(I734,Courses!$B$9:$D$16,3,0)</f>
        <v>59</v>
      </c>
      <c r="L734" s="5" t="str">
        <f t="shared" ca="1" si="139"/>
        <v>Pending</v>
      </c>
      <c r="M734" s="8" t="str" cm="1">
        <f t="array" aca="1" ref="M734" ca="1">INDEX('Payment Method'!$A$8:$A$12,RANDBETWEEN(1,5))</f>
        <v>Mastercard Credit</v>
      </c>
      <c r="N734" s="7">
        <f>IFERROR(SUMIF(Holiday!$A$8:$A$11,B734,Holiday!$C$8:$C$11),0)</f>
        <v>0</v>
      </c>
      <c r="O734" s="7">
        <f t="shared" ca="1" si="140"/>
        <v>59</v>
      </c>
      <c r="P734" s="19">
        <f t="shared" ca="1" si="141"/>
        <v>56.935000000000002</v>
      </c>
      <c r="Q734" s="7">
        <f t="shared" ca="1" si="142"/>
        <v>56.365650000000002</v>
      </c>
      <c r="R734" s="8">
        <f ca="1">VLOOKUP(M734,'Payment Method'!$A$8:$B$12,2,0)</f>
        <v>3.5000000000000003E-2</v>
      </c>
      <c r="S734" s="9">
        <f t="shared" ca="1" si="132"/>
        <v>2.0649999999999977</v>
      </c>
      <c r="T734" s="8">
        <v>0.01</v>
      </c>
      <c r="U734" s="9">
        <f t="shared" ca="1" si="133"/>
        <v>0.56935000000000002</v>
      </c>
      <c r="V734" s="7">
        <f t="shared" ca="1" si="134"/>
        <v>0</v>
      </c>
      <c r="W734" s="7">
        <f t="shared" ca="1" si="135"/>
        <v>0</v>
      </c>
      <c r="X734" s="5" t="str">
        <f t="shared" ca="1" si="143"/>
        <v>Tiktok</v>
      </c>
      <c r="Y734" s="78" t="str">
        <f>IF(COUNTIF($C$1:C733,B733)=1,10,"")</f>
        <v/>
      </c>
    </row>
    <row r="735" spans="1:25" x14ac:dyDescent="0.3">
      <c r="A735" s="76">
        <v>734</v>
      </c>
      <c r="B735" s="6">
        <v>46142</v>
      </c>
      <c r="C735" s="6">
        <v>46146</v>
      </c>
      <c r="D735" s="17" t="str">
        <f t="shared" si="136"/>
        <v>May</v>
      </c>
      <c r="E735" s="5" t="str">
        <f t="shared" ca="1" si="137"/>
        <v>STU-827</v>
      </c>
      <c r="F735" s="5" t="str">
        <f ca="1">IF(COUNTIF($E$2:E735,E735)=1,"New Customer","Returning Customer")</f>
        <v>New Customer</v>
      </c>
      <c r="G735" s="5" t="str">
        <f t="shared" ca="1" si="138"/>
        <v>Male</v>
      </c>
      <c r="H735" s="5" t="s">
        <v>138</v>
      </c>
      <c r="I735" s="5" t="str" cm="1">
        <f t="array" aca="1" ref="I735" ca="1">INDEX(Courses!$B$9:$B$16,RANDBETWEEN(1,8))</f>
        <v>Microsoft Word</v>
      </c>
      <c r="J735" s="5" t="str">
        <f ca="1">VLOOKUP(I735,Courses!$B$9:$C$16,2,0)</f>
        <v>Microsoft Office</v>
      </c>
      <c r="K735" s="7">
        <f ca="1">VLOOKUP(I735,Courses!$B$9:$D$16,3,0)</f>
        <v>29</v>
      </c>
      <c r="L735" s="5" t="str">
        <f t="shared" ca="1" si="139"/>
        <v>Refunded</v>
      </c>
      <c r="M735" s="8" t="str" cm="1">
        <f t="array" aca="1" ref="M735" ca="1">INDEX('Payment Method'!$A$8:$A$12,RANDBETWEEN(1,5))</f>
        <v>Mastercard Credit</v>
      </c>
      <c r="N735" s="7">
        <f>IFERROR(SUMIF(Holiday!$A$8:$A$11,B735,Holiday!$C$8:$C$11),0)</f>
        <v>0</v>
      </c>
      <c r="O735" s="7">
        <f t="shared" ca="1" si="140"/>
        <v>29</v>
      </c>
      <c r="P735" s="19">
        <f t="shared" ca="1" si="141"/>
        <v>27.984999999999999</v>
      </c>
      <c r="Q735" s="7">
        <f t="shared" ca="1" si="142"/>
        <v>0</v>
      </c>
      <c r="R735" s="8">
        <f ca="1">VLOOKUP(M735,'Payment Method'!$A$8:$B$12,2,0)</f>
        <v>3.5000000000000003E-2</v>
      </c>
      <c r="S735" s="9">
        <f t="shared" ca="1" si="132"/>
        <v>1.0150000000000006</v>
      </c>
      <c r="T735" s="8">
        <v>0.01</v>
      </c>
      <c r="U735" s="9">
        <f t="shared" ca="1" si="133"/>
        <v>0.27984999999999971</v>
      </c>
      <c r="V735" s="7">
        <f t="shared" ca="1" si="134"/>
        <v>27.70515</v>
      </c>
      <c r="W735" s="7">
        <f t="shared" ca="1" si="135"/>
        <v>0</v>
      </c>
      <c r="X735" s="5" t="str">
        <f t="shared" ca="1" si="143"/>
        <v>Facebook</v>
      </c>
      <c r="Y735" s="78" t="str">
        <f>IF(COUNTIF($C$1:C734,B734)=1,10,"")</f>
        <v/>
      </c>
    </row>
    <row r="736" spans="1:25" x14ac:dyDescent="0.3">
      <c r="A736" s="75">
        <v>735</v>
      </c>
      <c r="B736" s="6">
        <v>46064</v>
      </c>
      <c r="C736" s="6">
        <v>46065</v>
      </c>
      <c r="D736" s="17" t="str">
        <f t="shared" si="136"/>
        <v>February</v>
      </c>
      <c r="E736" s="5" t="str">
        <f t="shared" ca="1" si="137"/>
        <v>STU-822</v>
      </c>
      <c r="F736" s="5" t="str">
        <f ca="1">IF(COUNTIF($E$2:E736,E736)=1,"New Customer","Returning Customer")</f>
        <v>Returning Customer</v>
      </c>
      <c r="G736" s="5" t="str">
        <f t="shared" ca="1" si="138"/>
        <v>Male</v>
      </c>
      <c r="H736" s="5" t="s">
        <v>142</v>
      </c>
      <c r="I736" s="5" t="str" cm="1">
        <f t="array" aca="1" ref="I736" ca="1">INDEX(Courses!$B$9:$B$16,RANDBETWEEN(1,8))</f>
        <v>PowerPoint</v>
      </c>
      <c r="J736" s="5" t="str">
        <f ca="1">VLOOKUP(I736,Courses!$B$9:$C$16,2,0)</f>
        <v>Microsoft Office</v>
      </c>
      <c r="K736" s="7">
        <f ca="1">VLOOKUP(I736,Courses!$B$9:$D$16,3,0)</f>
        <v>29</v>
      </c>
      <c r="L736" s="5" t="str">
        <f t="shared" ca="1" si="139"/>
        <v>Pending</v>
      </c>
      <c r="M736" s="8" t="str" cm="1">
        <f t="array" aca="1" ref="M736" ca="1">INDEX('Payment Method'!$A$8:$A$12,RANDBETWEEN(1,5))</f>
        <v>Mastercard Credit</v>
      </c>
      <c r="N736" s="7">
        <f>IFERROR(SUMIF(Holiday!$A$8:$A$11,B736,Holiday!$C$8:$C$11),0)</f>
        <v>0</v>
      </c>
      <c r="O736" s="7">
        <f t="shared" ca="1" si="140"/>
        <v>29</v>
      </c>
      <c r="P736" s="19">
        <f t="shared" ca="1" si="141"/>
        <v>27.984999999999999</v>
      </c>
      <c r="Q736" s="7">
        <f t="shared" ca="1" si="142"/>
        <v>27.70515</v>
      </c>
      <c r="R736" s="8">
        <f ca="1">VLOOKUP(M736,'Payment Method'!$A$8:$B$12,2,0)</f>
        <v>3.5000000000000003E-2</v>
      </c>
      <c r="S736" s="9">
        <f t="shared" ca="1" si="132"/>
        <v>1.0150000000000006</v>
      </c>
      <c r="T736" s="8">
        <v>0.01</v>
      </c>
      <c r="U736" s="9">
        <f t="shared" ca="1" si="133"/>
        <v>0.27984999999999971</v>
      </c>
      <c r="V736" s="7">
        <f t="shared" ca="1" si="134"/>
        <v>0</v>
      </c>
      <c r="W736" s="7">
        <f t="shared" ca="1" si="135"/>
        <v>0</v>
      </c>
      <c r="X736" s="5" t="str">
        <f t="shared" ca="1" si="143"/>
        <v>Instagram</v>
      </c>
      <c r="Y736" s="78" t="str">
        <f>IF(COUNTIF($C$1:C735,B735)=1,10,"")</f>
        <v/>
      </c>
    </row>
    <row r="737" spans="1:25" x14ac:dyDescent="0.3">
      <c r="A737" s="76">
        <v>736</v>
      </c>
      <c r="B737" s="6">
        <v>46100</v>
      </c>
      <c r="C737" s="6">
        <v>46102</v>
      </c>
      <c r="D737" s="17" t="str">
        <f t="shared" si="136"/>
        <v>March</v>
      </c>
      <c r="E737" s="5" t="str">
        <f t="shared" ca="1" si="137"/>
        <v>STU-671</v>
      </c>
      <c r="F737" s="5" t="str">
        <f ca="1">IF(COUNTIF($E$2:E737,E737)=1,"New Customer","Returning Customer")</f>
        <v>Returning Customer</v>
      </c>
      <c r="G737" s="5" t="str">
        <f t="shared" ca="1" si="138"/>
        <v>Female</v>
      </c>
      <c r="H737" s="5" t="s">
        <v>140</v>
      </c>
      <c r="I737" s="5" t="str" cm="1">
        <f t="array" aca="1" ref="I737" ca="1">INDEX(Courses!$B$9:$B$16,RANDBETWEEN(1,8))</f>
        <v>PowerPoint</v>
      </c>
      <c r="J737" s="5" t="str">
        <f ca="1">VLOOKUP(I737,Courses!$B$9:$C$16,2,0)</f>
        <v>Microsoft Office</v>
      </c>
      <c r="K737" s="7">
        <f ca="1">VLOOKUP(I737,Courses!$B$9:$D$16,3,0)</f>
        <v>29</v>
      </c>
      <c r="L737" s="5" t="str">
        <f t="shared" ca="1" si="139"/>
        <v>Paid</v>
      </c>
      <c r="M737" s="8" t="str" cm="1">
        <f t="array" aca="1" ref="M737" ca="1">INDEX('Payment Method'!$A$8:$A$12,RANDBETWEEN(1,5))</f>
        <v>Mastercard Credit</v>
      </c>
      <c r="N737" s="7">
        <f>IFERROR(SUMIF(Holiday!$A$8:$A$11,B737,Holiday!$C$8:$C$11),0)</f>
        <v>0</v>
      </c>
      <c r="O737" s="7">
        <f t="shared" ca="1" si="140"/>
        <v>29</v>
      </c>
      <c r="P737" s="19">
        <f t="shared" ca="1" si="141"/>
        <v>27.984999999999999</v>
      </c>
      <c r="Q737" s="7">
        <f t="shared" ca="1" si="142"/>
        <v>0</v>
      </c>
      <c r="R737" s="8">
        <f ca="1">VLOOKUP(M737,'Payment Method'!$A$8:$B$12,2,0)</f>
        <v>3.5000000000000003E-2</v>
      </c>
      <c r="S737" s="9">
        <f t="shared" ca="1" si="132"/>
        <v>1.0150000000000006</v>
      </c>
      <c r="T737" s="8">
        <v>0.01</v>
      </c>
      <c r="U737" s="9">
        <f t="shared" ca="1" si="133"/>
        <v>0.27984999999999971</v>
      </c>
      <c r="V737" s="7">
        <f t="shared" ca="1" si="134"/>
        <v>0</v>
      </c>
      <c r="W737" s="7">
        <f t="shared" ca="1" si="135"/>
        <v>27.70515</v>
      </c>
      <c r="X737" s="5" t="str">
        <f t="shared" ca="1" si="143"/>
        <v>Tiktok</v>
      </c>
      <c r="Y737" s="78" t="str">
        <f>IF(COUNTIF($C$1:C736,B736)=1,10,"")</f>
        <v/>
      </c>
    </row>
    <row r="738" spans="1:25" x14ac:dyDescent="0.3">
      <c r="A738" s="75">
        <v>737</v>
      </c>
      <c r="B738" s="6">
        <v>46146</v>
      </c>
      <c r="C738" s="6">
        <v>46150</v>
      </c>
      <c r="D738" s="17" t="str">
        <f t="shared" si="136"/>
        <v>May</v>
      </c>
      <c r="E738" s="5" t="str">
        <f t="shared" ca="1" si="137"/>
        <v>STU-774</v>
      </c>
      <c r="F738" s="5" t="str">
        <f ca="1">IF(COUNTIF($E$2:E738,E738)=1,"New Customer","Returning Customer")</f>
        <v>Returning Customer</v>
      </c>
      <c r="G738" s="5" t="str">
        <f t="shared" ca="1" si="138"/>
        <v>Not specified</v>
      </c>
      <c r="H738" s="5" t="s">
        <v>137</v>
      </c>
      <c r="I738" s="5" t="str" cm="1">
        <f t="array" aca="1" ref="I738" ca="1">INDEX(Courses!$B$9:$B$16,RANDBETWEEN(1,8))</f>
        <v>Tax Code</v>
      </c>
      <c r="J738" s="5" t="str">
        <f ca="1">VLOOKUP(I738,Courses!$B$9:$C$16,2,0)</f>
        <v>Finance &amp; Taxation</v>
      </c>
      <c r="K738" s="7">
        <f ca="1">VLOOKUP(I738,Courses!$B$9:$D$16,3,0)</f>
        <v>59</v>
      </c>
      <c r="L738" s="5" t="str">
        <f t="shared" ca="1" si="139"/>
        <v>Paid</v>
      </c>
      <c r="M738" s="8" t="str" cm="1">
        <f t="array" aca="1" ref="M738" ca="1">INDEX('Payment Method'!$A$8:$A$12,RANDBETWEEN(1,5))</f>
        <v>Mastercard Debit</v>
      </c>
      <c r="N738" s="7">
        <f>IFERROR(SUMIF(Holiday!$A$8:$A$11,B738,Holiday!$C$8:$C$11),0)</f>
        <v>0</v>
      </c>
      <c r="O738" s="7">
        <f t="shared" ca="1" si="140"/>
        <v>59</v>
      </c>
      <c r="P738" s="19">
        <f t="shared" ca="1" si="141"/>
        <v>57.82</v>
      </c>
      <c r="Q738" s="7">
        <f t="shared" ca="1" si="142"/>
        <v>0</v>
      </c>
      <c r="R738" s="8">
        <f ca="1">VLOOKUP(M738,'Payment Method'!$A$8:$B$12,2,0)</f>
        <v>0.02</v>
      </c>
      <c r="S738" s="9">
        <f t="shared" ca="1" si="132"/>
        <v>1.1799999999999997</v>
      </c>
      <c r="T738" s="8">
        <v>0.01</v>
      </c>
      <c r="U738" s="9">
        <f t="shared" ca="1" si="133"/>
        <v>0.57820000000000249</v>
      </c>
      <c r="V738" s="7">
        <f t="shared" ca="1" si="134"/>
        <v>0</v>
      </c>
      <c r="W738" s="7">
        <f t="shared" ca="1" si="135"/>
        <v>57.241799999999998</v>
      </c>
      <c r="X738" s="5" t="str">
        <f t="shared" ca="1" si="143"/>
        <v>Instagram</v>
      </c>
      <c r="Y738" s="78" t="str">
        <f>IF(COUNTIF($C$1:C737,B737)=1,10,"")</f>
        <v/>
      </c>
    </row>
    <row r="739" spans="1:25" x14ac:dyDescent="0.3">
      <c r="A739" s="76">
        <v>738</v>
      </c>
      <c r="B739" s="6">
        <v>46146</v>
      </c>
      <c r="C739" s="6">
        <v>46149</v>
      </c>
      <c r="D739" s="17" t="str">
        <f t="shared" si="136"/>
        <v>May</v>
      </c>
      <c r="E739" s="5" t="str">
        <f t="shared" ca="1" si="137"/>
        <v>STU-215</v>
      </c>
      <c r="F739" s="5" t="str">
        <f ca="1">IF(COUNTIF($E$2:E739,E739)=1,"New Customer","Returning Customer")</f>
        <v>New Customer</v>
      </c>
      <c r="G739" s="5" t="str">
        <f t="shared" ca="1" si="138"/>
        <v>Not specified</v>
      </c>
      <c r="H739" s="5" t="s">
        <v>137</v>
      </c>
      <c r="I739" s="5" t="str" cm="1">
        <f t="array" aca="1" ref="I739" ca="1">INDEX(Courses!$B$9:$B$16,RANDBETWEEN(1,8))</f>
        <v>Tax Code</v>
      </c>
      <c r="J739" s="5" t="str">
        <f ca="1">VLOOKUP(I739,Courses!$B$9:$C$16,2,0)</f>
        <v>Finance &amp; Taxation</v>
      </c>
      <c r="K739" s="7">
        <f ca="1">VLOOKUP(I739,Courses!$B$9:$D$16,3,0)</f>
        <v>59</v>
      </c>
      <c r="L739" s="5" t="str">
        <f t="shared" ca="1" si="139"/>
        <v>Paid</v>
      </c>
      <c r="M739" s="8" t="str" cm="1">
        <f t="array" aca="1" ref="M739" ca="1">INDEX('Payment Method'!$A$8:$A$12,RANDBETWEEN(1,5))</f>
        <v>Bank Transfer</v>
      </c>
      <c r="N739" s="7">
        <f>IFERROR(SUMIF(Holiday!$A$8:$A$11,B739,Holiday!$C$8:$C$11),0)</f>
        <v>0</v>
      </c>
      <c r="O739" s="7">
        <f t="shared" ca="1" si="140"/>
        <v>59</v>
      </c>
      <c r="P739" s="19">
        <f t="shared" ca="1" si="141"/>
        <v>59</v>
      </c>
      <c r="Q739" s="7">
        <f t="shared" ca="1" si="142"/>
        <v>0</v>
      </c>
      <c r="R739" s="8">
        <f ca="1">VLOOKUP(M739,'Payment Method'!$A$8:$B$12,2,0)</f>
        <v>0</v>
      </c>
      <c r="S739" s="9">
        <f t="shared" ca="1" si="132"/>
        <v>0</v>
      </c>
      <c r="T739" s="8">
        <v>0.01</v>
      </c>
      <c r="U739" s="9">
        <f t="shared" ca="1" si="133"/>
        <v>0.59000000000000341</v>
      </c>
      <c r="V739" s="7">
        <f t="shared" ca="1" si="134"/>
        <v>0</v>
      </c>
      <c r="W739" s="7">
        <f t="shared" ca="1" si="135"/>
        <v>58.41</v>
      </c>
      <c r="X739" s="5" t="str">
        <f t="shared" ca="1" si="143"/>
        <v>Facebook</v>
      </c>
      <c r="Y739" s="78" t="str">
        <f>IF(COUNTIF($C$1:C738,B738)=1,10,"")</f>
        <v/>
      </c>
    </row>
    <row r="740" spans="1:25" x14ac:dyDescent="0.3">
      <c r="A740" s="75">
        <v>739</v>
      </c>
      <c r="B740" s="6">
        <v>46170</v>
      </c>
      <c r="C740" s="6">
        <v>46175</v>
      </c>
      <c r="D740" s="17" t="str">
        <f t="shared" si="136"/>
        <v>June</v>
      </c>
      <c r="E740" s="5" t="str">
        <f t="shared" ca="1" si="137"/>
        <v>STU-76</v>
      </c>
      <c r="F740" s="5" t="str">
        <f ca="1">IF(COUNTIF($E$2:E740,E740)=1,"New Customer","Returning Customer")</f>
        <v>Returning Customer</v>
      </c>
      <c r="G740" s="5" t="str">
        <f t="shared" ca="1" si="138"/>
        <v>Not specified</v>
      </c>
      <c r="H740" s="5" t="s">
        <v>135</v>
      </c>
      <c r="I740" s="5" t="str" cm="1">
        <f t="array" aca="1" ref="I740" ca="1">INDEX(Courses!$B$9:$B$16,RANDBETWEEN(1,8))</f>
        <v>Complete Excel Course</v>
      </c>
      <c r="J740" s="5" t="str">
        <f ca="1">VLOOKUP(I740,Courses!$B$9:$C$16,2,0)</f>
        <v>Microsoft Office</v>
      </c>
      <c r="K740" s="7">
        <f ca="1">VLOOKUP(I740,Courses!$B$9:$D$16,3,0)</f>
        <v>59</v>
      </c>
      <c r="L740" s="5" t="str">
        <f t="shared" ca="1" si="139"/>
        <v>Refunded</v>
      </c>
      <c r="M740" s="8" t="str" cm="1">
        <f t="array" aca="1" ref="M740" ca="1">INDEX('Payment Method'!$A$8:$A$12,RANDBETWEEN(1,5))</f>
        <v>Bank Transfer</v>
      </c>
      <c r="N740" s="7">
        <f>IFERROR(SUMIF(Holiday!$A$8:$A$11,B740,Holiday!$C$8:$C$11),0)</f>
        <v>0</v>
      </c>
      <c r="O740" s="7">
        <f t="shared" ca="1" si="140"/>
        <v>59</v>
      </c>
      <c r="P740" s="19">
        <f t="shared" ca="1" si="141"/>
        <v>59</v>
      </c>
      <c r="Q740" s="7">
        <f t="shared" ca="1" si="142"/>
        <v>0</v>
      </c>
      <c r="R740" s="8">
        <f ca="1">VLOOKUP(M740,'Payment Method'!$A$8:$B$12,2,0)</f>
        <v>0</v>
      </c>
      <c r="S740" s="9">
        <f t="shared" ca="1" si="132"/>
        <v>0</v>
      </c>
      <c r="T740" s="8">
        <v>0.01</v>
      </c>
      <c r="U740" s="9">
        <f t="shared" ca="1" si="133"/>
        <v>0.59000000000000341</v>
      </c>
      <c r="V740" s="7">
        <f t="shared" ca="1" si="134"/>
        <v>58.41</v>
      </c>
      <c r="W740" s="7">
        <f t="shared" ca="1" si="135"/>
        <v>0</v>
      </c>
      <c r="X740" s="5" t="str">
        <f t="shared" ca="1" si="143"/>
        <v>Facebook</v>
      </c>
      <c r="Y740" s="78" t="str">
        <f>IF(COUNTIF($C$1:C739,B739)=1,10,"")</f>
        <v/>
      </c>
    </row>
    <row r="741" spans="1:25" x14ac:dyDescent="0.3">
      <c r="A741" s="76">
        <v>740</v>
      </c>
      <c r="B741" s="6">
        <v>46228</v>
      </c>
      <c r="C741" s="6">
        <v>46232</v>
      </c>
      <c r="D741" s="17" t="str">
        <f t="shared" si="136"/>
        <v>July</v>
      </c>
      <c r="E741" s="5" t="str">
        <f t="shared" ca="1" si="137"/>
        <v>STU-973</v>
      </c>
      <c r="F741" s="5" t="str">
        <f ca="1">IF(COUNTIF($E$2:E741,E741)=1,"New Customer","Returning Customer")</f>
        <v>New Customer</v>
      </c>
      <c r="G741" s="5" t="str">
        <f t="shared" ca="1" si="138"/>
        <v>Female</v>
      </c>
      <c r="H741" s="5" t="s">
        <v>137</v>
      </c>
      <c r="I741" s="5" t="str" cm="1">
        <f t="array" aca="1" ref="I741" ca="1">INDEX(Courses!$B$9:$B$16,RANDBETWEEN(1,8))</f>
        <v>Excel Basics</v>
      </c>
      <c r="J741" s="5" t="str">
        <f ca="1">VLOOKUP(I741,Courses!$B$9:$C$16,2,0)</f>
        <v>Microsoft Office</v>
      </c>
      <c r="K741" s="7">
        <f ca="1">VLOOKUP(I741,Courses!$B$9:$D$16,3,0)</f>
        <v>29</v>
      </c>
      <c r="L741" s="5" t="str">
        <f t="shared" ca="1" si="139"/>
        <v>Paid</v>
      </c>
      <c r="M741" s="8" t="str" cm="1">
        <f t="array" aca="1" ref="M741" ca="1">INDEX('Payment Method'!$A$8:$A$12,RANDBETWEEN(1,5))</f>
        <v>Bank Transfer</v>
      </c>
      <c r="N741" s="7">
        <f>IFERROR(SUMIF(Holiday!$A$8:$A$11,B741,Holiday!$C$8:$C$11),0)</f>
        <v>0</v>
      </c>
      <c r="O741" s="7">
        <f t="shared" ca="1" si="140"/>
        <v>29</v>
      </c>
      <c r="P741" s="19">
        <f t="shared" ca="1" si="141"/>
        <v>29</v>
      </c>
      <c r="Q741" s="7">
        <f t="shared" ca="1" si="142"/>
        <v>0</v>
      </c>
      <c r="R741" s="8">
        <f ca="1">VLOOKUP(M741,'Payment Method'!$A$8:$B$12,2,0)</f>
        <v>0</v>
      </c>
      <c r="S741" s="9">
        <f t="shared" ca="1" si="132"/>
        <v>0</v>
      </c>
      <c r="T741" s="8">
        <v>0.01</v>
      </c>
      <c r="U741" s="9">
        <f t="shared" ca="1" si="133"/>
        <v>0.28999999999999915</v>
      </c>
      <c r="V741" s="7">
        <f t="shared" ca="1" si="134"/>
        <v>0</v>
      </c>
      <c r="W741" s="7">
        <f t="shared" ca="1" si="135"/>
        <v>28.71</v>
      </c>
      <c r="X741" s="5" t="str">
        <f t="shared" ca="1" si="143"/>
        <v>Tiktok</v>
      </c>
      <c r="Y741" s="78" t="str">
        <f>IF(COUNTIF($C$1:C740,B740)=1,10,"")</f>
        <v/>
      </c>
    </row>
    <row r="742" spans="1:25" x14ac:dyDescent="0.3">
      <c r="A742" s="75">
        <v>741</v>
      </c>
      <c r="B742" s="6">
        <v>46201</v>
      </c>
      <c r="C742" s="6">
        <v>46201</v>
      </c>
      <c r="D742" s="17" t="str">
        <f t="shared" si="136"/>
        <v>June</v>
      </c>
      <c r="E742" s="5" t="str">
        <f t="shared" ca="1" si="137"/>
        <v>STU-654</v>
      </c>
      <c r="F742" s="5" t="str">
        <f ca="1">IF(COUNTIF($E$2:E742,E742)=1,"New Customer","Returning Customer")</f>
        <v>New Customer</v>
      </c>
      <c r="G742" s="5" t="str">
        <f t="shared" ca="1" si="138"/>
        <v>Female</v>
      </c>
      <c r="H742" s="5" t="s">
        <v>136</v>
      </c>
      <c r="I742" s="5" t="str" cm="1">
        <f t="array" aca="1" ref="I742" ca="1">INDEX(Courses!$B$9:$B$16,RANDBETWEEN(1,8))</f>
        <v>Complete Excel Course</v>
      </c>
      <c r="J742" s="5" t="str">
        <f ca="1">VLOOKUP(I742,Courses!$B$9:$C$16,2,0)</f>
        <v>Microsoft Office</v>
      </c>
      <c r="K742" s="7">
        <f ca="1">VLOOKUP(I742,Courses!$B$9:$D$16,3,0)</f>
        <v>59</v>
      </c>
      <c r="L742" s="5" t="str">
        <f t="shared" ca="1" si="139"/>
        <v>Pending</v>
      </c>
      <c r="M742" s="8" t="str" cm="1">
        <f t="array" aca="1" ref="M742" ca="1">INDEX('Payment Method'!$A$8:$A$12,RANDBETWEEN(1,5))</f>
        <v>Visa Credit</v>
      </c>
      <c r="N742" s="7">
        <f>IFERROR(SUMIF(Holiday!$A$8:$A$11,B742,Holiday!$C$8:$C$11),0)</f>
        <v>0</v>
      </c>
      <c r="O742" s="7">
        <f t="shared" ca="1" si="140"/>
        <v>59</v>
      </c>
      <c r="P742" s="19">
        <f t="shared" ca="1" si="141"/>
        <v>56.935000000000002</v>
      </c>
      <c r="Q742" s="7">
        <f t="shared" ca="1" si="142"/>
        <v>56.365650000000002</v>
      </c>
      <c r="R742" s="8">
        <f ca="1">VLOOKUP(M742,'Payment Method'!$A$8:$B$12,2,0)</f>
        <v>3.5000000000000003E-2</v>
      </c>
      <c r="S742" s="9">
        <f t="shared" ca="1" si="132"/>
        <v>2.0649999999999977</v>
      </c>
      <c r="T742" s="8">
        <v>0.01</v>
      </c>
      <c r="U742" s="9">
        <f t="shared" ca="1" si="133"/>
        <v>0.56935000000000002</v>
      </c>
      <c r="V742" s="7">
        <f t="shared" ca="1" si="134"/>
        <v>0</v>
      </c>
      <c r="W742" s="7">
        <f t="shared" ca="1" si="135"/>
        <v>0</v>
      </c>
      <c r="X742" s="5" t="str">
        <f t="shared" ca="1" si="143"/>
        <v>Tiktok</v>
      </c>
      <c r="Y742" s="78" t="str">
        <f>IF(COUNTIF($C$1:C741,B741)=1,10,"")</f>
        <v/>
      </c>
    </row>
    <row r="743" spans="1:25" x14ac:dyDescent="0.3">
      <c r="A743" s="76">
        <v>742</v>
      </c>
      <c r="B743" s="6">
        <v>46129</v>
      </c>
      <c r="C743" s="6">
        <v>46134</v>
      </c>
      <c r="D743" s="17" t="str">
        <f t="shared" si="136"/>
        <v>April</v>
      </c>
      <c r="E743" s="5" t="str">
        <f t="shared" ca="1" si="137"/>
        <v>STU-147</v>
      </c>
      <c r="F743" s="5" t="str">
        <f ca="1">IF(COUNTIF($E$2:E743,E743)=1,"New Customer","Returning Customer")</f>
        <v>New Customer</v>
      </c>
      <c r="G743" s="5" t="str">
        <f t="shared" ca="1" si="138"/>
        <v>Not specified</v>
      </c>
      <c r="H743" s="5" t="s">
        <v>141</v>
      </c>
      <c r="I743" s="5" t="str" cm="1">
        <f t="array" aca="1" ref="I743" ca="1">INDEX(Courses!$B$9:$B$16,RANDBETWEEN(1,8))</f>
        <v>SQL</v>
      </c>
      <c r="J743" s="5" t="str">
        <f ca="1">VLOOKUP(I743,Courses!$B$9:$C$16,2,0)</f>
        <v>Data Analytics</v>
      </c>
      <c r="K743" s="7">
        <f ca="1">VLOOKUP(I743,Courses!$B$9:$D$16,3,0)</f>
        <v>99</v>
      </c>
      <c r="L743" s="5" t="str">
        <f t="shared" ca="1" si="139"/>
        <v>Paid</v>
      </c>
      <c r="M743" s="8" t="str" cm="1">
        <f t="array" aca="1" ref="M743" ca="1">INDEX('Payment Method'!$A$8:$A$12,RANDBETWEEN(1,5))</f>
        <v>Mastercard Debit</v>
      </c>
      <c r="N743" s="7">
        <f>IFERROR(SUMIF(Holiday!$A$8:$A$11,B743,Holiday!$C$8:$C$11),0)</f>
        <v>0</v>
      </c>
      <c r="O743" s="7">
        <f t="shared" ca="1" si="140"/>
        <v>99</v>
      </c>
      <c r="P743" s="19">
        <f t="shared" ca="1" si="141"/>
        <v>97.02</v>
      </c>
      <c r="Q743" s="7">
        <f t="shared" ca="1" si="142"/>
        <v>0</v>
      </c>
      <c r="R743" s="8">
        <f ca="1">VLOOKUP(M743,'Payment Method'!$A$8:$B$12,2,0)</f>
        <v>0.02</v>
      </c>
      <c r="S743" s="9">
        <f t="shared" ca="1" si="132"/>
        <v>1.980000000000004</v>
      </c>
      <c r="T743" s="8">
        <v>0.01</v>
      </c>
      <c r="U743" s="9">
        <f t="shared" ca="1" si="133"/>
        <v>0.9702000000000055</v>
      </c>
      <c r="V743" s="7">
        <f t="shared" ca="1" si="134"/>
        <v>0</v>
      </c>
      <c r="W743" s="7">
        <f t="shared" ca="1" si="135"/>
        <v>96.049799999999991</v>
      </c>
      <c r="X743" s="5" t="str">
        <f t="shared" ca="1" si="143"/>
        <v>Tiktok</v>
      </c>
      <c r="Y743" s="78" t="str">
        <f>IF(COUNTIF($C$1:C742,B742)=1,10,"")</f>
        <v/>
      </c>
    </row>
    <row r="744" spans="1:25" x14ac:dyDescent="0.3">
      <c r="A744" s="75">
        <v>743</v>
      </c>
      <c r="B744" s="6">
        <v>46084</v>
      </c>
      <c r="C744" s="6">
        <v>46087</v>
      </c>
      <c r="D744" s="17" t="str">
        <f t="shared" si="136"/>
        <v>March</v>
      </c>
      <c r="E744" s="5" t="str">
        <f t="shared" ca="1" si="137"/>
        <v>STU-61</v>
      </c>
      <c r="F744" s="5" t="str">
        <f ca="1">IF(COUNTIF($E$2:E744,E744)=1,"New Customer","Returning Customer")</f>
        <v>New Customer</v>
      </c>
      <c r="G744" s="5" t="str">
        <f t="shared" ca="1" si="138"/>
        <v>Not specified</v>
      </c>
      <c r="H744" s="5" t="s">
        <v>140</v>
      </c>
      <c r="I744" s="5" t="str" cm="1">
        <f t="array" aca="1" ref="I744" ca="1">INDEX(Courses!$B$9:$B$16,RANDBETWEEN(1,8))</f>
        <v>Adolescent Psychology</v>
      </c>
      <c r="J744" s="5" t="str">
        <f ca="1">VLOOKUP(I744,Courses!$B$9:$C$16,2,0)</f>
        <v>Psychology</v>
      </c>
      <c r="K744" s="7">
        <f ca="1">VLOOKUP(I744,Courses!$B$9:$D$16,3,0)</f>
        <v>29</v>
      </c>
      <c r="L744" s="5" t="str">
        <f t="shared" ca="1" si="139"/>
        <v>Pending</v>
      </c>
      <c r="M744" s="8" t="str" cm="1">
        <f t="array" aca="1" ref="M744" ca="1">INDEX('Payment Method'!$A$8:$A$12,RANDBETWEEN(1,5))</f>
        <v>Visa Credit</v>
      </c>
      <c r="N744" s="7">
        <f>IFERROR(SUMIF(Holiday!$A$8:$A$11,B744,Holiday!$C$8:$C$11),0)</f>
        <v>20</v>
      </c>
      <c r="O744" s="7">
        <f t="shared" ca="1" si="140"/>
        <v>-551</v>
      </c>
      <c r="P744" s="19">
        <f t="shared" ca="1" si="141"/>
        <v>-531.71500000000003</v>
      </c>
      <c r="Q744" s="7">
        <f t="shared" ca="1" si="142"/>
        <v>-526.39785000000006</v>
      </c>
      <c r="R744" s="8">
        <f ca="1">VLOOKUP(M744,'Payment Method'!$A$8:$B$12,2,0)</f>
        <v>3.5000000000000003E-2</v>
      </c>
      <c r="S744" s="9">
        <f t="shared" ca="1" si="132"/>
        <v>-19.284999999999968</v>
      </c>
      <c r="T744" s="8">
        <v>0.01</v>
      </c>
      <c r="U744" s="9">
        <f t="shared" ca="1" si="133"/>
        <v>-5.3171499999999696</v>
      </c>
      <c r="V744" s="7">
        <f t="shared" ca="1" si="134"/>
        <v>0</v>
      </c>
      <c r="W744" s="7">
        <f t="shared" ca="1" si="135"/>
        <v>0</v>
      </c>
      <c r="X744" s="5" t="str">
        <f t="shared" ca="1" si="143"/>
        <v>Tiktok</v>
      </c>
      <c r="Y744" s="78" t="str">
        <f>IF(COUNTIF($C$1:C743,B743)=1,10,"")</f>
        <v/>
      </c>
    </row>
    <row r="745" spans="1:25" x14ac:dyDescent="0.3">
      <c r="A745" s="76">
        <v>744</v>
      </c>
      <c r="B745" s="6">
        <v>46034</v>
      </c>
      <c r="C745" s="6">
        <v>46039</v>
      </c>
      <c r="D745" s="17" t="str">
        <f t="shared" si="136"/>
        <v>January</v>
      </c>
      <c r="E745" s="5" t="str">
        <f t="shared" ca="1" si="137"/>
        <v>STU-660</v>
      </c>
      <c r="F745" s="5" t="str">
        <f ca="1">IF(COUNTIF($E$2:E745,E745)=1,"New Customer","Returning Customer")</f>
        <v>Returning Customer</v>
      </c>
      <c r="G745" s="5" t="str">
        <f t="shared" ca="1" si="138"/>
        <v>Male</v>
      </c>
      <c r="H745" s="5" t="s">
        <v>142</v>
      </c>
      <c r="I745" s="5" t="str" cm="1">
        <f t="array" aca="1" ref="I745" ca="1">INDEX(Courses!$B$9:$B$16,RANDBETWEEN(1,8))</f>
        <v>PowerPoint</v>
      </c>
      <c r="J745" s="5" t="str">
        <f ca="1">VLOOKUP(I745,Courses!$B$9:$C$16,2,0)</f>
        <v>Microsoft Office</v>
      </c>
      <c r="K745" s="7">
        <f ca="1">VLOOKUP(I745,Courses!$B$9:$D$16,3,0)</f>
        <v>29</v>
      </c>
      <c r="L745" s="5" t="str">
        <f t="shared" ca="1" si="139"/>
        <v>Paid</v>
      </c>
      <c r="M745" s="8" t="str" cm="1">
        <f t="array" aca="1" ref="M745" ca="1">INDEX('Payment Method'!$A$8:$A$12,RANDBETWEEN(1,5))</f>
        <v>Mastercard Debit</v>
      </c>
      <c r="N745" s="7">
        <f>IFERROR(SUMIF(Holiday!$A$8:$A$11,B745,Holiday!$C$8:$C$11),0)</f>
        <v>0</v>
      </c>
      <c r="O745" s="7">
        <f t="shared" ca="1" si="140"/>
        <v>29</v>
      </c>
      <c r="P745" s="19">
        <f t="shared" ca="1" si="141"/>
        <v>28.42</v>
      </c>
      <c r="Q745" s="7">
        <f t="shared" ca="1" si="142"/>
        <v>0</v>
      </c>
      <c r="R745" s="8">
        <f ca="1">VLOOKUP(M745,'Payment Method'!$A$8:$B$12,2,0)</f>
        <v>0.02</v>
      </c>
      <c r="S745" s="9">
        <f t="shared" ca="1" si="132"/>
        <v>0.57999999999999829</v>
      </c>
      <c r="T745" s="8">
        <v>0.01</v>
      </c>
      <c r="U745" s="9">
        <f t="shared" ca="1" si="133"/>
        <v>0.28419999999999845</v>
      </c>
      <c r="V745" s="7">
        <f t="shared" ca="1" si="134"/>
        <v>0</v>
      </c>
      <c r="W745" s="7">
        <f t="shared" ca="1" si="135"/>
        <v>28.135800000000003</v>
      </c>
      <c r="X745" s="5" t="str">
        <f t="shared" ca="1" si="143"/>
        <v>Facebook</v>
      </c>
      <c r="Y745" s="78" t="str">
        <f>IF(COUNTIF($C$1:C744,B744)=1,10,"")</f>
        <v/>
      </c>
    </row>
    <row r="746" spans="1:25" x14ac:dyDescent="0.3">
      <c r="A746" s="75">
        <v>745</v>
      </c>
      <c r="B746" s="6">
        <v>46226</v>
      </c>
      <c r="C746" s="6">
        <v>46226</v>
      </c>
      <c r="D746" s="17" t="str">
        <f t="shared" si="136"/>
        <v>July</v>
      </c>
      <c r="E746" s="5" t="str">
        <f t="shared" ca="1" si="137"/>
        <v>STU-832</v>
      </c>
      <c r="F746" s="5" t="str">
        <f ca="1">IF(COUNTIF($E$2:E746,E746)=1,"New Customer","Returning Customer")</f>
        <v>New Customer</v>
      </c>
      <c r="G746" s="5" t="str">
        <f t="shared" ca="1" si="138"/>
        <v>Female</v>
      </c>
      <c r="H746" s="5" t="s">
        <v>140</v>
      </c>
      <c r="I746" s="5" t="str" cm="1">
        <f t="array" aca="1" ref="I746" ca="1">INDEX(Courses!$B$9:$B$16,RANDBETWEEN(1,8))</f>
        <v>PowerPoint</v>
      </c>
      <c r="J746" s="5" t="str">
        <f ca="1">VLOOKUP(I746,Courses!$B$9:$C$16,2,0)</f>
        <v>Microsoft Office</v>
      </c>
      <c r="K746" s="7">
        <f ca="1">VLOOKUP(I746,Courses!$B$9:$D$16,3,0)</f>
        <v>29</v>
      </c>
      <c r="L746" s="5" t="str">
        <f t="shared" ca="1" si="139"/>
        <v>Paid</v>
      </c>
      <c r="M746" s="8" t="str" cm="1">
        <f t="array" aca="1" ref="M746" ca="1">INDEX('Payment Method'!$A$8:$A$12,RANDBETWEEN(1,5))</f>
        <v>Mastercard Credit</v>
      </c>
      <c r="N746" s="7">
        <f>IFERROR(SUMIF(Holiday!$A$8:$A$11,B746,Holiday!$C$8:$C$11),0)</f>
        <v>0</v>
      </c>
      <c r="O746" s="7">
        <f t="shared" ca="1" si="140"/>
        <v>29</v>
      </c>
      <c r="P746" s="19">
        <f t="shared" ca="1" si="141"/>
        <v>27.984999999999999</v>
      </c>
      <c r="Q746" s="7">
        <f t="shared" ca="1" si="142"/>
        <v>0</v>
      </c>
      <c r="R746" s="8">
        <f ca="1">VLOOKUP(M746,'Payment Method'!$A$8:$B$12,2,0)</f>
        <v>3.5000000000000003E-2</v>
      </c>
      <c r="S746" s="9">
        <f t="shared" ca="1" si="132"/>
        <v>1.0150000000000006</v>
      </c>
      <c r="T746" s="8">
        <v>0.01</v>
      </c>
      <c r="U746" s="9">
        <f t="shared" ca="1" si="133"/>
        <v>0.27984999999999971</v>
      </c>
      <c r="V746" s="7">
        <f t="shared" ca="1" si="134"/>
        <v>0</v>
      </c>
      <c r="W746" s="7">
        <f t="shared" ca="1" si="135"/>
        <v>27.70515</v>
      </c>
      <c r="X746" s="5" t="str">
        <f t="shared" ca="1" si="143"/>
        <v>Instagram</v>
      </c>
      <c r="Y746" s="78" t="str">
        <f>IF(COUNTIF($C$1:C745,B745)=1,10,"")</f>
        <v/>
      </c>
    </row>
    <row r="747" spans="1:25" x14ac:dyDescent="0.3">
      <c r="A747" s="76">
        <v>746</v>
      </c>
      <c r="B747" s="6">
        <v>46170</v>
      </c>
      <c r="C747" s="6">
        <v>46170</v>
      </c>
      <c r="D747" s="17" t="str">
        <f t="shared" si="136"/>
        <v>May</v>
      </c>
      <c r="E747" s="5" t="str">
        <f t="shared" ca="1" si="137"/>
        <v>STU-637</v>
      </c>
      <c r="F747" s="5" t="str">
        <f ca="1">IF(COUNTIF($E$2:E747,E747)=1,"New Customer","Returning Customer")</f>
        <v>New Customer</v>
      </c>
      <c r="G747" s="5" t="str">
        <f t="shared" ca="1" si="138"/>
        <v>Male</v>
      </c>
      <c r="H747" s="5" t="s">
        <v>141</v>
      </c>
      <c r="I747" s="5" t="str" cm="1">
        <f t="array" aca="1" ref="I747" ca="1">INDEX(Courses!$B$9:$B$16,RANDBETWEEN(1,8))</f>
        <v>SQL</v>
      </c>
      <c r="J747" s="5" t="str">
        <f ca="1">VLOOKUP(I747,Courses!$B$9:$C$16,2,0)</f>
        <v>Data Analytics</v>
      </c>
      <c r="K747" s="7">
        <f ca="1">VLOOKUP(I747,Courses!$B$9:$D$16,3,0)</f>
        <v>99</v>
      </c>
      <c r="L747" s="5" t="str">
        <f t="shared" ca="1" si="139"/>
        <v>Paid</v>
      </c>
      <c r="M747" s="8" t="str" cm="1">
        <f t="array" aca="1" ref="M747" ca="1">INDEX('Payment Method'!$A$8:$A$12,RANDBETWEEN(1,5))</f>
        <v>Mastercard Debit</v>
      </c>
      <c r="N747" s="7">
        <f>IFERROR(SUMIF(Holiday!$A$8:$A$11,B747,Holiday!$C$8:$C$11),0)</f>
        <v>0</v>
      </c>
      <c r="O747" s="7">
        <f t="shared" ca="1" si="140"/>
        <v>99</v>
      </c>
      <c r="P747" s="19">
        <f t="shared" ca="1" si="141"/>
        <v>97.02</v>
      </c>
      <c r="Q747" s="7">
        <f t="shared" ca="1" si="142"/>
        <v>0</v>
      </c>
      <c r="R747" s="8">
        <f ca="1">VLOOKUP(M747,'Payment Method'!$A$8:$B$12,2,0)</f>
        <v>0.02</v>
      </c>
      <c r="S747" s="9">
        <f t="shared" ca="1" si="132"/>
        <v>1.980000000000004</v>
      </c>
      <c r="T747" s="8">
        <v>0.01</v>
      </c>
      <c r="U747" s="9">
        <f t="shared" ca="1" si="133"/>
        <v>0.9702000000000055</v>
      </c>
      <c r="V747" s="7">
        <f t="shared" ca="1" si="134"/>
        <v>0</v>
      </c>
      <c r="W747" s="7">
        <f t="shared" ca="1" si="135"/>
        <v>96.049799999999991</v>
      </c>
      <c r="X747" s="5" t="str">
        <f t="shared" ca="1" si="143"/>
        <v>Instagram</v>
      </c>
      <c r="Y747" s="78">
        <f>IF(COUNTIF($C$1:C746,B746)=1,10,"")</f>
        <v>10</v>
      </c>
    </row>
    <row r="748" spans="1:25" x14ac:dyDescent="0.3">
      <c r="A748" s="75">
        <v>747</v>
      </c>
      <c r="B748" s="6">
        <v>46048</v>
      </c>
      <c r="C748" s="6">
        <v>46050</v>
      </c>
      <c r="D748" s="17" t="str">
        <f t="shared" si="136"/>
        <v>January</v>
      </c>
      <c r="E748" s="5" t="str">
        <f t="shared" ca="1" si="137"/>
        <v>STU-947</v>
      </c>
      <c r="F748" s="5" t="str">
        <f ca="1">IF(COUNTIF($E$2:E748,E748)=1,"New Customer","Returning Customer")</f>
        <v>New Customer</v>
      </c>
      <c r="G748" s="5" t="str">
        <f t="shared" ca="1" si="138"/>
        <v>Male</v>
      </c>
      <c r="H748" s="5" t="s">
        <v>140</v>
      </c>
      <c r="I748" s="5" t="str" cm="1">
        <f t="array" aca="1" ref="I748" ca="1">INDEX(Courses!$B$9:$B$16,RANDBETWEEN(1,8))</f>
        <v>Complete Excel Course</v>
      </c>
      <c r="J748" s="5" t="str">
        <f ca="1">VLOOKUP(I748,Courses!$B$9:$C$16,2,0)</f>
        <v>Microsoft Office</v>
      </c>
      <c r="K748" s="7">
        <f ca="1">VLOOKUP(I748,Courses!$B$9:$D$16,3,0)</f>
        <v>59</v>
      </c>
      <c r="L748" s="5" t="str">
        <f t="shared" ca="1" si="139"/>
        <v>Paid</v>
      </c>
      <c r="M748" s="8" t="str" cm="1">
        <f t="array" aca="1" ref="M748" ca="1">INDEX('Payment Method'!$A$8:$A$12,RANDBETWEEN(1,5))</f>
        <v>Visa Credit</v>
      </c>
      <c r="N748" s="7">
        <f>IFERROR(SUMIF(Holiday!$A$8:$A$11,B748,Holiday!$C$8:$C$11),0)</f>
        <v>0</v>
      </c>
      <c r="O748" s="7">
        <f t="shared" ca="1" si="140"/>
        <v>59</v>
      </c>
      <c r="P748" s="19">
        <f t="shared" ca="1" si="141"/>
        <v>56.935000000000002</v>
      </c>
      <c r="Q748" s="7">
        <f t="shared" ca="1" si="142"/>
        <v>0</v>
      </c>
      <c r="R748" s="8">
        <f ca="1">VLOOKUP(M748,'Payment Method'!$A$8:$B$12,2,0)</f>
        <v>3.5000000000000003E-2</v>
      </c>
      <c r="S748" s="9">
        <f t="shared" ca="1" si="132"/>
        <v>2.0649999999999977</v>
      </c>
      <c r="T748" s="8">
        <v>0.01</v>
      </c>
      <c r="U748" s="9">
        <f t="shared" ca="1" si="133"/>
        <v>0.56935000000000002</v>
      </c>
      <c r="V748" s="7">
        <f t="shared" ca="1" si="134"/>
        <v>0</v>
      </c>
      <c r="W748" s="7">
        <f t="shared" ca="1" si="135"/>
        <v>56.365650000000002</v>
      </c>
      <c r="X748" s="5" t="str">
        <f t="shared" ca="1" si="143"/>
        <v>Tiktok</v>
      </c>
      <c r="Y748" s="78" t="str">
        <f>IF(COUNTIF($C$1:C747,B747)=1,10,"")</f>
        <v/>
      </c>
    </row>
    <row r="749" spans="1:25" x14ac:dyDescent="0.3">
      <c r="A749" s="76">
        <v>748</v>
      </c>
      <c r="B749" s="6">
        <v>46029</v>
      </c>
      <c r="C749" s="6">
        <v>46031</v>
      </c>
      <c r="D749" s="17" t="str">
        <f t="shared" si="136"/>
        <v>January</v>
      </c>
      <c r="E749" s="5" t="str">
        <f t="shared" ca="1" si="137"/>
        <v>STU-511</v>
      </c>
      <c r="F749" s="5" t="str">
        <f ca="1">IF(COUNTIF($E$2:E749,E749)=1,"New Customer","Returning Customer")</f>
        <v>New Customer</v>
      </c>
      <c r="G749" s="5" t="str">
        <f t="shared" ca="1" si="138"/>
        <v>Male</v>
      </c>
      <c r="H749" s="5" t="s">
        <v>135</v>
      </c>
      <c r="I749" s="5" t="str" cm="1">
        <f t="array" aca="1" ref="I749" ca="1">INDEX(Courses!$B$9:$B$16,RANDBETWEEN(1,8))</f>
        <v>Adolescent Psychology</v>
      </c>
      <c r="J749" s="5" t="str">
        <f ca="1">VLOOKUP(I749,Courses!$B$9:$C$16,2,0)</f>
        <v>Psychology</v>
      </c>
      <c r="K749" s="7">
        <f ca="1">VLOOKUP(I749,Courses!$B$9:$D$16,3,0)</f>
        <v>29</v>
      </c>
      <c r="L749" s="5" t="str">
        <f t="shared" ca="1" si="139"/>
        <v>Pending</v>
      </c>
      <c r="M749" s="8" t="str" cm="1">
        <f t="array" aca="1" ref="M749" ca="1">INDEX('Payment Method'!$A$8:$A$12,RANDBETWEEN(1,5))</f>
        <v>Mastercard Debit</v>
      </c>
      <c r="N749" s="7">
        <f>IFERROR(SUMIF(Holiday!$A$8:$A$11,B749,Holiday!$C$8:$C$11),0)</f>
        <v>0</v>
      </c>
      <c r="O749" s="7">
        <f t="shared" ca="1" si="140"/>
        <v>29</v>
      </c>
      <c r="P749" s="19">
        <f t="shared" ca="1" si="141"/>
        <v>28.42</v>
      </c>
      <c r="Q749" s="7">
        <f t="shared" ca="1" si="142"/>
        <v>28.135800000000003</v>
      </c>
      <c r="R749" s="8">
        <f ca="1">VLOOKUP(M749,'Payment Method'!$A$8:$B$12,2,0)</f>
        <v>0.02</v>
      </c>
      <c r="S749" s="9">
        <f t="shared" ca="1" si="132"/>
        <v>0.57999999999999829</v>
      </c>
      <c r="T749" s="8">
        <v>0.01</v>
      </c>
      <c r="U749" s="9">
        <f t="shared" ca="1" si="133"/>
        <v>0.28419999999999845</v>
      </c>
      <c r="V749" s="7">
        <f t="shared" ca="1" si="134"/>
        <v>0</v>
      </c>
      <c r="W749" s="7">
        <f t="shared" ca="1" si="135"/>
        <v>0</v>
      </c>
      <c r="X749" s="5" t="str">
        <f t="shared" ca="1" si="143"/>
        <v>Facebook</v>
      </c>
      <c r="Y749" s="78" t="str">
        <f>IF(COUNTIF($C$1:C748,B748)=1,10,"")</f>
        <v/>
      </c>
    </row>
    <row r="750" spans="1:25" x14ac:dyDescent="0.3">
      <c r="A750" s="75">
        <v>749</v>
      </c>
      <c r="B750" s="6">
        <v>46067</v>
      </c>
      <c r="C750" s="6">
        <v>46068</v>
      </c>
      <c r="D750" s="17" t="str">
        <f t="shared" si="136"/>
        <v>February</v>
      </c>
      <c r="E750" s="5" t="str">
        <f t="shared" ca="1" si="137"/>
        <v>STU-411</v>
      </c>
      <c r="F750" s="5" t="str">
        <f ca="1">IF(COUNTIF($E$2:E750,E750)=1,"New Customer","Returning Customer")</f>
        <v>Returning Customer</v>
      </c>
      <c r="G750" s="5" t="str">
        <f t="shared" ca="1" si="138"/>
        <v>Not specified</v>
      </c>
      <c r="H750" s="5" t="s">
        <v>140</v>
      </c>
      <c r="I750" s="5" t="str" cm="1">
        <f t="array" aca="1" ref="I750" ca="1">INDEX(Courses!$B$9:$B$16,RANDBETWEEN(1,8))</f>
        <v>Power BI</v>
      </c>
      <c r="J750" s="5" t="str">
        <f ca="1">VLOOKUP(I750,Courses!$B$9:$C$16,2,0)</f>
        <v>Data Analytics</v>
      </c>
      <c r="K750" s="7">
        <f ca="1">VLOOKUP(I750,Courses!$B$9:$D$16,3,0)</f>
        <v>59</v>
      </c>
      <c r="L750" s="5" t="str">
        <f t="shared" ca="1" si="139"/>
        <v>Pending</v>
      </c>
      <c r="M750" s="8" t="str" cm="1">
        <f t="array" aca="1" ref="M750" ca="1">INDEX('Payment Method'!$A$8:$A$12,RANDBETWEEN(1,5))</f>
        <v>Mastercard Debit</v>
      </c>
      <c r="N750" s="7">
        <f>IFERROR(SUMIF(Holiday!$A$8:$A$11,B750,Holiday!$C$8:$C$11),0)</f>
        <v>0</v>
      </c>
      <c r="O750" s="7">
        <f t="shared" ca="1" si="140"/>
        <v>59</v>
      </c>
      <c r="P750" s="19">
        <f t="shared" ca="1" si="141"/>
        <v>57.82</v>
      </c>
      <c r="Q750" s="7">
        <f t="shared" ca="1" si="142"/>
        <v>57.241799999999998</v>
      </c>
      <c r="R750" s="8">
        <f ca="1">VLOOKUP(M750,'Payment Method'!$A$8:$B$12,2,0)</f>
        <v>0.02</v>
      </c>
      <c r="S750" s="9">
        <f t="shared" ca="1" si="132"/>
        <v>1.1799999999999997</v>
      </c>
      <c r="T750" s="8">
        <v>0.01</v>
      </c>
      <c r="U750" s="9">
        <f t="shared" ca="1" si="133"/>
        <v>0.57820000000000249</v>
      </c>
      <c r="V750" s="7">
        <f t="shared" ca="1" si="134"/>
        <v>0</v>
      </c>
      <c r="W750" s="7">
        <f t="shared" ca="1" si="135"/>
        <v>0</v>
      </c>
      <c r="X750" s="5" t="str">
        <f t="shared" ca="1" si="143"/>
        <v>Instagram</v>
      </c>
      <c r="Y750" s="78" t="str">
        <f>IF(COUNTIF($C$1:C749,B749)=1,10,"")</f>
        <v/>
      </c>
    </row>
    <row r="751" spans="1:25" x14ac:dyDescent="0.3">
      <c r="A751" s="76">
        <v>750</v>
      </c>
      <c r="B751" s="6">
        <v>46109</v>
      </c>
      <c r="C751" s="6">
        <v>46114</v>
      </c>
      <c r="D751" s="17" t="str">
        <f t="shared" si="136"/>
        <v>April</v>
      </c>
      <c r="E751" s="5" t="str">
        <f t="shared" ca="1" si="137"/>
        <v>STU-588</v>
      </c>
      <c r="F751" s="5" t="str">
        <f ca="1">IF(COUNTIF($E$2:E751,E751)=1,"New Customer","Returning Customer")</f>
        <v>New Customer</v>
      </c>
      <c r="G751" s="5" t="str">
        <f t="shared" ca="1" si="138"/>
        <v>Male</v>
      </c>
      <c r="H751" s="5" t="s">
        <v>135</v>
      </c>
      <c r="I751" s="5" t="str" cm="1">
        <f t="array" aca="1" ref="I751" ca="1">INDEX(Courses!$B$9:$B$16,RANDBETWEEN(1,8))</f>
        <v>Complete Excel Course</v>
      </c>
      <c r="J751" s="5" t="str">
        <f ca="1">VLOOKUP(I751,Courses!$B$9:$C$16,2,0)</f>
        <v>Microsoft Office</v>
      </c>
      <c r="K751" s="7">
        <f ca="1">VLOOKUP(I751,Courses!$B$9:$D$16,3,0)</f>
        <v>59</v>
      </c>
      <c r="L751" s="5" t="str">
        <f t="shared" ca="1" si="139"/>
        <v>Pending</v>
      </c>
      <c r="M751" s="8" t="str" cm="1">
        <f t="array" aca="1" ref="M751" ca="1">INDEX('Payment Method'!$A$8:$A$12,RANDBETWEEN(1,5))</f>
        <v>Mastercard Debit</v>
      </c>
      <c r="N751" s="7">
        <f>IFERROR(SUMIF(Holiday!$A$8:$A$11,B751,Holiday!$C$8:$C$11),0)</f>
        <v>0</v>
      </c>
      <c r="O751" s="7">
        <f t="shared" ca="1" si="140"/>
        <v>59</v>
      </c>
      <c r="P751" s="19">
        <f t="shared" ca="1" si="141"/>
        <v>57.82</v>
      </c>
      <c r="Q751" s="7">
        <f t="shared" ca="1" si="142"/>
        <v>57.241799999999998</v>
      </c>
      <c r="R751" s="8">
        <f ca="1">VLOOKUP(M751,'Payment Method'!$A$8:$B$12,2,0)</f>
        <v>0.02</v>
      </c>
      <c r="S751" s="9">
        <f t="shared" ca="1" si="132"/>
        <v>1.1799999999999997</v>
      </c>
      <c r="T751" s="8">
        <v>0.01</v>
      </c>
      <c r="U751" s="9">
        <f t="shared" ca="1" si="133"/>
        <v>0.57820000000000249</v>
      </c>
      <c r="V751" s="7">
        <f t="shared" ca="1" si="134"/>
        <v>0</v>
      </c>
      <c r="W751" s="7">
        <f t="shared" ca="1" si="135"/>
        <v>0</v>
      </c>
      <c r="X751" s="5" t="str">
        <f t="shared" ca="1" si="143"/>
        <v>Facebook</v>
      </c>
      <c r="Y751" s="78" t="str">
        <f>IF(COUNTIF($C$1:C750,B750)=1,10,"")</f>
        <v/>
      </c>
    </row>
    <row r="752" spans="1:25" x14ac:dyDescent="0.3">
      <c r="A752" s="75">
        <v>751</v>
      </c>
      <c r="B752" s="6">
        <v>46045</v>
      </c>
      <c r="C752" s="6">
        <v>46048</v>
      </c>
      <c r="D752" s="17" t="str">
        <f t="shared" si="136"/>
        <v>January</v>
      </c>
      <c r="E752" s="5" t="str">
        <f t="shared" ca="1" si="137"/>
        <v>STU-752</v>
      </c>
      <c r="F752" s="5" t="str">
        <f ca="1">IF(COUNTIF($E$2:E752,E752)=1,"New Customer","Returning Customer")</f>
        <v>Returning Customer</v>
      </c>
      <c r="G752" s="5" t="str">
        <f t="shared" ca="1" si="138"/>
        <v>Not specified</v>
      </c>
      <c r="H752" s="5" t="s">
        <v>135</v>
      </c>
      <c r="I752" s="5" t="str" cm="1">
        <f t="array" aca="1" ref="I752" ca="1">INDEX(Courses!$B$9:$B$16,RANDBETWEEN(1,8))</f>
        <v>Power BI</v>
      </c>
      <c r="J752" s="5" t="str">
        <f ca="1">VLOOKUP(I752,Courses!$B$9:$C$16,2,0)</f>
        <v>Data Analytics</v>
      </c>
      <c r="K752" s="7">
        <f ca="1">VLOOKUP(I752,Courses!$B$9:$D$16,3,0)</f>
        <v>59</v>
      </c>
      <c r="L752" s="5" t="str">
        <f t="shared" ca="1" si="139"/>
        <v>Paid</v>
      </c>
      <c r="M752" s="8" t="str" cm="1">
        <f t="array" aca="1" ref="M752" ca="1">INDEX('Payment Method'!$A$8:$A$12,RANDBETWEEN(1,5))</f>
        <v>Visa Credit</v>
      </c>
      <c r="N752" s="7">
        <f>IFERROR(SUMIF(Holiday!$A$8:$A$11,B752,Holiday!$C$8:$C$11),0)</f>
        <v>0</v>
      </c>
      <c r="O752" s="7">
        <f t="shared" ca="1" si="140"/>
        <v>59</v>
      </c>
      <c r="P752" s="19">
        <f t="shared" ca="1" si="141"/>
        <v>56.935000000000002</v>
      </c>
      <c r="Q752" s="7">
        <f t="shared" ca="1" si="142"/>
        <v>0</v>
      </c>
      <c r="R752" s="8">
        <f ca="1">VLOOKUP(M752,'Payment Method'!$A$8:$B$12,2,0)</f>
        <v>3.5000000000000003E-2</v>
      </c>
      <c r="S752" s="9">
        <f t="shared" ca="1" si="132"/>
        <v>2.0649999999999977</v>
      </c>
      <c r="T752" s="8">
        <v>0.01</v>
      </c>
      <c r="U752" s="9">
        <f t="shared" ca="1" si="133"/>
        <v>0.56935000000000002</v>
      </c>
      <c r="V752" s="7">
        <f t="shared" ca="1" si="134"/>
        <v>0</v>
      </c>
      <c r="W752" s="7">
        <f t="shared" ca="1" si="135"/>
        <v>56.365650000000002</v>
      </c>
      <c r="X752" s="5" t="str">
        <f t="shared" ca="1" si="143"/>
        <v>Instagram</v>
      </c>
      <c r="Y752" s="78" t="str">
        <f>IF(COUNTIF($C$1:C751,B751)=1,10,"")</f>
        <v/>
      </c>
    </row>
    <row r="753" spans="1:25" x14ac:dyDescent="0.3">
      <c r="A753" s="76">
        <v>752</v>
      </c>
      <c r="B753" s="6">
        <v>46163</v>
      </c>
      <c r="C753" s="6">
        <v>46168</v>
      </c>
      <c r="D753" s="17" t="str">
        <f t="shared" si="136"/>
        <v>May</v>
      </c>
      <c r="E753" s="5" t="str">
        <f t="shared" ca="1" si="137"/>
        <v>STU-901</v>
      </c>
      <c r="F753" s="5" t="str">
        <f ca="1">IF(COUNTIF($E$2:E753,E753)=1,"New Customer","Returning Customer")</f>
        <v>New Customer</v>
      </c>
      <c r="G753" s="5" t="str">
        <f t="shared" ca="1" si="138"/>
        <v>Female</v>
      </c>
      <c r="H753" s="5" t="s">
        <v>140</v>
      </c>
      <c r="I753" s="5" t="str" cm="1">
        <f t="array" aca="1" ref="I753" ca="1">INDEX(Courses!$B$9:$B$16,RANDBETWEEN(1,8))</f>
        <v>Power BI</v>
      </c>
      <c r="J753" s="5" t="str">
        <f ca="1">VLOOKUP(I753,Courses!$B$9:$C$16,2,0)</f>
        <v>Data Analytics</v>
      </c>
      <c r="K753" s="7">
        <f ca="1">VLOOKUP(I753,Courses!$B$9:$D$16,3,0)</f>
        <v>59</v>
      </c>
      <c r="L753" s="5" t="str">
        <f t="shared" ca="1" si="139"/>
        <v>Paid</v>
      </c>
      <c r="M753" s="8" t="str" cm="1">
        <f t="array" aca="1" ref="M753" ca="1">INDEX('Payment Method'!$A$8:$A$12,RANDBETWEEN(1,5))</f>
        <v>Mastercard Credit</v>
      </c>
      <c r="N753" s="7">
        <f>IFERROR(SUMIF(Holiday!$A$8:$A$11,B753,Holiday!$C$8:$C$11),0)</f>
        <v>0</v>
      </c>
      <c r="O753" s="7">
        <f t="shared" ca="1" si="140"/>
        <v>59</v>
      </c>
      <c r="P753" s="19">
        <f t="shared" ca="1" si="141"/>
        <v>56.935000000000002</v>
      </c>
      <c r="Q753" s="7">
        <f t="shared" ca="1" si="142"/>
        <v>0</v>
      </c>
      <c r="R753" s="8">
        <f ca="1">VLOOKUP(M753,'Payment Method'!$A$8:$B$12,2,0)</f>
        <v>3.5000000000000003E-2</v>
      </c>
      <c r="S753" s="9">
        <f t="shared" ca="1" si="132"/>
        <v>2.0649999999999977</v>
      </c>
      <c r="T753" s="8">
        <v>0.01</v>
      </c>
      <c r="U753" s="9">
        <f t="shared" ca="1" si="133"/>
        <v>0.56935000000000002</v>
      </c>
      <c r="V753" s="7">
        <f t="shared" ca="1" si="134"/>
        <v>0</v>
      </c>
      <c r="W753" s="7">
        <f t="shared" ca="1" si="135"/>
        <v>56.365650000000002</v>
      </c>
      <c r="X753" s="5" t="str">
        <f t="shared" ca="1" si="143"/>
        <v>Instagram</v>
      </c>
      <c r="Y753" s="78" t="str">
        <f>IF(COUNTIF($C$1:C752,B752)=1,10,"")</f>
        <v/>
      </c>
    </row>
    <row r="754" spans="1:25" x14ac:dyDescent="0.3">
      <c r="A754" s="75">
        <v>753</v>
      </c>
      <c r="B754" s="6">
        <v>46174</v>
      </c>
      <c r="C754" s="6">
        <v>46175</v>
      </c>
      <c r="D754" s="17" t="str">
        <f t="shared" si="136"/>
        <v>June</v>
      </c>
      <c r="E754" s="5" t="str">
        <f t="shared" ca="1" si="137"/>
        <v>STU-39</v>
      </c>
      <c r="F754" s="5" t="str">
        <f ca="1">IF(COUNTIF($E$2:E754,E754)=1,"New Customer","Returning Customer")</f>
        <v>Returning Customer</v>
      </c>
      <c r="G754" s="5" t="str">
        <f t="shared" ca="1" si="138"/>
        <v>Not specified</v>
      </c>
      <c r="H754" s="5" t="s">
        <v>139</v>
      </c>
      <c r="I754" s="5" t="str" cm="1">
        <f t="array" aca="1" ref="I754" ca="1">INDEX(Courses!$B$9:$B$16,RANDBETWEEN(1,8))</f>
        <v>Complete Excel Course</v>
      </c>
      <c r="J754" s="5" t="str">
        <f ca="1">VLOOKUP(I754,Courses!$B$9:$C$16,2,0)</f>
        <v>Microsoft Office</v>
      </c>
      <c r="K754" s="7">
        <f ca="1">VLOOKUP(I754,Courses!$B$9:$D$16,3,0)</f>
        <v>59</v>
      </c>
      <c r="L754" s="5" t="str">
        <f t="shared" ca="1" si="139"/>
        <v>Paid</v>
      </c>
      <c r="M754" s="8" t="str" cm="1">
        <f t="array" aca="1" ref="M754" ca="1">INDEX('Payment Method'!$A$8:$A$12,RANDBETWEEN(1,5))</f>
        <v>Bank Transfer</v>
      </c>
      <c r="N754" s="7">
        <f>IFERROR(SUMIF(Holiday!$A$8:$A$11,B754,Holiday!$C$8:$C$11),0)</f>
        <v>0</v>
      </c>
      <c r="O754" s="7">
        <f t="shared" ca="1" si="140"/>
        <v>59</v>
      </c>
      <c r="P754" s="19">
        <f t="shared" ca="1" si="141"/>
        <v>59</v>
      </c>
      <c r="Q754" s="7">
        <f t="shared" ca="1" si="142"/>
        <v>0</v>
      </c>
      <c r="R754" s="8">
        <f ca="1">VLOOKUP(M754,'Payment Method'!$A$8:$B$12,2,0)</f>
        <v>0</v>
      </c>
      <c r="S754" s="9">
        <f t="shared" ca="1" si="132"/>
        <v>0</v>
      </c>
      <c r="T754" s="8">
        <v>0.01</v>
      </c>
      <c r="U754" s="9">
        <f t="shared" ca="1" si="133"/>
        <v>0.59000000000000341</v>
      </c>
      <c r="V754" s="7">
        <f t="shared" ca="1" si="134"/>
        <v>0</v>
      </c>
      <c r="W754" s="7">
        <f t="shared" ca="1" si="135"/>
        <v>58.41</v>
      </c>
      <c r="X754" s="5" t="str">
        <f t="shared" ca="1" si="143"/>
        <v>Instagram</v>
      </c>
      <c r="Y754" s="78" t="str">
        <f>IF(COUNTIF($C$1:C753,B753)=1,10,"")</f>
        <v/>
      </c>
    </row>
    <row r="755" spans="1:25" x14ac:dyDescent="0.3">
      <c r="A755" s="76">
        <v>754</v>
      </c>
      <c r="B755" s="6">
        <v>46224</v>
      </c>
      <c r="C755" s="6">
        <v>46229</v>
      </c>
      <c r="D755" s="17" t="str">
        <f t="shared" si="136"/>
        <v>July</v>
      </c>
      <c r="E755" s="5" t="str">
        <f t="shared" ca="1" si="137"/>
        <v>STU-383</v>
      </c>
      <c r="F755" s="5" t="str">
        <f ca="1">IF(COUNTIF($E$2:E755,E755)=1,"New Customer","Returning Customer")</f>
        <v>Returning Customer</v>
      </c>
      <c r="G755" s="5" t="str">
        <f t="shared" ca="1" si="138"/>
        <v>Female</v>
      </c>
      <c r="H755" s="5" t="s">
        <v>139</v>
      </c>
      <c r="I755" s="5" t="str" cm="1">
        <f t="array" aca="1" ref="I755" ca="1">INDEX(Courses!$B$9:$B$16,RANDBETWEEN(1,8))</f>
        <v>PowerPoint</v>
      </c>
      <c r="J755" s="5" t="str">
        <f ca="1">VLOOKUP(I755,Courses!$B$9:$C$16,2,0)</f>
        <v>Microsoft Office</v>
      </c>
      <c r="K755" s="7">
        <f ca="1">VLOOKUP(I755,Courses!$B$9:$D$16,3,0)</f>
        <v>29</v>
      </c>
      <c r="L755" s="5" t="str">
        <f t="shared" ca="1" si="139"/>
        <v>Paid</v>
      </c>
      <c r="M755" s="8" t="str" cm="1">
        <f t="array" aca="1" ref="M755" ca="1">INDEX('Payment Method'!$A$8:$A$12,RANDBETWEEN(1,5))</f>
        <v>Visa Debit</v>
      </c>
      <c r="N755" s="7">
        <f>IFERROR(SUMIF(Holiday!$A$8:$A$11,B755,Holiday!$C$8:$C$11),0)</f>
        <v>0</v>
      </c>
      <c r="O755" s="7">
        <f t="shared" ca="1" si="140"/>
        <v>29</v>
      </c>
      <c r="P755" s="19">
        <f t="shared" ca="1" si="141"/>
        <v>28.42</v>
      </c>
      <c r="Q755" s="7">
        <f t="shared" ca="1" si="142"/>
        <v>0</v>
      </c>
      <c r="R755" s="8">
        <f ca="1">VLOOKUP(M755,'Payment Method'!$A$8:$B$12,2,0)</f>
        <v>0.02</v>
      </c>
      <c r="S755" s="9">
        <f t="shared" ca="1" si="132"/>
        <v>0.57999999999999829</v>
      </c>
      <c r="T755" s="8">
        <v>0.01</v>
      </c>
      <c r="U755" s="9">
        <f t="shared" ca="1" si="133"/>
        <v>0.28419999999999845</v>
      </c>
      <c r="V755" s="7">
        <f t="shared" ca="1" si="134"/>
        <v>0</v>
      </c>
      <c r="W755" s="7">
        <f t="shared" ca="1" si="135"/>
        <v>28.135800000000003</v>
      </c>
      <c r="X755" s="5" t="str">
        <f t="shared" ca="1" si="143"/>
        <v>Facebook</v>
      </c>
      <c r="Y755" s="78" t="str">
        <f>IF(COUNTIF($C$1:C754,B754)=1,10,"")</f>
        <v/>
      </c>
    </row>
    <row r="756" spans="1:25" x14ac:dyDescent="0.3">
      <c r="A756" s="75">
        <v>755</v>
      </c>
      <c r="B756" s="6">
        <v>46145</v>
      </c>
      <c r="C756" s="6">
        <v>46146</v>
      </c>
      <c r="D756" s="17" t="str">
        <f t="shared" si="136"/>
        <v>May</v>
      </c>
      <c r="E756" s="5" t="str">
        <f t="shared" ca="1" si="137"/>
        <v>STU-162</v>
      </c>
      <c r="F756" s="5" t="str">
        <f ca="1">IF(COUNTIF($E$2:E756,E756)=1,"New Customer","Returning Customer")</f>
        <v>New Customer</v>
      </c>
      <c r="G756" s="5" t="str">
        <f t="shared" ca="1" si="138"/>
        <v>Male</v>
      </c>
      <c r="H756" s="5" t="s">
        <v>141</v>
      </c>
      <c r="I756" s="5" t="str" cm="1">
        <f t="array" aca="1" ref="I756" ca="1">INDEX(Courses!$B$9:$B$16,RANDBETWEEN(1,8))</f>
        <v>Excel Basics</v>
      </c>
      <c r="J756" s="5" t="str">
        <f ca="1">VLOOKUP(I756,Courses!$B$9:$C$16,2,0)</f>
        <v>Microsoft Office</v>
      </c>
      <c r="K756" s="7">
        <f ca="1">VLOOKUP(I756,Courses!$B$9:$D$16,3,0)</f>
        <v>29</v>
      </c>
      <c r="L756" s="5" t="str">
        <f t="shared" ca="1" si="139"/>
        <v>Pending</v>
      </c>
      <c r="M756" s="8" t="str" cm="1">
        <f t="array" aca="1" ref="M756" ca="1">INDEX('Payment Method'!$A$8:$A$12,RANDBETWEEN(1,5))</f>
        <v>Visa Credit</v>
      </c>
      <c r="N756" s="7">
        <f>IFERROR(SUMIF(Holiday!$A$8:$A$11,B756,Holiday!$C$8:$C$11),0)</f>
        <v>0</v>
      </c>
      <c r="O756" s="7">
        <f t="shared" ca="1" si="140"/>
        <v>29</v>
      </c>
      <c r="P756" s="19">
        <f t="shared" ca="1" si="141"/>
        <v>27.984999999999999</v>
      </c>
      <c r="Q756" s="7">
        <f t="shared" ca="1" si="142"/>
        <v>27.70515</v>
      </c>
      <c r="R756" s="8">
        <f ca="1">VLOOKUP(M756,'Payment Method'!$A$8:$B$12,2,0)</f>
        <v>3.5000000000000003E-2</v>
      </c>
      <c r="S756" s="9">
        <f t="shared" ca="1" si="132"/>
        <v>1.0150000000000006</v>
      </c>
      <c r="T756" s="8">
        <v>0.01</v>
      </c>
      <c r="U756" s="9">
        <f t="shared" ca="1" si="133"/>
        <v>0.27984999999999971</v>
      </c>
      <c r="V756" s="7">
        <f t="shared" ca="1" si="134"/>
        <v>0</v>
      </c>
      <c r="W756" s="7">
        <f t="shared" ca="1" si="135"/>
        <v>0</v>
      </c>
      <c r="X756" s="5" t="str">
        <f t="shared" ca="1" si="143"/>
        <v>Tiktok</v>
      </c>
      <c r="Y756" s="78" t="str">
        <f>IF(COUNTIF($C$1:C755,B755)=1,10,"")</f>
        <v/>
      </c>
    </row>
    <row r="757" spans="1:25" x14ac:dyDescent="0.3">
      <c r="A757" s="76">
        <v>756</v>
      </c>
      <c r="B757" s="6">
        <v>46159</v>
      </c>
      <c r="C757" s="6">
        <v>46160</v>
      </c>
      <c r="D757" s="17" t="str">
        <f t="shared" si="136"/>
        <v>May</v>
      </c>
      <c r="E757" s="5" t="str">
        <f t="shared" ca="1" si="137"/>
        <v>STU-694</v>
      </c>
      <c r="F757" s="5" t="str">
        <f ca="1">IF(COUNTIF($E$2:E757,E757)=1,"New Customer","Returning Customer")</f>
        <v>New Customer</v>
      </c>
      <c r="G757" s="5" t="str">
        <f t="shared" ca="1" si="138"/>
        <v>Not specified</v>
      </c>
      <c r="H757" s="5" t="s">
        <v>139</v>
      </c>
      <c r="I757" s="5" t="str" cm="1">
        <f t="array" aca="1" ref="I757" ca="1">INDEX(Courses!$B$9:$B$16,RANDBETWEEN(1,8))</f>
        <v>SQL</v>
      </c>
      <c r="J757" s="5" t="str">
        <f ca="1">VLOOKUP(I757,Courses!$B$9:$C$16,2,0)</f>
        <v>Data Analytics</v>
      </c>
      <c r="K757" s="7">
        <f ca="1">VLOOKUP(I757,Courses!$B$9:$D$16,3,0)</f>
        <v>99</v>
      </c>
      <c r="L757" s="5" t="str">
        <f t="shared" ca="1" si="139"/>
        <v>Refunded</v>
      </c>
      <c r="M757" s="8" t="str" cm="1">
        <f t="array" aca="1" ref="M757" ca="1">INDEX('Payment Method'!$A$8:$A$12,RANDBETWEEN(1,5))</f>
        <v>Visa Debit</v>
      </c>
      <c r="N757" s="7">
        <f>IFERROR(SUMIF(Holiday!$A$8:$A$11,B757,Holiday!$C$8:$C$11),0)</f>
        <v>0</v>
      </c>
      <c r="O757" s="7">
        <f t="shared" ca="1" si="140"/>
        <v>99</v>
      </c>
      <c r="P757" s="19">
        <f t="shared" ca="1" si="141"/>
        <v>97.02</v>
      </c>
      <c r="Q757" s="7">
        <f t="shared" ca="1" si="142"/>
        <v>0</v>
      </c>
      <c r="R757" s="8">
        <f ca="1">VLOOKUP(M757,'Payment Method'!$A$8:$B$12,2,0)</f>
        <v>0.02</v>
      </c>
      <c r="S757" s="9">
        <f t="shared" ca="1" si="132"/>
        <v>1.980000000000004</v>
      </c>
      <c r="T757" s="8">
        <v>0.01</v>
      </c>
      <c r="U757" s="9">
        <f t="shared" ca="1" si="133"/>
        <v>0.9702000000000055</v>
      </c>
      <c r="V757" s="7">
        <f t="shared" ca="1" si="134"/>
        <v>96.049799999999991</v>
      </c>
      <c r="W757" s="7">
        <f t="shared" ca="1" si="135"/>
        <v>0</v>
      </c>
      <c r="X757" s="5" t="str">
        <f t="shared" ca="1" si="143"/>
        <v>Tiktok</v>
      </c>
      <c r="Y757" s="78" t="str">
        <f>IF(COUNTIF($C$1:C756,B756)=1,10,"")</f>
        <v/>
      </c>
    </row>
    <row r="758" spans="1:25" x14ac:dyDescent="0.3">
      <c r="A758" s="75">
        <v>757</v>
      </c>
      <c r="B758" s="6">
        <v>46113</v>
      </c>
      <c r="C758" s="6">
        <v>46115</v>
      </c>
      <c r="D758" s="17" t="str">
        <f t="shared" si="136"/>
        <v>April</v>
      </c>
      <c r="E758" s="5" t="str">
        <f t="shared" ca="1" si="137"/>
        <v>STU-20</v>
      </c>
      <c r="F758" s="5" t="str">
        <f ca="1">IF(COUNTIF($E$2:E758,E758)=1,"New Customer","Returning Customer")</f>
        <v>Returning Customer</v>
      </c>
      <c r="G758" s="5" t="str">
        <f t="shared" ca="1" si="138"/>
        <v>Female</v>
      </c>
      <c r="H758" s="5" t="s">
        <v>142</v>
      </c>
      <c r="I758" s="5" t="str" cm="1">
        <f t="array" aca="1" ref="I758" ca="1">INDEX(Courses!$B$9:$B$16,RANDBETWEEN(1,8))</f>
        <v>Complete Excel Course</v>
      </c>
      <c r="J758" s="5" t="str">
        <f ca="1">VLOOKUP(I758,Courses!$B$9:$C$16,2,0)</f>
        <v>Microsoft Office</v>
      </c>
      <c r="K758" s="7">
        <f ca="1">VLOOKUP(I758,Courses!$B$9:$D$16,3,0)</f>
        <v>59</v>
      </c>
      <c r="L758" s="5" t="str">
        <f t="shared" ca="1" si="139"/>
        <v>Paid</v>
      </c>
      <c r="M758" s="8" t="str" cm="1">
        <f t="array" aca="1" ref="M758" ca="1">INDEX('Payment Method'!$A$8:$A$12,RANDBETWEEN(1,5))</f>
        <v>Visa Credit</v>
      </c>
      <c r="N758" s="7">
        <f>IFERROR(SUMIF(Holiday!$A$8:$A$11,B758,Holiday!$C$8:$C$11),0)</f>
        <v>0</v>
      </c>
      <c r="O758" s="7">
        <f t="shared" ca="1" si="140"/>
        <v>59</v>
      </c>
      <c r="P758" s="19">
        <f t="shared" ca="1" si="141"/>
        <v>56.935000000000002</v>
      </c>
      <c r="Q758" s="7">
        <f t="shared" ca="1" si="142"/>
        <v>0</v>
      </c>
      <c r="R758" s="8">
        <f ca="1">VLOOKUP(M758,'Payment Method'!$A$8:$B$12,2,0)</f>
        <v>3.5000000000000003E-2</v>
      </c>
      <c r="S758" s="9">
        <f t="shared" ca="1" si="132"/>
        <v>2.0649999999999977</v>
      </c>
      <c r="T758" s="8">
        <v>0.01</v>
      </c>
      <c r="U758" s="9">
        <f t="shared" ca="1" si="133"/>
        <v>0.56935000000000002</v>
      </c>
      <c r="V758" s="7">
        <f t="shared" ca="1" si="134"/>
        <v>0</v>
      </c>
      <c r="W758" s="7">
        <f t="shared" ca="1" si="135"/>
        <v>56.365650000000002</v>
      </c>
      <c r="X758" s="5" t="str">
        <f t="shared" ca="1" si="143"/>
        <v>Facebook</v>
      </c>
      <c r="Y758" s="78" t="str">
        <f>IF(COUNTIF($C$1:C757,B757)=1,10,"")</f>
        <v/>
      </c>
    </row>
    <row r="759" spans="1:25" x14ac:dyDescent="0.3">
      <c r="A759" s="76">
        <v>758</v>
      </c>
      <c r="B759" s="6">
        <v>46055</v>
      </c>
      <c r="C759" s="6">
        <v>46059</v>
      </c>
      <c r="D759" s="17" t="str">
        <f t="shared" si="136"/>
        <v>February</v>
      </c>
      <c r="E759" s="5" t="str">
        <f t="shared" ca="1" si="137"/>
        <v>STU-124</v>
      </c>
      <c r="F759" s="5" t="str">
        <f ca="1">IF(COUNTIF($E$2:E759,E759)=1,"New Customer","Returning Customer")</f>
        <v>New Customer</v>
      </c>
      <c r="G759" s="5" t="str">
        <f t="shared" ca="1" si="138"/>
        <v>Male</v>
      </c>
      <c r="H759" s="5" t="s">
        <v>138</v>
      </c>
      <c r="I759" s="5" t="str" cm="1">
        <f t="array" aca="1" ref="I759" ca="1">INDEX(Courses!$B$9:$B$16,RANDBETWEEN(1,8))</f>
        <v>Tax Code</v>
      </c>
      <c r="J759" s="5" t="str">
        <f ca="1">VLOOKUP(I759,Courses!$B$9:$C$16,2,0)</f>
        <v>Finance &amp; Taxation</v>
      </c>
      <c r="K759" s="7">
        <f ca="1">VLOOKUP(I759,Courses!$B$9:$D$16,3,0)</f>
        <v>59</v>
      </c>
      <c r="L759" s="5" t="str">
        <f t="shared" ca="1" si="139"/>
        <v>Paid</v>
      </c>
      <c r="M759" s="8" t="str" cm="1">
        <f t="array" aca="1" ref="M759" ca="1">INDEX('Payment Method'!$A$8:$A$12,RANDBETWEEN(1,5))</f>
        <v>Visa Debit</v>
      </c>
      <c r="N759" s="7">
        <f>IFERROR(SUMIF(Holiday!$A$8:$A$11,B759,Holiday!$C$8:$C$11),0)</f>
        <v>0</v>
      </c>
      <c r="O759" s="7">
        <f t="shared" ca="1" si="140"/>
        <v>59</v>
      </c>
      <c r="P759" s="19">
        <f t="shared" ca="1" si="141"/>
        <v>57.82</v>
      </c>
      <c r="Q759" s="7">
        <f t="shared" ca="1" si="142"/>
        <v>0</v>
      </c>
      <c r="R759" s="8">
        <f ca="1">VLOOKUP(M759,'Payment Method'!$A$8:$B$12,2,0)</f>
        <v>0.02</v>
      </c>
      <c r="S759" s="9">
        <f t="shared" ca="1" si="132"/>
        <v>1.1799999999999997</v>
      </c>
      <c r="T759" s="8">
        <v>0.01</v>
      </c>
      <c r="U759" s="9">
        <f t="shared" ca="1" si="133"/>
        <v>0.57820000000000249</v>
      </c>
      <c r="V759" s="7">
        <f t="shared" ca="1" si="134"/>
        <v>0</v>
      </c>
      <c r="W759" s="7">
        <f t="shared" ca="1" si="135"/>
        <v>57.241799999999998</v>
      </c>
      <c r="X759" s="5" t="str">
        <f t="shared" ca="1" si="143"/>
        <v>Instagram</v>
      </c>
      <c r="Y759" s="78" t="str">
        <f>IF(COUNTIF($C$1:C758,B758)=1,10,"")</f>
        <v/>
      </c>
    </row>
    <row r="760" spans="1:25" x14ac:dyDescent="0.3">
      <c r="A760" s="75">
        <v>759</v>
      </c>
      <c r="B760" s="6">
        <v>46037</v>
      </c>
      <c r="C760" s="6">
        <v>46042</v>
      </c>
      <c r="D760" s="17" t="str">
        <f t="shared" si="136"/>
        <v>January</v>
      </c>
      <c r="E760" s="5" t="str">
        <f t="shared" ca="1" si="137"/>
        <v>STU-85</v>
      </c>
      <c r="F760" s="5" t="str">
        <f ca="1">IF(COUNTIF($E$2:E760,E760)=1,"New Customer","Returning Customer")</f>
        <v>Returning Customer</v>
      </c>
      <c r="G760" s="5" t="str">
        <f t="shared" ca="1" si="138"/>
        <v>Male</v>
      </c>
      <c r="H760" s="5" t="s">
        <v>138</v>
      </c>
      <c r="I760" s="5" t="str" cm="1">
        <f t="array" aca="1" ref="I760" ca="1">INDEX(Courses!$B$9:$B$16,RANDBETWEEN(1,8))</f>
        <v>Complete Excel Course</v>
      </c>
      <c r="J760" s="5" t="str">
        <f ca="1">VLOOKUP(I760,Courses!$B$9:$C$16,2,0)</f>
        <v>Microsoft Office</v>
      </c>
      <c r="K760" s="7">
        <f ca="1">VLOOKUP(I760,Courses!$B$9:$D$16,3,0)</f>
        <v>59</v>
      </c>
      <c r="L760" s="5" t="str">
        <f t="shared" ca="1" si="139"/>
        <v>Refunded</v>
      </c>
      <c r="M760" s="8" t="str" cm="1">
        <f t="array" aca="1" ref="M760" ca="1">INDEX('Payment Method'!$A$8:$A$12,RANDBETWEEN(1,5))</f>
        <v>Mastercard Credit</v>
      </c>
      <c r="N760" s="7">
        <f>IFERROR(SUMIF(Holiday!$A$8:$A$11,B760,Holiday!$C$8:$C$11),0)</f>
        <v>0</v>
      </c>
      <c r="O760" s="7">
        <f t="shared" ca="1" si="140"/>
        <v>59</v>
      </c>
      <c r="P760" s="19">
        <f t="shared" ca="1" si="141"/>
        <v>56.935000000000002</v>
      </c>
      <c r="Q760" s="7">
        <f t="shared" ca="1" si="142"/>
        <v>0</v>
      </c>
      <c r="R760" s="8">
        <f ca="1">VLOOKUP(M760,'Payment Method'!$A$8:$B$12,2,0)</f>
        <v>3.5000000000000003E-2</v>
      </c>
      <c r="S760" s="9">
        <f t="shared" ca="1" si="132"/>
        <v>2.0649999999999977</v>
      </c>
      <c r="T760" s="8">
        <v>0.01</v>
      </c>
      <c r="U760" s="9">
        <f t="shared" ca="1" si="133"/>
        <v>0.56935000000000002</v>
      </c>
      <c r="V760" s="7">
        <f t="shared" ca="1" si="134"/>
        <v>56.365650000000002</v>
      </c>
      <c r="W760" s="7">
        <f t="shared" ca="1" si="135"/>
        <v>0</v>
      </c>
      <c r="X760" s="5" t="str">
        <f t="shared" ca="1" si="143"/>
        <v>Facebook</v>
      </c>
      <c r="Y760" s="78" t="str">
        <f>IF(COUNTIF($C$1:C759,B759)=1,10,"")</f>
        <v/>
      </c>
    </row>
    <row r="761" spans="1:25" x14ac:dyDescent="0.3">
      <c r="A761" s="76">
        <v>760</v>
      </c>
      <c r="B761" s="6">
        <v>46064</v>
      </c>
      <c r="C761" s="6">
        <v>46065</v>
      </c>
      <c r="D761" s="17" t="str">
        <f t="shared" si="136"/>
        <v>February</v>
      </c>
      <c r="E761" s="5" t="str">
        <f t="shared" ca="1" si="137"/>
        <v>STU-823</v>
      </c>
      <c r="F761" s="5" t="str">
        <f ca="1">IF(COUNTIF($E$2:E761,E761)=1,"New Customer","Returning Customer")</f>
        <v>New Customer</v>
      </c>
      <c r="G761" s="5" t="str">
        <f t="shared" ca="1" si="138"/>
        <v>Male</v>
      </c>
      <c r="H761" s="5" t="s">
        <v>142</v>
      </c>
      <c r="I761" s="5" t="str" cm="1">
        <f t="array" aca="1" ref="I761" ca="1">INDEX(Courses!$B$9:$B$16,RANDBETWEEN(1,8))</f>
        <v>Microsoft Word</v>
      </c>
      <c r="J761" s="5" t="str">
        <f ca="1">VLOOKUP(I761,Courses!$B$9:$C$16,2,0)</f>
        <v>Microsoft Office</v>
      </c>
      <c r="K761" s="7">
        <f ca="1">VLOOKUP(I761,Courses!$B$9:$D$16,3,0)</f>
        <v>29</v>
      </c>
      <c r="L761" s="5" t="str">
        <f t="shared" ca="1" si="139"/>
        <v>Paid</v>
      </c>
      <c r="M761" s="8" t="str" cm="1">
        <f t="array" aca="1" ref="M761" ca="1">INDEX('Payment Method'!$A$8:$A$12,RANDBETWEEN(1,5))</f>
        <v>Mastercard Debit</v>
      </c>
      <c r="N761" s="7">
        <f>IFERROR(SUMIF(Holiday!$A$8:$A$11,B761,Holiday!$C$8:$C$11),0)</f>
        <v>0</v>
      </c>
      <c r="O761" s="7">
        <f t="shared" ca="1" si="140"/>
        <v>29</v>
      </c>
      <c r="P761" s="19">
        <f t="shared" ca="1" si="141"/>
        <v>28.42</v>
      </c>
      <c r="Q761" s="7">
        <f t="shared" ca="1" si="142"/>
        <v>0</v>
      </c>
      <c r="R761" s="8">
        <f ca="1">VLOOKUP(M761,'Payment Method'!$A$8:$B$12,2,0)</f>
        <v>0.02</v>
      </c>
      <c r="S761" s="9">
        <f t="shared" ca="1" si="132"/>
        <v>0.57999999999999829</v>
      </c>
      <c r="T761" s="8">
        <v>0.01</v>
      </c>
      <c r="U761" s="9">
        <f t="shared" ca="1" si="133"/>
        <v>0.28419999999999845</v>
      </c>
      <c r="V761" s="7">
        <f t="shared" ca="1" si="134"/>
        <v>0</v>
      </c>
      <c r="W761" s="7">
        <f t="shared" ca="1" si="135"/>
        <v>28.135800000000003</v>
      </c>
      <c r="X761" s="5" t="str">
        <f t="shared" ca="1" si="143"/>
        <v>Instagram</v>
      </c>
      <c r="Y761" s="78" t="str">
        <f>IF(COUNTIF($C$1:C760,B760)=1,10,"")</f>
        <v/>
      </c>
    </row>
    <row r="762" spans="1:25" x14ac:dyDescent="0.3">
      <c r="A762" s="75">
        <v>761</v>
      </c>
      <c r="B762" s="6">
        <v>46233</v>
      </c>
      <c r="C762" s="6">
        <v>46233</v>
      </c>
      <c r="D762" s="17" t="str">
        <f t="shared" si="136"/>
        <v>July</v>
      </c>
      <c r="E762" s="5" t="str">
        <f t="shared" ca="1" si="137"/>
        <v>STU-447</v>
      </c>
      <c r="F762" s="5" t="str">
        <f ca="1">IF(COUNTIF($E$2:E762,E762)=1,"New Customer","Returning Customer")</f>
        <v>Returning Customer</v>
      </c>
      <c r="G762" s="5" t="str">
        <f t="shared" ca="1" si="138"/>
        <v>Female</v>
      </c>
      <c r="H762" s="5" t="s">
        <v>139</v>
      </c>
      <c r="I762" s="5" t="str" cm="1">
        <f t="array" aca="1" ref="I762" ca="1">INDEX(Courses!$B$9:$B$16,RANDBETWEEN(1,8))</f>
        <v>SQL</v>
      </c>
      <c r="J762" s="5" t="str">
        <f ca="1">VLOOKUP(I762,Courses!$B$9:$C$16,2,0)</f>
        <v>Data Analytics</v>
      </c>
      <c r="K762" s="7">
        <f ca="1">VLOOKUP(I762,Courses!$B$9:$D$16,3,0)</f>
        <v>99</v>
      </c>
      <c r="L762" s="5" t="str">
        <f t="shared" ca="1" si="139"/>
        <v>Paid</v>
      </c>
      <c r="M762" s="8" t="str" cm="1">
        <f t="array" aca="1" ref="M762" ca="1">INDEX('Payment Method'!$A$8:$A$12,RANDBETWEEN(1,5))</f>
        <v>Mastercard Debit</v>
      </c>
      <c r="N762" s="7">
        <f>IFERROR(SUMIF(Holiday!$A$8:$A$11,B762,Holiday!$C$8:$C$11),0)</f>
        <v>0</v>
      </c>
      <c r="O762" s="7">
        <f t="shared" ca="1" si="140"/>
        <v>99</v>
      </c>
      <c r="P762" s="19">
        <f t="shared" ca="1" si="141"/>
        <v>97.02</v>
      </c>
      <c r="Q762" s="7">
        <f t="shared" ca="1" si="142"/>
        <v>0</v>
      </c>
      <c r="R762" s="8">
        <f ca="1">VLOOKUP(M762,'Payment Method'!$A$8:$B$12,2,0)</f>
        <v>0.02</v>
      </c>
      <c r="S762" s="9">
        <f t="shared" ca="1" si="132"/>
        <v>1.980000000000004</v>
      </c>
      <c r="T762" s="8">
        <v>0.01</v>
      </c>
      <c r="U762" s="9">
        <f t="shared" ca="1" si="133"/>
        <v>0.9702000000000055</v>
      </c>
      <c r="V762" s="7">
        <f t="shared" ca="1" si="134"/>
        <v>0</v>
      </c>
      <c r="W762" s="7">
        <f t="shared" ca="1" si="135"/>
        <v>96.049799999999991</v>
      </c>
      <c r="X762" s="5" t="str">
        <f t="shared" ca="1" si="143"/>
        <v>Tiktok</v>
      </c>
      <c r="Y762" s="78" t="str">
        <f>IF(COUNTIF($C$1:C761,B761)=1,10,"")</f>
        <v/>
      </c>
    </row>
    <row r="763" spans="1:25" x14ac:dyDescent="0.3">
      <c r="A763" s="76">
        <v>762</v>
      </c>
      <c r="B763" s="6">
        <v>46026</v>
      </c>
      <c r="C763" s="6">
        <v>46030</v>
      </c>
      <c r="D763" s="17" t="str">
        <f t="shared" si="136"/>
        <v>January</v>
      </c>
      <c r="E763" s="5" t="str">
        <f t="shared" ca="1" si="137"/>
        <v>STU-469</v>
      </c>
      <c r="F763" s="5" t="str">
        <f ca="1">IF(COUNTIF($E$2:E763,E763)=1,"New Customer","Returning Customer")</f>
        <v>Returning Customer</v>
      </c>
      <c r="G763" s="5" t="str">
        <f t="shared" ca="1" si="138"/>
        <v>Female</v>
      </c>
      <c r="H763" s="5" t="s">
        <v>135</v>
      </c>
      <c r="I763" s="5" t="str" cm="1">
        <f t="array" aca="1" ref="I763" ca="1">INDEX(Courses!$B$9:$B$16,RANDBETWEEN(1,8))</f>
        <v>PowerPoint</v>
      </c>
      <c r="J763" s="5" t="str">
        <f ca="1">VLOOKUP(I763,Courses!$B$9:$C$16,2,0)</f>
        <v>Microsoft Office</v>
      </c>
      <c r="K763" s="7">
        <f ca="1">VLOOKUP(I763,Courses!$B$9:$D$16,3,0)</f>
        <v>29</v>
      </c>
      <c r="L763" s="5" t="str">
        <f t="shared" ca="1" si="139"/>
        <v>Paid</v>
      </c>
      <c r="M763" s="8" t="str" cm="1">
        <f t="array" aca="1" ref="M763" ca="1">INDEX('Payment Method'!$A$8:$A$12,RANDBETWEEN(1,5))</f>
        <v>Mastercard Credit</v>
      </c>
      <c r="N763" s="7">
        <f>IFERROR(SUMIF(Holiday!$A$8:$A$11,B763,Holiday!$C$8:$C$11),0)</f>
        <v>0</v>
      </c>
      <c r="O763" s="7">
        <f t="shared" ca="1" si="140"/>
        <v>29</v>
      </c>
      <c r="P763" s="19">
        <f t="shared" ca="1" si="141"/>
        <v>27.984999999999999</v>
      </c>
      <c r="Q763" s="7">
        <f t="shared" ca="1" si="142"/>
        <v>0</v>
      </c>
      <c r="R763" s="8">
        <f ca="1">VLOOKUP(M763,'Payment Method'!$A$8:$B$12,2,0)</f>
        <v>3.5000000000000003E-2</v>
      </c>
      <c r="S763" s="9">
        <f t="shared" ca="1" si="132"/>
        <v>1.0150000000000006</v>
      </c>
      <c r="T763" s="8">
        <v>0.01</v>
      </c>
      <c r="U763" s="9">
        <f t="shared" ca="1" si="133"/>
        <v>0.27984999999999971</v>
      </c>
      <c r="V763" s="7">
        <f t="shared" ca="1" si="134"/>
        <v>0</v>
      </c>
      <c r="W763" s="7">
        <f t="shared" ca="1" si="135"/>
        <v>27.70515</v>
      </c>
      <c r="X763" s="5" t="str">
        <f t="shared" ca="1" si="143"/>
        <v>Instagram</v>
      </c>
      <c r="Y763" s="78" t="str">
        <f>IF(COUNTIF($C$1:C762,B762)=1,10,"")</f>
        <v/>
      </c>
    </row>
    <row r="764" spans="1:25" x14ac:dyDescent="0.3">
      <c r="A764" s="75">
        <v>763</v>
      </c>
      <c r="B764" s="6">
        <v>46201</v>
      </c>
      <c r="C764" s="6">
        <v>46205</v>
      </c>
      <c r="D764" s="17" t="str">
        <f t="shared" si="136"/>
        <v>July</v>
      </c>
      <c r="E764" s="5" t="str">
        <f t="shared" ca="1" si="137"/>
        <v>STU-589</v>
      </c>
      <c r="F764" s="5" t="str">
        <f ca="1">IF(COUNTIF($E$2:E764,E764)=1,"New Customer","Returning Customer")</f>
        <v>Returning Customer</v>
      </c>
      <c r="G764" s="5" t="str">
        <f t="shared" ca="1" si="138"/>
        <v>Not specified</v>
      </c>
      <c r="H764" s="5" t="s">
        <v>138</v>
      </c>
      <c r="I764" s="5" t="str" cm="1">
        <f t="array" aca="1" ref="I764" ca="1">INDEX(Courses!$B$9:$B$16,RANDBETWEEN(1,8))</f>
        <v>Excel Basics</v>
      </c>
      <c r="J764" s="5" t="str">
        <f ca="1">VLOOKUP(I764,Courses!$B$9:$C$16,2,0)</f>
        <v>Microsoft Office</v>
      </c>
      <c r="K764" s="7">
        <f ca="1">VLOOKUP(I764,Courses!$B$9:$D$16,3,0)</f>
        <v>29</v>
      </c>
      <c r="L764" s="5" t="str">
        <f t="shared" ca="1" si="139"/>
        <v>Pending</v>
      </c>
      <c r="M764" s="8" t="str" cm="1">
        <f t="array" aca="1" ref="M764" ca="1">INDEX('Payment Method'!$A$8:$A$12,RANDBETWEEN(1,5))</f>
        <v>Bank Transfer</v>
      </c>
      <c r="N764" s="7">
        <f>IFERROR(SUMIF(Holiday!$A$8:$A$11,B764,Holiday!$C$8:$C$11),0)</f>
        <v>0</v>
      </c>
      <c r="O764" s="7">
        <f t="shared" ca="1" si="140"/>
        <v>29</v>
      </c>
      <c r="P764" s="19">
        <f t="shared" ca="1" si="141"/>
        <v>29</v>
      </c>
      <c r="Q764" s="7">
        <f t="shared" ca="1" si="142"/>
        <v>28.71</v>
      </c>
      <c r="R764" s="8">
        <f ca="1">VLOOKUP(M764,'Payment Method'!$A$8:$B$12,2,0)</f>
        <v>0</v>
      </c>
      <c r="S764" s="9">
        <f t="shared" ca="1" si="132"/>
        <v>0</v>
      </c>
      <c r="T764" s="8">
        <v>0.01</v>
      </c>
      <c r="U764" s="9">
        <f t="shared" ca="1" si="133"/>
        <v>0.28999999999999915</v>
      </c>
      <c r="V764" s="7">
        <f t="shared" ca="1" si="134"/>
        <v>0</v>
      </c>
      <c r="W764" s="7">
        <f t="shared" ca="1" si="135"/>
        <v>0</v>
      </c>
      <c r="X764" s="5" t="str">
        <f t="shared" ca="1" si="143"/>
        <v>Tiktok</v>
      </c>
      <c r="Y764" s="78" t="str">
        <f>IF(COUNTIF($C$1:C763,B763)=1,10,"")</f>
        <v/>
      </c>
    </row>
    <row r="765" spans="1:25" x14ac:dyDescent="0.3">
      <c r="A765" s="76">
        <v>764</v>
      </c>
      <c r="B765" s="6">
        <v>46026</v>
      </c>
      <c r="C765" s="6">
        <v>46030</v>
      </c>
      <c r="D765" s="17" t="str">
        <f t="shared" si="136"/>
        <v>January</v>
      </c>
      <c r="E765" s="5" t="str">
        <f t="shared" ca="1" si="137"/>
        <v>STU-448</v>
      </c>
      <c r="F765" s="5" t="str">
        <f ca="1">IF(COUNTIF($E$2:E765,E765)=1,"New Customer","Returning Customer")</f>
        <v>Returning Customer</v>
      </c>
      <c r="G765" s="5" t="str">
        <f t="shared" ca="1" si="138"/>
        <v>Not specified</v>
      </c>
      <c r="H765" s="5" t="s">
        <v>141</v>
      </c>
      <c r="I765" s="5" t="str" cm="1">
        <f t="array" aca="1" ref="I765" ca="1">INDEX(Courses!$B$9:$B$16,RANDBETWEEN(1,8))</f>
        <v>PowerPoint</v>
      </c>
      <c r="J765" s="5" t="str">
        <f ca="1">VLOOKUP(I765,Courses!$B$9:$C$16,2,0)</f>
        <v>Microsoft Office</v>
      </c>
      <c r="K765" s="7">
        <f ca="1">VLOOKUP(I765,Courses!$B$9:$D$16,3,0)</f>
        <v>29</v>
      </c>
      <c r="L765" s="5" t="str">
        <f t="shared" ca="1" si="139"/>
        <v>Paid</v>
      </c>
      <c r="M765" s="8" t="str" cm="1">
        <f t="array" aca="1" ref="M765" ca="1">INDEX('Payment Method'!$A$8:$A$12,RANDBETWEEN(1,5))</f>
        <v>Bank Transfer</v>
      </c>
      <c r="N765" s="7">
        <f>IFERROR(SUMIF(Holiday!$A$8:$A$11,B765,Holiday!$C$8:$C$11),0)</f>
        <v>0</v>
      </c>
      <c r="O765" s="7">
        <f t="shared" ca="1" si="140"/>
        <v>29</v>
      </c>
      <c r="P765" s="19">
        <f t="shared" ca="1" si="141"/>
        <v>29</v>
      </c>
      <c r="Q765" s="7">
        <f t="shared" ca="1" si="142"/>
        <v>0</v>
      </c>
      <c r="R765" s="8">
        <f ca="1">VLOOKUP(M765,'Payment Method'!$A$8:$B$12,2,0)</f>
        <v>0</v>
      </c>
      <c r="S765" s="9">
        <f t="shared" ca="1" si="132"/>
        <v>0</v>
      </c>
      <c r="T765" s="8">
        <v>0.01</v>
      </c>
      <c r="U765" s="9">
        <f t="shared" ca="1" si="133"/>
        <v>0.28999999999999915</v>
      </c>
      <c r="V765" s="7">
        <f t="shared" ca="1" si="134"/>
        <v>0</v>
      </c>
      <c r="W765" s="7">
        <f t="shared" ca="1" si="135"/>
        <v>28.71</v>
      </c>
      <c r="X765" s="5" t="str">
        <f t="shared" ca="1" si="143"/>
        <v>Instagram</v>
      </c>
      <c r="Y765" s="78" t="str">
        <f>IF(COUNTIF($C$1:C764,B764)=1,10,"")</f>
        <v/>
      </c>
    </row>
    <row r="766" spans="1:25" x14ac:dyDescent="0.3">
      <c r="A766" s="75">
        <v>765</v>
      </c>
      <c r="B766" s="6">
        <v>46197</v>
      </c>
      <c r="C766" s="6">
        <v>46202</v>
      </c>
      <c r="D766" s="17" t="str">
        <f t="shared" si="136"/>
        <v>June</v>
      </c>
      <c r="E766" s="5" t="str">
        <f t="shared" ca="1" si="137"/>
        <v>STU-37</v>
      </c>
      <c r="F766" s="5" t="str">
        <f ca="1">IF(COUNTIF($E$2:E766,E766)=1,"New Customer","Returning Customer")</f>
        <v>New Customer</v>
      </c>
      <c r="G766" s="5" t="str">
        <f t="shared" ca="1" si="138"/>
        <v>Male</v>
      </c>
      <c r="H766" s="5" t="s">
        <v>142</v>
      </c>
      <c r="I766" s="5" t="str" cm="1">
        <f t="array" aca="1" ref="I766" ca="1">INDEX(Courses!$B$9:$B$16,RANDBETWEEN(1,8))</f>
        <v>Adolescent Psychology</v>
      </c>
      <c r="J766" s="5" t="str">
        <f ca="1">VLOOKUP(I766,Courses!$B$9:$C$16,2,0)</f>
        <v>Psychology</v>
      </c>
      <c r="K766" s="7">
        <f ca="1">VLOOKUP(I766,Courses!$B$9:$D$16,3,0)</f>
        <v>29</v>
      </c>
      <c r="L766" s="5" t="str">
        <f t="shared" ca="1" si="139"/>
        <v>Pending</v>
      </c>
      <c r="M766" s="8" t="str" cm="1">
        <f t="array" aca="1" ref="M766" ca="1">INDEX('Payment Method'!$A$8:$A$12,RANDBETWEEN(1,5))</f>
        <v>Visa Credit</v>
      </c>
      <c r="N766" s="7">
        <f>IFERROR(SUMIF(Holiday!$A$8:$A$11,B766,Holiday!$C$8:$C$11),0)</f>
        <v>0</v>
      </c>
      <c r="O766" s="7">
        <f t="shared" ca="1" si="140"/>
        <v>29</v>
      </c>
      <c r="P766" s="19">
        <f t="shared" ca="1" si="141"/>
        <v>27.984999999999999</v>
      </c>
      <c r="Q766" s="7">
        <f t="shared" ca="1" si="142"/>
        <v>27.70515</v>
      </c>
      <c r="R766" s="8">
        <f ca="1">VLOOKUP(M766,'Payment Method'!$A$8:$B$12,2,0)</f>
        <v>3.5000000000000003E-2</v>
      </c>
      <c r="S766" s="9">
        <f t="shared" ca="1" si="132"/>
        <v>1.0150000000000006</v>
      </c>
      <c r="T766" s="8">
        <v>0.01</v>
      </c>
      <c r="U766" s="9">
        <f t="shared" ca="1" si="133"/>
        <v>0.27984999999999971</v>
      </c>
      <c r="V766" s="7">
        <f t="shared" ca="1" si="134"/>
        <v>0</v>
      </c>
      <c r="W766" s="7">
        <f t="shared" ca="1" si="135"/>
        <v>0</v>
      </c>
      <c r="X766" s="5" t="str">
        <f t="shared" ca="1" si="143"/>
        <v>Facebook</v>
      </c>
      <c r="Y766" s="78" t="str">
        <f>IF(COUNTIF($C$1:C765,B765)=1,10,"")</f>
        <v/>
      </c>
    </row>
    <row r="767" spans="1:25" x14ac:dyDescent="0.3">
      <c r="A767" s="76">
        <v>766</v>
      </c>
      <c r="B767" s="6">
        <v>46134</v>
      </c>
      <c r="C767" s="6">
        <v>46137</v>
      </c>
      <c r="D767" s="17" t="str">
        <f t="shared" si="136"/>
        <v>April</v>
      </c>
      <c r="E767" s="5" t="str">
        <f t="shared" ca="1" si="137"/>
        <v>STU-168</v>
      </c>
      <c r="F767" s="5" t="str">
        <f ca="1">IF(COUNTIF($E$2:E767,E767)=1,"New Customer","Returning Customer")</f>
        <v>New Customer</v>
      </c>
      <c r="G767" s="5" t="str">
        <f t="shared" ca="1" si="138"/>
        <v>Male</v>
      </c>
      <c r="H767" s="5" t="s">
        <v>137</v>
      </c>
      <c r="I767" s="5" t="str" cm="1">
        <f t="array" aca="1" ref="I767" ca="1">INDEX(Courses!$B$9:$B$16,RANDBETWEEN(1,8))</f>
        <v>Power BI</v>
      </c>
      <c r="J767" s="5" t="str">
        <f ca="1">VLOOKUP(I767,Courses!$B$9:$C$16,2,0)</f>
        <v>Data Analytics</v>
      </c>
      <c r="K767" s="7">
        <f ca="1">VLOOKUP(I767,Courses!$B$9:$D$16,3,0)</f>
        <v>59</v>
      </c>
      <c r="L767" s="5" t="str">
        <f t="shared" ca="1" si="139"/>
        <v>Pending</v>
      </c>
      <c r="M767" s="8" t="str" cm="1">
        <f t="array" aca="1" ref="M767" ca="1">INDEX('Payment Method'!$A$8:$A$12,RANDBETWEEN(1,5))</f>
        <v>Bank Transfer</v>
      </c>
      <c r="N767" s="7">
        <f>IFERROR(SUMIF(Holiday!$A$8:$A$11,B767,Holiday!$C$8:$C$11),0)</f>
        <v>0</v>
      </c>
      <c r="O767" s="7">
        <f t="shared" ca="1" si="140"/>
        <v>59</v>
      </c>
      <c r="P767" s="19">
        <f t="shared" ca="1" si="141"/>
        <v>59</v>
      </c>
      <c r="Q767" s="7">
        <f t="shared" ca="1" si="142"/>
        <v>58.41</v>
      </c>
      <c r="R767" s="8">
        <f ca="1">VLOOKUP(M767,'Payment Method'!$A$8:$B$12,2,0)</f>
        <v>0</v>
      </c>
      <c r="S767" s="9">
        <f t="shared" ca="1" si="132"/>
        <v>0</v>
      </c>
      <c r="T767" s="8">
        <v>0.01</v>
      </c>
      <c r="U767" s="9">
        <f t="shared" ca="1" si="133"/>
        <v>0.59000000000000341</v>
      </c>
      <c r="V767" s="7">
        <f t="shared" ca="1" si="134"/>
        <v>0</v>
      </c>
      <c r="W767" s="7">
        <f t="shared" ca="1" si="135"/>
        <v>0</v>
      </c>
      <c r="X767" s="5" t="str">
        <f t="shared" ca="1" si="143"/>
        <v>Facebook</v>
      </c>
      <c r="Y767" s="78" t="str">
        <f>IF(COUNTIF($C$1:C766,B766)=1,10,"")</f>
        <v/>
      </c>
    </row>
    <row r="768" spans="1:25" x14ac:dyDescent="0.3">
      <c r="A768" s="75">
        <v>767</v>
      </c>
      <c r="B768" s="6">
        <v>46144</v>
      </c>
      <c r="C768" s="6">
        <v>46147</v>
      </c>
      <c r="D768" s="17" t="str">
        <f t="shared" si="136"/>
        <v>May</v>
      </c>
      <c r="E768" s="5" t="str">
        <f t="shared" ca="1" si="137"/>
        <v>STU-508</v>
      </c>
      <c r="F768" s="5" t="str">
        <f ca="1">IF(COUNTIF($E$2:E768,E768)=1,"New Customer","Returning Customer")</f>
        <v>Returning Customer</v>
      </c>
      <c r="G768" s="5" t="str">
        <f t="shared" ca="1" si="138"/>
        <v>Not specified</v>
      </c>
      <c r="H768" s="5" t="s">
        <v>138</v>
      </c>
      <c r="I768" s="5" t="str" cm="1">
        <f t="array" aca="1" ref="I768" ca="1">INDEX(Courses!$B$9:$B$16,RANDBETWEEN(1,8))</f>
        <v>Microsoft Word</v>
      </c>
      <c r="J768" s="5" t="str">
        <f ca="1">VLOOKUP(I768,Courses!$B$9:$C$16,2,0)</f>
        <v>Microsoft Office</v>
      </c>
      <c r="K768" s="7">
        <f ca="1">VLOOKUP(I768,Courses!$B$9:$D$16,3,0)</f>
        <v>29</v>
      </c>
      <c r="L768" s="5" t="str">
        <f t="shared" ca="1" si="139"/>
        <v>Pending</v>
      </c>
      <c r="M768" s="8" t="str" cm="1">
        <f t="array" aca="1" ref="M768" ca="1">INDEX('Payment Method'!$A$8:$A$12,RANDBETWEEN(1,5))</f>
        <v>Bank Transfer</v>
      </c>
      <c r="N768" s="7">
        <f>IFERROR(SUMIF(Holiday!$A$8:$A$11,B768,Holiday!$C$8:$C$11),0)</f>
        <v>0</v>
      </c>
      <c r="O768" s="7">
        <f t="shared" ca="1" si="140"/>
        <v>29</v>
      </c>
      <c r="P768" s="19">
        <f t="shared" ca="1" si="141"/>
        <v>29</v>
      </c>
      <c r="Q768" s="7">
        <f t="shared" ca="1" si="142"/>
        <v>28.71</v>
      </c>
      <c r="R768" s="8">
        <f ca="1">VLOOKUP(M768,'Payment Method'!$A$8:$B$12,2,0)</f>
        <v>0</v>
      </c>
      <c r="S768" s="9">
        <f t="shared" ca="1" si="132"/>
        <v>0</v>
      </c>
      <c r="T768" s="8">
        <v>0.01</v>
      </c>
      <c r="U768" s="9">
        <f t="shared" ca="1" si="133"/>
        <v>0.28999999999999915</v>
      </c>
      <c r="V768" s="7">
        <f t="shared" ca="1" si="134"/>
        <v>0</v>
      </c>
      <c r="W768" s="7">
        <f t="shared" ca="1" si="135"/>
        <v>0</v>
      </c>
      <c r="X768" s="5" t="str">
        <f t="shared" ca="1" si="143"/>
        <v>Tiktok</v>
      </c>
      <c r="Y768" s="78" t="str">
        <f>IF(COUNTIF($C$1:C767,B767)=1,10,"")</f>
        <v/>
      </c>
    </row>
    <row r="769" spans="1:25" x14ac:dyDescent="0.3">
      <c r="A769" s="76">
        <v>768</v>
      </c>
      <c r="B769" s="6">
        <v>46191</v>
      </c>
      <c r="C769" s="6">
        <v>46191</v>
      </c>
      <c r="D769" s="17" t="str">
        <f t="shared" si="136"/>
        <v>June</v>
      </c>
      <c r="E769" s="5" t="str">
        <f t="shared" ca="1" si="137"/>
        <v>STU-665</v>
      </c>
      <c r="F769" s="5" t="str">
        <f ca="1">IF(COUNTIF($E$2:E769,E769)=1,"New Customer","Returning Customer")</f>
        <v>New Customer</v>
      </c>
      <c r="G769" s="5" t="str">
        <f t="shared" ca="1" si="138"/>
        <v>Not specified</v>
      </c>
      <c r="H769" s="5" t="s">
        <v>141</v>
      </c>
      <c r="I769" s="5" t="str" cm="1">
        <f t="array" aca="1" ref="I769" ca="1">INDEX(Courses!$B$9:$B$16,RANDBETWEEN(1,8))</f>
        <v>Excel Basics</v>
      </c>
      <c r="J769" s="5" t="str">
        <f ca="1">VLOOKUP(I769,Courses!$B$9:$C$16,2,0)</f>
        <v>Microsoft Office</v>
      </c>
      <c r="K769" s="7">
        <f ca="1">VLOOKUP(I769,Courses!$B$9:$D$16,3,0)</f>
        <v>29</v>
      </c>
      <c r="L769" s="5" t="str">
        <f t="shared" ca="1" si="139"/>
        <v>Paid</v>
      </c>
      <c r="M769" s="8" t="str" cm="1">
        <f t="array" aca="1" ref="M769" ca="1">INDEX('Payment Method'!$A$8:$A$12,RANDBETWEEN(1,5))</f>
        <v>Visa Debit</v>
      </c>
      <c r="N769" s="7">
        <f>IFERROR(SUMIF(Holiday!$A$8:$A$11,B769,Holiday!$C$8:$C$11),0)</f>
        <v>0</v>
      </c>
      <c r="O769" s="7">
        <f t="shared" ca="1" si="140"/>
        <v>29</v>
      </c>
      <c r="P769" s="19">
        <f t="shared" ca="1" si="141"/>
        <v>28.42</v>
      </c>
      <c r="Q769" s="7">
        <f t="shared" ca="1" si="142"/>
        <v>0</v>
      </c>
      <c r="R769" s="8">
        <f ca="1">VLOOKUP(M769,'Payment Method'!$A$8:$B$12,2,0)</f>
        <v>0.02</v>
      </c>
      <c r="S769" s="9">
        <f t="shared" ca="1" si="132"/>
        <v>0.57999999999999829</v>
      </c>
      <c r="T769" s="8">
        <v>0.01</v>
      </c>
      <c r="U769" s="9">
        <f t="shared" ca="1" si="133"/>
        <v>0.28419999999999845</v>
      </c>
      <c r="V769" s="7">
        <f t="shared" ca="1" si="134"/>
        <v>0</v>
      </c>
      <c r="W769" s="7">
        <f t="shared" ca="1" si="135"/>
        <v>28.135800000000003</v>
      </c>
      <c r="X769" s="5" t="str">
        <f t="shared" ca="1" si="143"/>
        <v>Instagram</v>
      </c>
      <c r="Y769" s="78" t="str">
        <f>IF(COUNTIF($C$1:C768,B768)=1,10,"")</f>
        <v/>
      </c>
    </row>
    <row r="770" spans="1:25" x14ac:dyDescent="0.3">
      <c r="A770" s="75">
        <v>769</v>
      </c>
      <c r="B770" s="6">
        <v>46029</v>
      </c>
      <c r="C770" s="6">
        <v>46034</v>
      </c>
      <c r="D770" s="17" t="str">
        <f t="shared" si="136"/>
        <v>January</v>
      </c>
      <c r="E770" s="5" t="str">
        <f t="shared" ca="1" si="137"/>
        <v>STU-847</v>
      </c>
      <c r="F770" s="5" t="str">
        <f ca="1">IF(COUNTIF($E$2:E770,E770)=1,"New Customer","Returning Customer")</f>
        <v>Returning Customer</v>
      </c>
      <c r="G770" s="5" t="str">
        <f t="shared" ca="1" si="138"/>
        <v>Female</v>
      </c>
      <c r="H770" s="5" t="s">
        <v>135</v>
      </c>
      <c r="I770" s="5" t="str" cm="1">
        <f t="array" aca="1" ref="I770" ca="1">INDEX(Courses!$B$9:$B$16,RANDBETWEEN(1,8))</f>
        <v>Microsoft Word</v>
      </c>
      <c r="J770" s="5" t="str">
        <f ca="1">VLOOKUP(I770,Courses!$B$9:$C$16,2,0)</f>
        <v>Microsoft Office</v>
      </c>
      <c r="K770" s="7">
        <f ca="1">VLOOKUP(I770,Courses!$B$9:$D$16,3,0)</f>
        <v>29</v>
      </c>
      <c r="L770" s="5" t="str">
        <f t="shared" ca="1" si="139"/>
        <v>Paid</v>
      </c>
      <c r="M770" s="8" t="str" cm="1">
        <f t="array" aca="1" ref="M770" ca="1">INDEX('Payment Method'!$A$8:$A$12,RANDBETWEEN(1,5))</f>
        <v>Mastercard Debit</v>
      </c>
      <c r="N770" s="7">
        <f>IFERROR(SUMIF(Holiday!$A$8:$A$11,B770,Holiday!$C$8:$C$11),0)</f>
        <v>0</v>
      </c>
      <c r="O770" s="7">
        <f t="shared" ca="1" si="140"/>
        <v>29</v>
      </c>
      <c r="P770" s="19">
        <f t="shared" ca="1" si="141"/>
        <v>28.42</v>
      </c>
      <c r="Q770" s="7">
        <f t="shared" ca="1" si="142"/>
        <v>0</v>
      </c>
      <c r="R770" s="8">
        <f ca="1">VLOOKUP(M770,'Payment Method'!$A$8:$B$12,2,0)</f>
        <v>0.02</v>
      </c>
      <c r="S770" s="9">
        <f t="shared" ref="S770:S833" ca="1" si="144">O770-(O770-O770*R770)</f>
        <v>0.57999999999999829</v>
      </c>
      <c r="T770" s="8">
        <v>0.01</v>
      </c>
      <c r="U770" s="9">
        <f t="shared" ref="U770:U833" ca="1" si="145">O770-S770-((O770-S770)-(O770-S770)*T770)</f>
        <v>0.28419999999999845</v>
      </c>
      <c r="V770" s="7">
        <f t="shared" ref="V770:V833" ca="1" si="146">IF(L770="refunded",(K770-K770*N770)-(K770-K770*N770)*R770-((K770-K770*N770)-(K770-K770*N770)*R770)*T770,0)</f>
        <v>0</v>
      </c>
      <c r="W770" s="7">
        <f t="shared" ref="W770:W833" ca="1" si="147">IF(L770="paid",(K770-K770*N770)-(K770-K770*N770)*R770-((K770-K770*N770)-(K770-K770*N770)*R770)*T770,0)</f>
        <v>28.135800000000003</v>
      </c>
      <c r="X770" s="5" t="str">
        <f t="shared" ca="1" si="143"/>
        <v>Instagram</v>
      </c>
      <c r="Y770" s="78" t="str">
        <f>IF(COUNTIF($C$1:C769,B769)=1,10,"")</f>
        <v/>
      </c>
    </row>
    <row r="771" spans="1:25" x14ac:dyDescent="0.3">
      <c r="A771" s="76">
        <v>770</v>
      </c>
      <c r="B771" s="6">
        <v>46107</v>
      </c>
      <c r="C771" s="6">
        <v>46109</v>
      </c>
      <c r="D771" s="17" t="str">
        <f t="shared" ref="D771:D834" si="148">TEXT(C771,"mmmm")</f>
        <v>March</v>
      </c>
      <c r="E771" s="5" t="str">
        <f t="shared" ref="E771:E834" ca="1" si="149">"STU-"&amp;RANDBETWEEN(1,1000)</f>
        <v>STU-766</v>
      </c>
      <c r="F771" s="5" t="str">
        <f ca="1">IF(COUNTIF($E$2:E771,E771)=1,"New Customer","Returning Customer")</f>
        <v>Returning Customer</v>
      </c>
      <c r="G771" s="5" t="str">
        <f t="shared" ref="G771:G834" ca="1" si="150">CHOOSE(RANDBETWEEN(1,3),"Male","Female","Not specified")</f>
        <v>Not specified</v>
      </c>
      <c r="H771" s="5" t="s">
        <v>139</v>
      </c>
      <c r="I771" s="5" t="str" cm="1">
        <f t="array" aca="1" ref="I771" ca="1">INDEX(Courses!$B$9:$B$16,RANDBETWEEN(1,8))</f>
        <v>Complete Excel Course</v>
      </c>
      <c r="J771" s="5" t="str">
        <f ca="1">VLOOKUP(I771,Courses!$B$9:$C$16,2,0)</f>
        <v>Microsoft Office</v>
      </c>
      <c r="K771" s="7">
        <f ca="1">VLOOKUP(I771,Courses!$B$9:$D$16,3,0)</f>
        <v>59</v>
      </c>
      <c r="L771" s="5" t="str">
        <f t="shared" ref="L771:L834" ca="1" si="151">IF(RAND()&lt;0.6,"Paid",IF(RAND()&lt;0.75,"Pending","Refunded"))</f>
        <v>Pending</v>
      </c>
      <c r="M771" s="8" t="str" cm="1">
        <f t="array" aca="1" ref="M771" ca="1">INDEX('Payment Method'!$A$8:$A$12,RANDBETWEEN(1,5))</f>
        <v>Bank Transfer</v>
      </c>
      <c r="N771" s="7">
        <f>IFERROR(SUMIF(Holiday!$A$8:$A$11,B771,Holiday!$C$8:$C$11),0)</f>
        <v>0</v>
      </c>
      <c r="O771" s="7">
        <f t="shared" ref="O771:O834" ca="1" si="152">K771-K771*N771</f>
        <v>59</v>
      </c>
      <c r="P771" s="19">
        <f t="shared" ref="P771:P834" ca="1" si="153">O771-S771</f>
        <v>59</v>
      </c>
      <c r="Q771" s="7">
        <f t="shared" ref="Q771:Q834" ca="1" si="154">IF(L771="pending",(K771-K771*N771)-(K771-K771*N771)*R771-((K771-K771*N771)-(K771-K771*N771)*R771)*T771,0)</f>
        <v>58.41</v>
      </c>
      <c r="R771" s="8">
        <f ca="1">VLOOKUP(M771,'Payment Method'!$A$8:$B$12,2,0)</f>
        <v>0</v>
      </c>
      <c r="S771" s="9">
        <f t="shared" ca="1" si="144"/>
        <v>0</v>
      </c>
      <c r="T771" s="8">
        <v>0.01</v>
      </c>
      <c r="U771" s="9">
        <f t="shared" ca="1" si="145"/>
        <v>0.59000000000000341</v>
      </c>
      <c r="V771" s="7">
        <f t="shared" ca="1" si="146"/>
        <v>0</v>
      </c>
      <c r="W771" s="7">
        <f t="shared" ca="1" si="147"/>
        <v>0</v>
      </c>
      <c r="X771" s="5" t="str">
        <f t="shared" ref="X771:X834" ca="1" si="155">CHOOSE(RANDBETWEEN(1,3),"Facebook","Instagram","Tiktok")</f>
        <v>Instagram</v>
      </c>
      <c r="Y771" s="78" t="str">
        <f>IF(COUNTIF($C$1:C770,B770)=1,10,"")</f>
        <v/>
      </c>
    </row>
    <row r="772" spans="1:25" x14ac:dyDescent="0.3">
      <c r="A772" s="75">
        <v>771</v>
      </c>
      <c r="B772" s="6">
        <v>46081</v>
      </c>
      <c r="C772" s="6">
        <v>46083</v>
      </c>
      <c r="D772" s="17" t="str">
        <f t="shared" si="148"/>
        <v>March</v>
      </c>
      <c r="E772" s="5" t="str">
        <f t="shared" ca="1" si="149"/>
        <v>STU-938</v>
      </c>
      <c r="F772" s="5" t="str">
        <f ca="1">IF(COUNTIF($E$2:E772,E772)=1,"New Customer","Returning Customer")</f>
        <v>New Customer</v>
      </c>
      <c r="G772" s="5" t="str">
        <f t="shared" ca="1" si="150"/>
        <v>Female</v>
      </c>
      <c r="H772" s="5" t="s">
        <v>138</v>
      </c>
      <c r="I772" s="5" t="str" cm="1">
        <f t="array" aca="1" ref="I772" ca="1">INDEX(Courses!$B$9:$B$16,RANDBETWEEN(1,8))</f>
        <v>Excel Basics</v>
      </c>
      <c r="J772" s="5" t="str">
        <f ca="1">VLOOKUP(I772,Courses!$B$9:$C$16,2,0)</f>
        <v>Microsoft Office</v>
      </c>
      <c r="K772" s="7">
        <f ca="1">VLOOKUP(I772,Courses!$B$9:$D$16,3,0)</f>
        <v>29</v>
      </c>
      <c r="L772" s="5" t="str">
        <f t="shared" ca="1" si="151"/>
        <v>Paid</v>
      </c>
      <c r="M772" s="8" t="str" cm="1">
        <f t="array" aca="1" ref="M772" ca="1">INDEX('Payment Method'!$A$8:$A$12,RANDBETWEEN(1,5))</f>
        <v>Visa Debit</v>
      </c>
      <c r="N772" s="7">
        <f>IFERROR(SUMIF(Holiday!$A$8:$A$11,B772,Holiday!$C$8:$C$11),0)</f>
        <v>0</v>
      </c>
      <c r="O772" s="7">
        <f t="shared" ca="1" si="152"/>
        <v>29</v>
      </c>
      <c r="P772" s="19">
        <f t="shared" ca="1" si="153"/>
        <v>28.42</v>
      </c>
      <c r="Q772" s="7">
        <f t="shared" ca="1" si="154"/>
        <v>0</v>
      </c>
      <c r="R772" s="8">
        <f ca="1">VLOOKUP(M772,'Payment Method'!$A$8:$B$12,2,0)</f>
        <v>0.02</v>
      </c>
      <c r="S772" s="9">
        <f t="shared" ca="1" si="144"/>
        <v>0.57999999999999829</v>
      </c>
      <c r="T772" s="8">
        <v>0.01</v>
      </c>
      <c r="U772" s="9">
        <f t="shared" ca="1" si="145"/>
        <v>0.28419999999999845</v>
      </c>
      <c r="V772" s="7">
        <f t="shared" ca="1" si="146"/>
        <v>0</v>
      </c>
      <c r="W772" s="7">
        <f t="shared" ca="1" si="147"/>
        <v>28.135800000000003</v>
      </c>
      <c r="X772" s="5" t="str">
        <f t="shared" ca="1" si="155"/>
        <v>Tiktok</v>
      </c>
      <c r="Y772" s="78" t="str">
        <f>IF(COUNTIF($C$1:C771,B771)=1,10,"")</f>
        <v/>
      </c>
    </row>
    <row r="773" spans="1:25" x14ac:dyDescent="0.3">
      <c r="A773" s="76">
        <v>772</v>
      </c>
      <c r="B773" s="6">
        <v>46158</v>
      </c>
      <c r="C773" s="6">
        <v>46161</v>
      </c>
      <c r="D773" s="17" t="str">
        <f t="shared" si="148"/>
        <v>May</v>
      </c>
      <c r="E773" s="5" t="str">
        <f t="shared" ca="1" si="149"/>
        <v>STU-603</v>
      </c>
      <c r="F773" s="5" t="str">
        <f ca="1">IF(COUNTIF($E$2:E773,E773)=1,"New Customer","Returning Customer")</f>
        <v>Returning Customer</v>
      </c>
      <c r="G773" s="5" t="str">
        <f t="shared" ca="1" si="150"/>
        <v>Male</v>
      </c>
      <c r="H773" s="5" t="s">
        <v>135</v>
      </c>
      <c r="I773" s="5" t="str" cm="1">
        <f t="array" aca="1" ref="I773" ca="1">INDEX(Courses!$B$9:$B$16,RANDBETWEEN(1,8))</f>
        <v>Power BI</v>
      </c>
      <c r="J773" s="5" t="str">
        <f ca="1">VLOOKUP(I773,Courses!$B$9:$C$16,2,0)</f>
        <v>Data Analytics</v>
      </c>
      <c r="K773" s="7">
        <f ca="1">VLOOKUP(I773,Courses!$B$9:$D$16,3,0)</f>
        <v>59</v>
      </c>
      <c r="L773" s="5" t="str">
        <f t="shared" ca="1" si="151"/>
        <v>Pending</v>
      </c>
      <c r="M773" s="8" t="str" cm="1">
        <f t="array" aca="1" ref="M773" ca="1">INDEX('Payment Method'!$A$8:$A$12,RANDBETWEEN(1,5))</f>
        <v>Mastercard Credit</v>
      </c>
      <c r="N773" s="7">
        <f>IFERROR(SUMIF(Holiday!$A$8:$A$11,B773,Holiday!$C$8:$C$11),0)</f>
        <v>0</v>
      </c>
      <c r="O773" s="7">
        <f t="shared" ca="1" si="152"/>
        <v>59</v>
      </c>
      <c r="P773" s="19">
        <f t="shared" ca="1" si="153"/>
        <v>56.935000000000002</v>
      </c>
      <c r="Q773" s="7">
        <f t="shared" ca="1" si="154"/>
        <v>56.365650000000002</v>
      </c>
      <c r="R773" s="8">
        <f ca="1">VLOOKUP(M773,'Payment Method'!$A$8:$B$12,2,0)</f>
        <v>3.5000000000000003E-2</v>
      </c>
      <c r="S773" s="9">
        <f t="shared" ca="1" si="144"/>
        <v>2.0649999999999977</v>
      </c>
      <c r="T773" s="8">
        <v>0.01</v>
      </c>
      <c r="U773" s="9">
        <f t="shared" ca="1" si="145"/>
        <v>0.56935000000000002</v>
      </c>
      <c r="V773" s="7">
        <f t="shared" ca="1" si="146"/>
        <v>0</v>
      </c>
      <c r="W773" s="7">
        <f t="shared" ca="1" si="147"/>
        <v>0</v>
      </c>
      <c r="X773" s="5" t="str">
        <f t="shared" ca="1" si="155"/>
        <v>Instagram</v>
      </c>
      <c r="Y773" s="78" t="str">
        <f>IF(COUNTIF($C$1:C772,B772)=1,10,"")</f>
        <v/>
      </c>
    </row>
    <row r="774" spans="1:25" x14ac:dyDescent="0.3">
      <c r="A774" s="75">
        <v>773</v>
      </c>
      <c r="B774" s="6">
        <v>46116</v>
      </c>
      <c r="C774" s="6">
        <v>46121</v>
      </c>
      <c r="D774" s="17" t="str">
        <f t="shared" si="148"/>
        <v>April</v>
      </c>
      <c r="E774" s="5" t="str">
        <f t="shared" ca="1" si="149"/>
        <v>STU-476</v>
      </c>
      <c r="F774" s="5" t="str">
        <f ca="1">IF(COUNTIF($E$2:E774,E774)=1,"New Customer","Returning Customer")</f>
        <v>New Customer</v>
      </c>
      <c r="G774" s="5" t="str">
        <f t="shared" ca="1" si="150"/>
        <v>Female</v>
      </c>
      <c r="H774" s="5" t="s">
        <v>137</v>
      </c>
      <c r="I774" s="5" t="str" cm="1">
        <f t="array" aca="1" ref="I774" ca="1">INDEX(Courses!$B$9:$B$16,RANDBETWEEN(1,8))</f>
        <v>Excel Basics</v>
      </c>
      <c r="J774" s="5" t="str">
        <f ca="1">VLOOKUP(I774,Courses!$B$9:$C$16,2,0)</f>
        <v>Microsoft Office</v>
      </c>
      <c r="K774" s="7">
        <f ca="1">VLOOKUP(I774,Courses!$B$9:$D$16,3,0)</f>
        <v>29</v>
      </c>
      <c r="L774" s="5" t="str">
        <f t="shared" ca="1" si="151"/>
        <v>Pending</v>
      </c>
      <c r="M774" s="8" t="str" cm="1">
        <f t="array" aca="1" ref="M774" ca="1">INDEX('Payment Method'!$A$8:$A$12,RANDBETWEEN(1,5))</f>
        <v>Bank Transfer</v>
      </c>
      <c r="N774" s="7">
        <f>IFERROR(SUMIF(Holiday!$A$8:$A$11,B774,Holiday!$C$8:$C$11),0)</f>
        <v>0</v>
      </c>
      <c r="O774" s="7">
        <f t="shared" ca="1" si="152"/>
        <v>29</v>
      </c>
      <c r="P774" s="19">
        <f t="shared" ca="1" si="153"/>
        <v>29</v>
      </c>
      <c r="Q774" s="7">
        <f t="shared" ca="1" si="154"/>
        <v>28.71</v>
      </c>
      <c r="R774" s="8">
        <f ca="1">VLOOKUP(M774,'Payment Method'!$A$8:$B$12,2,0)</f>
        <v>0</v>
      </c>
      <c r="S774" s="9">
        <f t="shared" ca="1" si="144"/>
        <v>0</v>
      </c>
      <c r="T774" s="8">
        <v>0.01</v>
      </c>
      <c r="U774" s="9">
        <f t="shared" ca="1" si="145"/>
        <v>0.28999999999999915</v>
      </c>
      <c r="V774" s="7">
        <f t="shared" ca="1" si="146"/>
        <v>0</v>
      </c>
      <c r="W774" s="7">
        <f t="shared" ca="1" si="147"/>
        <v>0</v>
      </c>
      <c r="X774" s="5" t="str">
        <f t="shared" ca="1" si="155"/>
        <v>Facebook</v>
      </c>
      <c r="Y774" s="78" t="str">
        <f>IF(COUNTIF($C$1:C773,B773)=1,10,"")</f>
        <v/>
      </c>
    </row>
    <row r="775" spans="1:25" x14ac:dyDescent="0.3">
      <c r="A775" s="76">
        <v>774</v>
      </c>
      <c r="B775" s="6">
        <v>46176</v>
      </c>
      <c r="C775" s="6">
        <v>46178</v>
      </c>
      <c r="D775" s="17" t="str">
        <f t="shared" si="148"/>
        <v>June</v>
      </c>
      <c r="E775" s="5" t="str">
        <f t="shared" ca="1" si="149"/>
        <v>STU-409</v>
      </c>
      <c r="F775" s="5" t="str">
        <f ca="1">IF(COUNTIF($E$2:E775,E775)=1,"New Customer","Returning Customer")</f>
        <v>Returning Customer</v>
      </c>
      <c r="G775" s="5" t="str">
        <f t="shared" ca="1" si="150"/>
        <v>Not specified</v>
      </c>
      <c r="H775" s="5" t="s">
        <v>138</v>
      </c>
      <c r="I775" s="5" t="str" cm="1">
        <f t="array" aca="1" ref="I775" ca="1">INDEX(Courses!$B$9:$B$16,RANDBETWEEN(1,8))</f>
        <v>Adolescent Psychology</v>
      </c>
      <c r="J775" s="5" t="str">
        <f ca="1">VLOOKUP(I775,Courses!$B$9:$C$16,2,0)</f>
        <v>Psychology</v>
      </c>
      <c r="K775" s="7">
        <f ca="1">VLOOKUP(I775,Courses!$B$9:$D$16,3,0)</f>
        <v>29</v>
      </c>
      <c r="L775" s="5" t="str">
        <f t="shared" ca="1" si="151"/>
        <v>Pending</v>
      </c>
      <c r="M775" s="8" t="str" cm="1">
        <f t="array" aca="1" ref="M775" ca="1">INDEX('Payment Method'!$A$8:$A$12,RANDBETWEEN(1,5))</f>
        <v>Mastercard Debit</v>
      </c>
      <c r="N775" s="7">
        <f>IFERROR(SUMIF(Holiday!$A$8:$A$11,B775,Holiday!$C$8:$C$11),0)</f>
        <v>0</v>
      </c>
      <c r="O775" s="7">
        <f t="shared" ca="1" si="152"/>
        <v>29</v>
      </c>
      <c r="P775" s="19">
        <f t="shared" ca="1" si="153"/>
        <v>28.42</v>
      </c>
      <c r="Q775" s="7">
        <f t="shared" ca="1" si="154"/>
        <v>28.135800000000003</v>
      </c>
      <c r="R775" s="8">
        <f ca="1">VLOOKUP(M775,'Payment Method'!$A$8:$B$12,2,0)</f>
        <v>0.02</v>
      </c>
      <c r="S775" s="9">
        <f t="shared" ca="1" si="144"/>
        <v>0.57999999999999829</v>
      </c>
      <c r="T775" s="8">
        <v>0.01</v>
      </c>
      <c r="U775" s="9">
        <f t="shared" ca="1" si="145"/>
        <v>0.28419999999999845</v>
      </c>
      <c r="V775" s="7">
        <f t="shared" ca="1" si="146"/>
        <v>0</v>
      </c>
      <c r="W775" s="7">
        <f t="shared" ca="1" si="147"/>
        <v>0</v>
      </c>
      <c r="X775" s="5" t="str">
        <f t="shared" ca="1" si="155"/>
        <v>Tiktok</v>
      </c>
      <c r="Y775" s="78" t="str">
        <f>IF(COUNTIF($C$1:C774,B774)=1,10,"")</f>
        <v/>
      </c>
    </row>
    <row r="776" spans="1:25" x14ac:dyDescent="0.3">
      <c r="A776" s="75">
        <v>775</v>
      </c>
      <c r="B776" s="6">
        <v>46204</v>
      </c>
      <c r="C776" s="6">
        <v>46209</v>
      </c>
      <c r="D776" s="17" t="str">
        <f t="shared" si="148"/>
        <v>July</v>
      </c>
      <c r="E776" s="5" t="str">
        <f t="shared" ca="1" si="149"/>
        <v>STU-615</v>
      </c>
      <c r="F776" s="5" t="str">
        <f ca="1">IF(COUNTIF($E$2:E776,E776)=1,"New Customer","Returning Customer")</f>
        <v>Returning Customer</v>
      </c>
      <c r="G776" s="5" t="str">
        <f t="shared" ca="1" si="150"/>
        <v>Male</v>
      </c>
      <c r="H776" s="5" t="s">
        <v>137</v>
      </c>
      <c r="I776" s="5" t="str" cm="1">
        <f t="array" aca="1" ref="I776" ca="1">INDEX(Courses!$B$9:$B$16,RANDBETWEEN(1,8))</f>
        <v>Microsoft Word</v>
      </c>
      <c r="J776" s="5" t="str">
        <f ca="1">VLOOKUP(I776,Courses!$B$9:$C$16,2,0)</f>
        <v>Microsoft Office</v>
      </c>
      <c r="K776" s="7">
        <f ca="1">VLOOKUP(I776,Courses!$B$9:$D$16,3,0)</f>
        <v>29</v>
      </c>
      <c r="L776" s="5" t="str">
        <f t="shared" ca="1" si="151"/>
        <v>Refunded</v>
      </c>
      <c r="M776" s="8" t="str" cm="1">
        <f t="array" aca="1" ref="M776" ca="1">INDEX('Payment Method'!$A$8:$A$12,RANDBETWEEN(1,5))</f>
        <v>Mastercard Credit</v>
      </c>
      <c r="N776" s="7">
        <f>IFERROR(SUMIF(Holiday!$A$8:$A$11,B776,Holiday!$C$8:$C$11),0)</f>
        <v>0</v>
      </c>
      <c r="O776" s="7">
        <f t="shared" ca="1" si="152"/>
        <v>29</v>
      </c>
      <c r="P776" s="19">
        <f t="shared" ca="1" si="153"/>
        <v>27.984999999999999</v>
      </c>
      <c r="Q776" s="7">
        <f t="shared" ca="1" si="154"/>
        <v>0</v>
      </c>
      <c r="R776" s="8">
        <f ca="1">VLOOKUP(M776,'Payment Method'!$A$8:$B$12,2,0)</f>
        <v>3.5000000000000003E-2</v>
      </c>
      <c r="S776" s="9">
        <f t="shared" ca="1" si="144"/>
        <v>1.0150000000000006</v>
      </c>
      <c r="T776" s="8">
        <v>0.01</v>
      </c>
      <c r="U776" s="9">
        <f t="shared" ca="1" si="145"/>
        <v>0.27984999999999971</v>
      </c>
      <c r="V776" s="7">
        <f t="shared" ca="1" si="146"/>
        <v>27.70515</v>
      </c>
      <c r="W776" s="7">
        <f t="shared" ca="1" si="147"/>
        <v>0</v>
      </c>
      <c r="X776" s="5" t="str">
        <f t="shared" ca="1" si="155"/>
        <v>Facebook</v>
      </c>
      <c r="Y776" s="78" t="str">
        <f>IF(COUNTIF($C$1:C775,B775)=1,10,"")</f>
        <v/>
      </c>
    </row>
    <row r="777" spans="1:25" x14ac:dyDescent="0.3">
      <c r="A777" s="76">
        <v>776</v>
      </c>
      <c r="B777" s="6">
        <v>46121</v>
      </c>
      <c r="C777" s="6">
        <v>46123</v>
      </c>
      <c r="D777" s="17" t="str">
        <f t="shared" si="148"/>
        <v>April</v>
      </c>
      <c r="E777" s="5" t="str">
        <f t="shared" ca="1" si="149"/>
        <v>STU-594</v>
      </c>
      <c r="F777" s="5" t="str">
        <f ca="1">IF(COUNTIF($E$2:E777,E777)=1,"New Customer","Returning Customer")</f>
        <v>New Customer</v>
      </c>
      <c r="G777" s="5" t="str">
        <f t="shared" ca="1" si="150"/>
        <v>Male</v>
      </c>
      <c r="H777" s="5" t="s">
        <v>140</v>
      </c>
      <c r="I777" s="5" t="str" cm="1">
        <f t="array" aca="1" ref="I777" ca="1">INDEX(Courses!$B$9:$B$16,RANDBETWEEN(1,8))</f>
        <v>Adolescent Psychology</v>
      </c>
      <c r="J777" s="5" t="str">
        <f ca="1">VLOOKUP(I777,Courses!$B$9:$C$16,2,0)</f>
        <v>Psychology</v>
      </c>
      <c r="K777" s="7">
        <f ca="1">VLOOKUP(I777,Courses!$B$9:$D$16,3,0)</f>
        <v>29</v>
      </c>
      <c r="L777" s="5" t="str">
        <f t="shared" ca="1" si="151"/>
        <v>Paid</v>
      </c>
      <c r="M777" s="8" t="str" cm="1">
        <f t="array" aca="1" ref="M777" ca="1">INDEX('Payment Method'!$A$8:$A$12,RANDBETWEEN(1,5))</f>
        <v>Mastercard Credit</v>
      </c>
      <c r="N777" s="7">
        <f>IFERROR(SUMIF(Holiday!$A$8:$A$11,B777,Holiday!$C$8:$C$11),0)</f>
        <v>0</v>
      </c>
      <c r="O777" s="7">
        <f t="shared" ca="1" si="152"/>
        <v>29</v>
      </c>
      <c r="P777" s="19">
        <f t="shared" ca="1" si="153"/>
        <v>27.984999999999999</v>
      </c>
      <c r="Q777" s="7">
        <f t="shared" ca="1" si="154"/>
        <v>0</v>
      </c>
      <c r="R777" s="8">
        <f ca="1">VLOOKUP(M777,'Payment Method'!$A$8:$B$12,2,0)</f>
        <v>3.5000000000000003E-2</v>
      </c>
      <c r="S777" s="9">
        <f t="shared" ca="1" si="144"/>
        <v>1.0150000000000006</v>
      </c>
      <c r="T777" s="8">
        <v>0.01</v>
      </c>
      <c r="U777" s="9">
        <f t="shared" ca="1" si="145"/>
        <v>0.27984999999999971</v>
      </c>
      <c r="V777" s="7">
        <f t="shared" ca="1" si="146"/>
        <v>0</v>
      </c>
      <c r="W777" s="7">
        <f t="shared" ca="1" si="147"/>
        <v>27.70515</v>
      </c>
      <c r="X777" s="5" t="str">
        <f t="shared" ca="1" si="155"/>
        <v>Instagram</v>
      </c>
      <c r="Y777" s="78" t="str">
        <f>IF(COUNTIF($C$1:C776,B776)=1,10,"")</f>
        <v/>
      </c>
    </row>
    <row r="778" spans="1:25" x14ac:dyDescent="0.3">
      <c r="A778" s="75">
        <v>777</v>
      </c>
      <c r="B778" s="6">
        <v>46096</v>
      </c>
      <c r="C778" s="6">
        <v>46101</v>
      </c>
      <c r="D778" s="17" t="str">
        <f t="shared" si="148"/>
        <v>March</v>
      </c>
      <c r="E778" s="5" t="str">
        <f t="shared" ca="1" si="149"/>
        <v>STU-67</v>
      </c>
      <c r="F778" s="5" t="str">
        <f ca="1">IF(COUNTIF($E$2:E778,E778)=1,"New Customer","Returning Customer")</f>
        <v>Returning Customer</v>
      </c>
      <c r="G778" s="5" t="str">
        <f t="shared" ca="1" si="150"/>
        <v>Female</v>
      </c>
      <c r="H778" s="5" t="s">
        <v>142</v>
      </c>
      <c r="I778" s="5" t="str" cm="1">
        <f t="array" aca="1" ref="I778" ca="1">INDEX(Courses!$B$9:$B$16,RANDBETWEEN(1,8))</f>
        <v>Microsoft Word</v>
      </c>
      <c r="J778" s="5" t="str">
        <f ca="1">VLOOKUP(I778,Courses!$B$9:$C$16,2,0)</f>
        <v>Microsoft Office</v>
      </c>
      <c r="K778" s="7">
        <f ca="1">VLOOKUP(I778,Courses!$B$9:$D$16,3,0)</f>
        <v>29</v>
      </c>
      <c r="L778" s="5" t="str">
        <f t="shared" ca="1" si="151"/>
        <v>Pending</v>
      </c>
      <c r="M778" s="8" t="str" cm="1">
        <f t="array" aca="1" ref="M778" ca="1">INDEX('Payment Method'!$A$8:$A$12,RANDBETWEEN(1,5))</f>
        <v>Bank Transfer</v>
      </c>
      <c r="N778" s="7">
        <f>IFERROR(SUMIF(Holiday!$A$8:$A$11,B778,Holiday!$C$8:$C$11),0)</f>
        <v>0</v>
      </c>
      <c r="O778" s="7">
        <f t="shared" ca="1" si="152"/>
        <v>29</v>
      </c>
      <c r="P778" s="19">
        <f t="shared" ca="1" si="153"/>
        <v>29</v>
      </c>
      <c r="Q778" s="7">
        <f t="shared" ca="1" si="154"/>
        <v>28.71</v>
      </c>
      <c r="R778" s="8">
        <f ca="1">VLOOKUP(M778,'Payment Method'!$A$8:$B$12,2,0)</f>
        <v>0</v>
      </c>
      <c r="S778" s="9">
        <f t="shared" ca="1" si="144"/>
        <v>0</v>
      </c>
      <c r="T778" s="8">
        <v>0.01</v>
      </c>
      <c r="U778" s="9">
        <f t="shared" ca="1" si="145"/>
        <v>0.28999999999999915</v>
      </c>
      <c r="V778" s="7">
        <f t="shared" ca="1" si="146"/>
        <v>0</v>
      </c>
      <c r="W778" s="7">
        <f t="shared" ca="1" si="147"/>
        <v>0</v>
      </c>
      <c r="X778" s="5" t="str">
        <f t="shared" ca="1" si="155"/>
        <v>Tiktok</v>
      </c>
      <c r="Y778" s="78" t="str">
        <f>IF(COUNTIF($C$1:C777,B777)=1,10,"")</f>
        <v/>
      </c>
    </row>
    <row r="779" spans="1:25" x14ac:dyDescent="0.3">
      <c r="A779" s="76">
        <v>778</v>
      </c>
      <c r="B779" s="6">
        <v>46073</v>
      </c>
      <c r="C779" s="6">
        <v>46073</v>
      </c>
      <c r="D779" s="17" t="str">
        <f t="shared" si="148"/>
        <v>February</v>
      </c>
      <c r="E779" s="5" t="str">
        <f t="shared" ca="1" si="149"/>
        <v>STU-680</v>
      </c>
      <c r="F779" s="5" t="str">
        <f ca="1">IF(COUNTIF($E$2:E779,E779)=1,"New Customer","Returning Customer")</f>
        <v>Returning Customer</v>
      </c>
      <c r="G779" s="5" t="str">
        <f t="shared" ca="1" si="150"/>
        <v>Male</v>
      </c>
      <c r="H779" s="5" t="s">
        <v>140</v>
      </c>
      <c r="I779" s="5" t="str" cm="1">
        <f t="array" aca="1" ref="I779" ca="1">INDEX(Courses!$B$9:$B$16,RANDBETWEEN(1,8))</f>
        <v>Excel Basics</v>
      </c>
      <c r="J779" s="5" t="str">
        <f ca="1">VLOOKUP(I779,Courses!$B$9:$C$16,2,0)</f>
        <v>Microsoft Office</v>
      </c>
      <c r="K779" s="7">
        <f ca="1">VLOOKUP(I779,Courses!$B$9:$D$16,3,0)</f>
        <v>29</v>
      </c>
      <c r="L779" s="5" t="str">
        <f t="shared" ca="1" si="151"/>
        <v>Paid</v>
      </c>
      <c r="M779" s="8" t="str" cm="1">
        <f t="array" aca="1" ref="M779" ca="1">INDEX('Payment Method'!$A$8:$A$12,RANDBETWEEN(1,5))</f>
        <v>Mastercard Debit</v>
      </c>
      <c r="N779" s="7">
        <f>IFERROR(SUMIF(Holiday!$A$8:$A$11,B779,Holiday!$C$8:$C$11),0)</f>
        <v>0</v>
      </c>
      <c r="O779" s="7">
        <f t="shared" ca="1" si="152"/>
        <v>29</v>
      </c>
      <c r="P779" s="19">
        <f t="shared" ca="1" si="153"/>
        <v>28.42</v>
      </c>
      <c r="Q779" s="7">
        <f t="shared" ca="1" si="154"/>
        <v>0</v>
      </c>
      <c r="R779" s="8">
        <f ca="1">VLOOKUP(M779,'Payment Method'!$A$8:$B$12,2,0)</f>
        <v>0.02</v>
      </c>
      <c r="S779" s="9">
        <f t="shared" ca="1" si="144"/>
        <v>0.57999999999999829</v>
      </c>
      <c r="T779" s="8">
        <v>0.01</v>
      </c>
      <c r="U779" s="9">
        <f t="shared" ca="1" si="145"/>
        <v>0.28419999999999845</v>
      </c>
      <c r="V779" s="7">
        <f t="shared" ca="1" si="146"/>
        <v>0</v>
      </c>
      <c r="W779" s="7">
        <f t="shared" ca="1" si="147"/>
        <v>28.135800000000003</v>
      </c>
      <c r="X779" s="5" t="str">
        <f t="shared" ca="1" si="155"/>
        <v>Instagram</v>
      </c>
      <c r="Y779" s="78" t="str">
        <f>IF(COUNTIF($C$1:C778,B778)=1,10,"")</f>
        <v/>
      </c>
    </row>
    <row r="780" spans="1:25" x14ac:dyDescent="0.3">
      <c r="A780" s="75">
        <v>779</v>
      </c>
      <c r="B780" s="6">
        <v>46046</v>
      </c>
      <c r="C780" s="6">
        <v>46050</v>
      </c>
      <c r="D780" s="17" t="str">
        <f t="shared" si="148"/>
        <v>January</v>
      </c>
      <c r="E780" s="5" t="str">
        <f t="shared" ca="1" si="149"/>
        <v>STU-939</v>
      </c>
      <c r="F780" s="5" t="str">
        <f ca="1">IF(COUNTIF($E$2:E780,E780)=1,"New Customer","Returning Customer")</f>
        <v>Returning Customer</v>
      </c>
      <c r="G780" s="5" t="str">
        <f t="shared" ca="1" si="150"/>
        <v>Male</v>
      </c>
      <c r="H780" s="5" t="s">
        <v>138</v>
      </c>
      <c r="I780" s="5" t="str" cm="1">
        <f t="array" aca="1" ref="I780" ca="1">INDEX(Courses!$B$9:$B$16,RANDBETWEEN(1,8))</f>
        <v>Complete Excel Course</v>
      </c>
      <c r="J780" s="5" t="str">
        <f ca="1">VLOOKUP(I780,Courses!$B$9:$C$16,2,0)</f>
        <v>Microsoft Office</v>
      </c>
      <c r="K780" s="7">
        <f ca="1">VLOOKUP(I780,Courses!$B$9:$D$16,3,0)</f>
        <v>59</v>
      </c>
      <c r="L780" s="5" t="str">
        <f t="shared" ca="1" si="151"/>
        <v>Paid</v>
      </c>
      <c r="M780" s="8" t="str" cm="1">
        <f t="array" aca="1" ref="M780" ca="1">INDEX('Payment Method'!$A$8:$A$12,RANDBETWEEN(1,5))</f>
        <v>Bank Transfer</v>
      </c>
      <c r="N780" s="7">
        <f>IFERROR(SUMIF(Holiday!$A$8:$A$11,B780,Holiday!$C$8:$C$11),0)</f>
        <v>0</v>
      </c>
      <c r="O780" s="7">
        <f t="shared" ca="1" si="152"/>
        <v>59</v>
      </c>
      <c r="P780" s="19">
        <f t="shared" ca="1" si="153"/>
        <v>59</v>
      </c>
      <c r="Q780" s="7">
        <f t="shared" ca="1" si="154"/>
        <v>0</v>
      </c>
      <c r="R780" s="8">
        <f ca="1">VLOOKUP(M780,'Payment Method'!$A$8:$B$12,2,0)</f>
        <v>0</v>
      </c>
      <c r="S780" s="9">
        <f t="shared" ca="1" si="144"/>
        <v>0</v>
      </c>
      <c r="T780" s="8">
        <v>0.01</v>
      </c>
      <c r="U780" s="9">
        <f t="shared" ca="1" si="145"/>
        <v>0.59000000000000341</v>
      </c>
      <c r="V780" s="7">
        <f t="shared" ca="1" si="146"/>
        <v>0</v>
      </c>
      <c r="W780" s="7">
        <f t="shared" ca="1" si="147"/>
        <v>58.41</v>
      </c>
      <c r="X780" s="5" t="str">
        <f t="shared" ca="1" si="155"/>
        <v>Facebook</v>
      </c>
      <c r="Y780" s="78" t="str">
        <f>IF(COUNTIF($C$1:C779,B779)=1,10,"")</f>
        <v/>
      </c>
    </row>
    <row r="781" spans="1:25" x14ac:dyDescent="0.3">
      <c r="A781" s="76">
        <v>780</v>
      </c>
      <c r="B781" s="6">
        <v>46053</v>
      </c>
      <c r="C781" s="6">
        <v>46055</v>
      </c>
      <c r="D781" s="17" t="str">
        <f t="shared" si="148"/>
        <v>February</v>
      </c>
      <c r="E781" s="5" t="str">
        <f t="shared" ca="1" si="149"/>
        <v>STU-608</v>
      </c>
      <c r="F781" s="5" t="str">
        <f ca="1">IF(COUNTIF($E$2:E781,E781)=1,"New Customer","Returning Customer")</f>
        <v>Returning Customer</v>
      </c>
      <c r="G781" s="5" t="str">
        <f t="shared" ca="1" si="150"/>
        <v>Male</v>
      </c>
      <c r="H781" s="5" t="s">
        <v>135</v>
      </c>
      <c r="I781" s="5" t="str" cm="1">
        <f t="array" aca="1" ref="I781" ca="1">INDEX(Courses!$B$9:$B$16,RANDBETWEEN(1,8))</f>
        <v>SQL</v>
      </c>
      <c r="J781" s="5" t="str">
        <f ca="1">VLOOKUP(I781,Courses!$B$9:$C$16,2,0)</f>
        <v>Data Analytics</v>
      </c>
      <c r="K781" s="7">
        <f ca="1">VLOOKUP(I781,Courses!$B$9:$D$16,3,0)</f>
        <v>99</v>
      </c>
      <c r="L781" s="5" t="str">
        <f t="shared" ca="1" si="151"/>
        <v>Paid</v>
      </c>
      <c r="M781" s="8" t="str" cm="1">
        <f t="array" aca="1" ref="M781" ca="1">INDEX('Payment Method'!$A$8:$A$12,RANDBETWEEN(1,5))</f>
        <v>Mastercard Debit</v>
      </c>
      <c r="N781" s="7">
        <f>IFERROR(SUMIF(Holiday!$A$8:$A$11,B781,Holiday!$C$8:$C$11),0)</f>
        <v>0</v>
      </c>
      <c r="O781" s="7">
        <f t="shared" ca="1" si="152"/>
        <v>99</v>
      </c>
      <c r="P781" s="19">
        <f t="shared" ca="1" si="153"/>
        <v>97.02</v>
      </c>
      <c r="Q781" s="7">
        <f t="shared" ca="1" si="154"/>
        <v>0</v>
      </c>
      <c r="R781" s="8">
        <f ca="1">VLOOKUP(M781,'Payment Method'!$A$8:$B$12,2,0)</f>
        <v>0.02</v>
      </c>
      <c r="S781" s="9">
        <f t="shared" ca="1" si="144"/>
        <v>1.980000000000004</v>
      </c>
      <c r="T781" s="8">
        <v>0.01</v>
      </c>
      <c r="U781" s="9">
        <f t="shared" ca="1" si="145"/>
        <v>0.9702000000000055</v>
      </c>
      <c r="V781" s="7">
        <f t="shared" ca="1" si="146"/>
        <v>0</v>
      </c>
      <c r="W781" s="7">
        <f t="shared" ca="1" si="147"/>
        <v>96.049799999999991</v>
      </c>
      <c r="X781" s="5" t="str">
        <f t="shared" ca="1" si="155"/>
        <v>Instagram</v>
      </c>
      <c r="Y781" s="78" t="str">
        <f>IF(COUNTIF($C$1:C780,B780)=1,10,"")</f>
        <v/>
      </c>
    </row>
    <row r="782" spans="1:25" x14ac:dyDescent="0.3">
      <c r="A782" s="75">
        <v>781</v>
      </c>
      <c r="B782" s="6">
        <v>46198</v>
      </c>
      <c r="C782" s="6">
        <v>46200</v>
      </c>
      <c r="D782" s="17" t="str">
        <f t="shared" si="148"/>
        <v>June</v>
      </c>
      <c r="E782" s="5" t="str">
        <f t="shared" ca="1" si="149"/>
        <v>STU-442</v>
      </c>
      <c r="F782" s="5" t="str">
        <f ca="1">IF(COUNTIF($E$2:E782,E782)=1,"New Customer","Returning Customer")</f>
        <v>Returning Customer</v>
      </c>
      <c r="G782" s="5" t="str">
        <f t="shared" ca="1" si="150"/>
        <v>Male</v>
      </c>
      <c r="H782" s="5" t="s">
        <v>137</v>
      </c>
      <c r="I782" s="5" t="str" cm="1">
        <f t="array" aca="1" ref="I782" ca="1">INDEX(Courses!$B$9:$B$16,RANDBETWEEN(1,8))</f>
        <v>PowerPoint</v>
      </c>
      <c r="J782" s="5" t="str">
        <f ca="1">VLOOKUP(I782,Courses!$B$9:$C$16,2,0)</f>
        <v>Microsoft Office</v>
      </c>
      <c r="K782" s="7">
        <f ca="1">VLOOKUP(I782,Courses!$B$9:$D$16,3,0)</f>
        <v>29</v>
      </c>
      <c r="L782" s="5" t="str">
        <f t="shared" ca="1" si="151"/>
        <v>Refunded</v>
      </c>
      <c r="M782" s="8" t="str" cm="1">
        <f t="array" aca="1" ref="M782" ca="1">INDEX('Payment Method'!$A$8:$A$12,RANDBETWEEN(1,5))</f>
        <v>Bank Transfer</v>
      </c>
      <c r="N782" s="7">
        <f>IFERROR(SUMIF(Holiday!$A$8:$A$11,B782,Holiday!$C$8:$C$11),0)</f>
        <v>0</v>
      </c>
      <c r="O782" s="7">
        <f t="shared" ca="1" si="152"/>
        <v>29</v>
      </c>
      <c r="P782" s="19">
        <f t="shared" ca="1" si="153"/>
        <v>29</v>
      </c>
      <c r="Q782" s="7">
        <f t="shared" ca="1" si="154"/>
        <v>0</v>
      </c>
      <c r="R782" s="8">
        <f ca="1">VLOOKUP(M782,'Payment Method'!$A$8:$B$12,2,0)</f>
        <v>0</v>
      </c>
      <c r="S782" s="9">
        <f t="shared" ca="1" si="144"/>
        <v>0</v>
      </c>
      <c r="T782" s="8">
        <v>0.01</v>
      </c>
      <c r="U782" s="9">
        <f t="shared" ca="1" si="145"/>
        <v>0.28999999999999915</v>
      </c>
      <c r="V782" s="7">
        <f t="shared" ca="1" si="146"/>
        <v>28.71</v>
      </c>
      <c r="W782" s="7">
        <f t="shared" ca="1" si="147"/>
        <v>0</v>
      </c>
      <c r="X782" s="5" t="str">
        <f t="shared" ca="1" si="155"/>
        <v>Instagram</v>
      </c>
      <c r="Y782" s="78" t="str">
        <f>IF(COUNTIF($C$1:C781,B781)=1,10,"")</f>
        <v/>
      </c>
    </row>
    <row r="783" spans="1:25" x14ac:dyDescent="0.3">
      <c r="A783" s="76">
        <v>782</v>
      </c>
      <c r="B783" s="6">
        <v>46220</v>
      </c>
      <c r="C783" s="6">
        <v>46221</v>
      </c>
      <c r="D783" s="17" t="str">
        <f t="shared" si="148"/>
        <v>July</v>
      </c>
      <c r="E783" s="5" t="str">
        <f t="shared" ca="1" si="149"/>
        <v>STU-378</v>
      </c>
      <c r="F783" s="5" t="str">
        <f ca="1">IF(COUNTIF($E$2:E783,E783)=1,"New Customer","Returning Customer")</f>
        <v>New Customer</v>
      </c>
      <c r="G783" s="5" t="str">
        <f t="shared" ca="1" si="150"/>
        <v>Female</v>
      </c>
      <c r="H783" s="5" t="s">
        <v>142</v>
      </c>
      <c r="I783" s="5" t="str" cm="1">
        <f t="array" aca="1" ref="I783" ca="1">INDEX(Courses!$B$9:$B$16,RANDBETWEEN(1,8))</f>
        <v>Excel Basics</v>
      </c>
      <c r="J783" s="5" t="str">
        <f ca="1">VLOOKUP(I783,Courses!$B$9:$C$16,2,0)</f>
        <v>Microsoft Office</v>
      </c>
      <c r="K783" s="7">
        <f ca="1">VLOOKUP(I783,Courses!$B$9:$D$16,3,0)</f>
        <v>29</v>
      </c>
      <c r="L783" s="5" t="str">
        <f t="shared" ca="1" si="151"/>
        <v>Paid</v>
      </c>
      <c r="M783" s="8" t="str" cm="1">
        <f t="array" aca="1" ref="M783" ca="1">INDEX('Payment Method'!$A$8:$A$12,RANDBETWEEN(1,5))</f>
        <v>Visa Debit</v>
      </c>
      <c r="N783" s="7">
        <f>IFERROR(SUMIF(Holiday!$A$8:$A$11,B783,Holiday!$C$8:$C$11),0)</f>
        <v>0</v>
      </c>
      <c r="O783" s="7">
        <f t="shared" ca="1" si="152"/>
        <v>29</v>
      </c>
      <c r="P783" s="19">
        <f t="shared" ca="1" si="153"/>
        <v>28.42</v>
      </c>
      <c r="Q783" s="7">
        <f t="shared" ca="1" si="154"/>
        <v>0</v>
      </c>
      <c r="R783" s="8">
        <f ca="1">VLOOKUP(M783,'Payment Method'!$A$8:$B$12,2,0)</f>
        <v>0.02</v>
      </c>
      <c r="S783" s="9">
        <f t="shared" ca="1" si="144"/>
        <v>0.57999999999999829</v>
      </c>
      <c r="T783" s="8">
        <v>0.01</v>
      </c>
      <c r="U783" s="9">
        <f t="shared" ca="1" si="145"/>
        <v>0.28419999999999845</v>
      </c>
      <c r="V783" s="7">
        <f t="shared" ca="1" si="146"/>
        <v>0</v>
      </c>
      <c r="W783" s="7">
        <f t="shared" ca="1" si="147"/>
        <v>28.135800000000003</v>
      </c>
      <c r="X783" s="5" t="str">
        <f t="shared" ca="1" si="155"/>
        <v>Facebook</v>
      </c>
      <c r="Y783" s="78" t="str">
        <f>IF(COUNTIF($C$1:C782,B782)=1,10,"")</f>
        <v/>
      </c>
    </row>
    <row r="784" spans="1:25" x14ac:dyDescent="0.3">
      <c r="A784" s="75">
        <v>783</v>
      </c>
      <c r="B784" s="6">
        <v>46173</v>
      </c>
      <c r="C784" s="6">
        <v>46174</v>
      </c>
      <c r="D784" s="17" t="str">
        <f t="shared" si="148"/>
        <v>June</v>
      </c>
      <c r="E784" s="5" t="str">
        <f t="shared" ca="1" si="149"/>
        <v>STU-110</v>
      </c>
      <c r="F784" s="5" t="str">
        <f ca="1">IF(COUNTIF($E$2:E784,E784)=1,"New Customer","Returning Customer")</f>
        <v>Returning Customer</v>
      </c>
      <c r="G784" s="5" t="str">
        <f t="shared" ca="1" si="150"/>
        <v>Female</v>
      </c>
      <c r="H784" s="5" t="s">
        <v>135</v>
      </c>
      <c r="I784" s="5" t="str" cm="1">
        <f t="array" aca="1" ref="I784" ca="1">INDEX(Courses!$B$9:$B$16,RANDBETWEEN(1,8))</f>
        <v>Adolescent Psychology</v>
      </c>
      <c r="J784" s="5" t="str">
        <f ca="1">VLOOKUP(I784,Courses!$B$9:$C$16,2,0)</f>
        <v>Psychology</v>
      </c>
      <c r="K784" s="7">
        <f ca="1">VLOOKUP(I784,Courses!$B$9:$D$16,3,0)</f>
        <v>29</v>
      </c>
      <c r="L784" s="5" t="str">
        <f t="shared" ca="1" si="151"/>
        <v>Paid</v>
      </c>
      <c r="M784" s="8" t="str" cm="1">
        <f t="array" aca="1" ref="M784" ca="1">INDEX('Payment Method'!$A$8:$A$12,RANDBETWEEN(1,5))</f>
        <v>Mastercard Debit</v>
      </c>
      <c r="N784" s="7">
        <f>IFERROR(SUMIF(Holiday!$A$8:$A$11,B784,Holiday!$C$8:$C$11),0)</f>
        <v>0</v>
      </c>
      <c r="O784" s="7">
        <f t="shared" ca="1" si="152"/>
        <v>29</v>
      </c>
      <c r="P784" s="19">
        <f t="shared" ca="1" si="153"/>
        <v>28.42</v>
      </c>
      <c r="Q784" s="7">
        <f t="shared" ca="1" si="154"/>
        <v>0</v>
      </c>
      <c r="R784" s="8">
        <f ca="1">VLOOKUP(M784,'Payment Method'!$A$8:$B$12,2,0)</f>
        <v>0.02</v>
      </c>
      <c r="S784" s="9">
        <f t="shared" ca="1" si="144"/>
        <v>0.57999999999999829</v>
      </c>
      <c r="T784" s="8">
        <v>0.01</v>
      </c>
      <c r="U784" s="9">
        <f t="shared" ca="1" si="145"/>
        <v>0.28419999999999845</v>
      </c>
      <c r="V784" s="7">
        <f t="shared" ca="1" si="146"/>
        <v>0</v>
      </c>
      <c r="W784" s="7">
        <f t="shared" ca="1" si="147"/>
        <v>28.135800000000003</v>
      </c>
      <c r="X784" s="5" t="str">
        <f t="shared" ca="1" si="155"/>
        <v>Tiktok</v>
      </c>
      <c r="Y784" s="78" t="str">
        <f>IF(COUNTIF($C$1:C783,B783)=1,10,"")</f>
        <v/>
      </c>
    </row>
    <row r="785" spans="1:25" x14ac:dyDescent="0.3">
      <c r="A785" s="76">
        <v>784</v>
      </c>
      <c r="B785" s="6">
        <v>46067</v>
      </c>
      <c r="C785" s="6">
        <v>46072</v>
      </c>
      <c r="D785" s="17" t="str">
        <f t="shared" si="148"/>
        <v>February</v>
      </c>
      <c r="E785" s="5" t="str">
        <f t="shared" ca="1" si="149"/>
        <v>STU-878</v>
      </c>
      <c r="F785" s="5" t="str">
        <f ca="1">IF(COUNTIF($E$2:E785,E785)=1,"New Customer","Returning Customer")</f>
        <v>Returning Customer</v>
      </c>
      <c r="G785" s="5" t="str">
        <f t="shared" ca="1" si="150"/>
        <v>Not specified</v>
      </c>
      <c r="H785" s="5" t="s">
        <v>136</v>
      </c>
      <c r="I785" s="5" t="str" cm="1">
        <f t="array" aca="1" ref="I785" ca="1">INDEX(Courses!$B$9:$B$16,RANDBETWEEN(1,8))</f>
        <v>Excel Basics</v>
      </c>
      <c r="J785" s="5" t="str">
        <f ca="1">VLOOKUP(I785,Courses!$B$9:$C$16,2,0)</f>
        <v>Microsoft Office</v>
      </c>
      <c r="K785" s="7">
        <f ca="1">VLOOKUP(I785,Courses!$B$9:$D$16,3,0)</f>
        <v>29</v>
      </c>
      <c r="L785" s="5" t="str">
        <f t="shared" ca="1" si="151"/>
        <v>Paid</v>
      </c>
      <c r="M785" s="8" t="str" cm="1">
        <f t="array" aca="1" ref="M785" ca="1">INDEX('Payment Method'!$A$8:$A$12,RANDBETWEEN(1,5))</f>
        <v>Mastercard Debit</v>
      </c>
      <c r="N785" s="7">
        <f>IFERROR(SUMIF(Holiday!$A$8:$A$11,B785,Holiday!$C$8:$C$11),0)</f>
        <v>0</v>
      </c>
      <c r="O785" s="7">
        <f t="shared" ca="1" si="152"/>
        <v>29</v>
      </c>
      <c r="P785" s="19">
        <f t="shared" ca="1" si="153"/>
        <v>28.42</v>
      </c>
      <c r="Q785" s="7">
        <f t="shared" ca="1" si="154"/>
        <v>0</v>
      </c>
      <c r="R785" s="8">
        <f ca="1">VLOOKUP(M785,'Payment Method'!$A$8:$B$12,2,0)</f>
        <v>0.02</v>
      </c>
      <c r="S785" s="9">
        <f t="shared" ca="1" si="144"/>
        <v>0.57999999999999829</v>
      </c>
      <c r="T785" s="8">
        <v>0.01</v>
      </c>
      <c r="U785" s="9">
        <f t="shared" ca="1" si="145"/>
        <v>0.28419999999999845</v>
      </c>
      <c r="V785" s="7">
        <f t="shared" ca="1" si="146"/>
        <v>0</v>
      </c>
      <c r="W785" s="7">
        <f t="shared" ca="1" si="147"/>
        <v>28.135800000000003</v>
      </c>
      <c r="X785" s="5" t="str">
        <f t="shared" ca="1" si="155"/>
        <v>Instagram</v>
      </c>
      <c r="Y785" s="78">
        <f>IF(COUNTIF($C$1:C784,B784)=1,10,"")</f>
        <v>10</v>
      </c>
    </row>
    <row r="786" spans="1:25" x14ac:dyDescent="0.3">
      <c r="A786" s="75">
        <v>785</v>
      </c>
      <c r="B786" s="6">
        <v>46074</v>
      </c>
      <c r="C786" s="6">
        <v>46079</v>
      </c>
      <c r="D786" s="17" t="str">
        <f t="shared" si="148"/>
        <v>February</v>
      </c>
      <c r="E786" s="5" t="str">
        <f t="shared" ca="1" si="149"/>
        <v>STU-513</v>
      </c>
      <c r="F786" s="5" t="str">
        <f ca="1">IF(COUNTIF($E$2:E786,E786)=1,"New Customer","Returning Customer")</f>
        <v>Returning Customer</v>
      </c>
      <c r="G786" s="5" t="str">
        <f t="shared" ca="1" si="150"/>
        <v>Not specified</v>
      </c>
      <c r="H786" s="5" t="s">
        <v>142</v>
      </c>
      <c r="I786" s="5" t="str" cm="1">
        <f t="array" aca="1" ref="I786" ca="1">INDEX(Courses!$B$9:$B$16,RANDBETWEEN(1,8))</f>
        <v>Excel Basics</v>
      </c>
      <c r="J786" s="5" t="str">
        <f ca="1">VLOOKUP(I786,Courses!$B$9:$C$16,2,0)</f>
        <v>Microsoft Office</v>
      </c>
      <c r="K786" s="7">
        <f ca="1">VLOOKUP(I786,Courses!$B$9:$D$16,3,0)</f>
        <v>29</v>
      </c>
      <c r="L786" s="5" t="str">
        <f t="shared" ca="1" si="151"/>
        <v>Refunded</v>
      </c>
      <c r="M786" s="8" t="str" cm="1">
        <f t="array" aca="1" ref="M786" ca="1">INDEX('Payment Method'!$A$8:$A$12,RANDBETWEEN(1,5))</f>
        <v>Visa Debit</v>
      </c>
      <c r="N786" s="7">
        <f>IFERROR(SUMIF(Holiday!$A$8:$A$11,B786,Holiday!$C$8:$C$11),0)</f>
        <v>0</v>
      </c>
      <c r="O786" s="7">
        <f t="shared" ca="1" si="152"/>
        <v>29</v>
      </c>
      <c r="P786" s="19">
        <f t="shared" ca="1" si="153"/>
        <v>28.42</v>
      </c>
      <c r="Q786" s="7">
        <f t="shared" ca="1" si="154"/>
        <v>0</v>
      </c>
      <c r="R786" s="8">
        <f ca="1">VLOOKUP(M786,'Payment Method'!$A$8:$B$12,2,0)</f>
        <v>0.02</v>
      </c>
      <c r="S786" s="9">
        <f t="shared" ca="1" si="144"/>
        <v>0.57999999999999829</v>
      </c>
      <c r="T786" s="8">
        <v>0.01</v>
      </c>
      <c r="U786" s="9">
        <f t="shared" ca="1" si="145"/>
        <v>0.28419999999999845</v>
      </c>
      <c r="V786" s="7">
        <f t="shared" ca="1" si="146"/>
        <v>28.135800000000003</v>
      </c>
      <c r="W786" s="7">
        <f t="shared" ca="1" si="147"/>
        <v>0</v>
      </c>
      <c r="X786" s="5" t="str">
        <f t="shared" ca="1" si="155"/>
        <v>Tiktok</v>
      </c>
      <c r="Y786" s="78" t="str">
        <f>IF(COUNTIF($C$1:C785,B785)=1,10,"")</f>
        <v/>
      </c>
    </row>
    <row r="787" spans="1:25" x14ac:dyDescent="0.3">
      <c r="A787" s="76">
        <v>786</v>
      </c>
      <c r="B787" s="6">
        <v>46115</v>
      </c>
      <c r="C787" s="6">
        <v>46115</v>
      </c>
      <c r="D787" s="17" t="str">
        <f t="shared" si="148"/>
        <v>April</v>
      </c>
      <c r="E787" s="5" t="str">
        <f t="shared" ca="1" si="149"/>
        <v>STU-787</v>
      </c>
      <c r="F787" s="5" t="str">
        <f ca="1">IF(COUNTIF($E$2:E787,E787)=1,"New Customer","Returning Customer")</f>
        <v>Returning Customer</v>
      </c>
      <c r="G787" s="5" t="str">
        <f t="shared" ca="1" si="150"/>
        <v>Female</v>
      </c>
      <c r="H787" s="5" t="s">
        <v>140</v>
      </c>
      <c r="I787" s="5" t="str" cm="1">
        <f t="array" aca="1" ref="I787" ca="1">INDEX(Courses!$B$9:$B$16,RANDBETWEEN(1,8))</f>
        <v>Power BI</v>
      </c>
      <c r="J787" s="5" t="str">
        <f ca="1">VLOOKUP(I787,Courses!$B$9:$C$16,2,0)</f>
        <v>Data Analytics</v>
      </c>
      <c r="K787" s="7">
        <f ca="1">VLOOKUP(I787,Courses!$B$9:$D$16,3,0)</f>
        <v>59</v>
      </c>
      <c r="L787" s="5" t="str">
        <f t="shared" ca="1" si="151"/>
        <v>Pending</v>
      </c>
      <c r="M787" s="8" t="str" cm="1">
        <f t="array" aca="1" ref="M787" ca="1">INDEX('Payment Method'!$A$8:$A$12,RANDBETWEEN(1,5))</f>
        <v>Mastercard Credit</v>
      </c>
      <c r="N787" s="7">
        <f>IFERROR(SUMIF(Holiday!$A$8:$A$11,B787,Holiday!$C$8:$C$11),0)</f>
        <v>0</v>
      </c>
      <c r="O787" s="7">
        <f t="shared" ca="1" si="152"/>
        <v>59</v>
      </c>
      <c r="P787" s="19">
        <f t="shared" ca="1" si="153"/>
        <v>56.935000000000002</v>
      </c>
      <c r="Q787" s="7">
        <f t="shared" ca="1" si="154"/>
        <v>56.365650000000002</v>
      </c>
      <c r="R787" s="8">
        <f ca="1">VLOOKUP(M787,'Payment Method'!$A$8:$B$12,2,0)</f>
        <v>3.5000000000000003E-2</v>
      </c>
      <c r="S787" s="9">
        <f t="shared" ca="1" si="144"/>
        <v>2.0649999999999977</v>
      </c>
      <c r="T787" s="8">
        <v>0.01</v>
      </c>
      <c r="U787" s="9">
        <f t="shared" ca="1" si="145"/>
        <v>0.56935000000000002</v>
      </c>
      <c r="V787" s="7">
        <f t="shared" ca="1" si="146"/>
        <v>0</v>
      </c>
      <c r="W787" s="7">
        <f t="shared" ca="1" si="147"/>
        <v>0</v>
      </c>
      <c r="X787" s="5" t="str">
        <f t="shared" ca="1" si="155"/>
        <v>Facebook</v>
      </c>
      <c r="Y787" s="78" t="str">
        <f>IF(COUNTIF($C$1:C786,B786)=1,10,"")</f>
        <v/>
      </c>
    </row>
    <row r="788" spans="1:25" x14ac:dyDescent="0.3">
      <c r="A788" s="75">
        <v>787</v>
      </c>
      <c r="B788" s="6">
        <v>46139</v>
      </c>
      <c r="C788" s="6">
        <v>46144</v>
      </c>
      <c r="D788" s="17" t="str">
        <f t="shared" si="148"/>
        <v>May</v>
      </c>
      <c r="E788" s="5" t="str">
        <f t="shared" ca="1" si="149"/>
        <v>STU-570</v>
      </c>
      <c r="F788" s="5" t="str">
        <f ca="1">IF(COUNTIF($E$2:E788,E788)=1,"New Customer","Returning Customer")</f>
        <v>Returning Customer</v>
      </c>
      <c r="G788" s="5" t="str">
        <f t="shared" ca="1" si="150"/>
        <v>Female</v>
      </c>
      <c r="H788" s="5" t="s">
        <v>142</v>
      </c>
      <c r="I788" s="5" t="str" cm="1">
        <f t="array" aca="1" ref="I788" ca="1">INDEX(Courses!$B$9:$B$16,RANDBETWEEN(1,8))</f>
        <v>SQL</v>
      </c>
      <c r="J788" s="5" t="str">
        <f ca="1">VLOOKUP(I788,Courses!$B$9:$C$16,2,0)</f>
        <v>Data Analytics</v>
      </c>
      <c r="K788" s="7">
        <f ca="1">VLOOKUP(I788,Courses!$B$9:$D$16,3,0)</f>
        <v>99</v>
      </c>
      <c r="L788" s="5" t="str">
        <f t="shared" ca="1" si="151"/>
        <v>Paid</v>
      </c>
      <c r="M788" s="8" t="str" cm="1">
        <f t="array" aca="1" ref="M788" ca="1">INDEX('Payment Method'!$A$8:$A$12,RANDBETWEEN(1,5))</f>
        <v>Bank Transfer</v>
      </c>
      <c r="N788" s="7">
        <f>IFERROR(SUMIF(Holiday!$A$8:$A$11,B788,Holiday!$C$8:$C$11),0)</f>
        <v>0</v>
      </c>
      <c r="O788" s="7">
        <f t="shared" ca="1" si="152"/>
        <v>99</v>
      </c>
      <c r="P788" s="19">
        <f t="shared" ca="1" si="153"/>
        <v>99</v>
      </c>
      <c r="Q788" s="7">
        <f t="shared" ca="1" si="154"/>
        <v>0</v>
      </c>
      <c r="R788" s="8">
        <f ca="1">VLOOKUP(M788,'Payment Method'!$A$8:$B$12,2,0)</f>
        <v>0</v>
      </c>
      <c r="S788" s="9">
        <f t="shared" ca="1" si="144"/>
        <v>0</v>
      </c>
      <c r="T788" s="8">
        <v>0.01</v>
      </c>
      <c r="U788" s="9">
        <f t="shared" ca="1" si="145"/>
        <v>0.98999999999999488</v>
      </c>
      <c r="V788" s="7">
        <f t="shared" ca="1" si="146"/>
        <v>0</v>
      </c>
      <c r="W788" s="7">
        <f t="shared" ca="1" si="147"/>
        <v>98.01</v>
      </c>
      <c r="X788" s="5" t="str">
        <f t="shared" ca="1" si="155"/>
        <v>Tiktok</v>
      </c>
      <c r="Y788" s="78" t="str">
        <f>IF(COUNTIF($C$1:C787,B787)=1,10,"")</f>
        <v/>
      </c>
    </row>
    <row r="789" spans="1:25" x14ac:dyDescent="0.3">
      <c r="A789" s="76">
        <v>788</v>
      </c>
      <c r="B789" s="6">
        <v>46041</v>
      </c>
      <c r="C789" s="6">
        <v>46046</v>
      </c>
      <c r="D789" s="17" t="str">
        <f t="shared" si="148"/>
        <v>January</v>
      </c>
      <c r="E789" s="5" t="str">
        <f t="shared" ca="1" si="149"/>
        <v>STU-804</v>
      </c>
      <c r="F789" s="5" t="str">
        <f ca="1">IF(COUNTIF($E$2:E789,E789)=1,"New Customer","Returning Customer")</f>
        <v>Returning Customer</v>
      </c>
      <c r="G789" s="5" t="str">
        <f t="shared" ca="1" si="150"/>
        <v>Male</v>
      </c>
      <c r="H789" s="5" t="s">
        <v>137</v>
      </c>
      <c r="I789" s="5" t="str" cm="1">
        <f t="array" aca="1" ref="I789" ca="1">INDEX(Courses!$B$9:$B$16,RANDBETWEEN(1,8))</f>
        <v>Complete Excel Course</v>
      </c>
      <c r="J789" s="5" t="str">
        <f ca="1">VLOOKUP(I789,Courses!$B$9:$C$16,2,0)</f>
        <v>Microsoft Office</v>
      </c>
      <c r="K789" s="7">
        <f ca="1">VLOOKUP(I789,Courses!$B$9:$D$16,3,0)</f>
        <v>59</v>
      </c>
      <c r="L789" s="5" t="str">
        <f t="shared" ca="1" si="151"/>
        <v>Paid</v>
      </c>
      <c r="M789" s="8" t="str" cm="1">
        <f t="array" aca="1" ref="M789" ca="1">INDEX('Payment Method'!$A$8:$A$12,RANDBETWEEN(1,5))</f>
        <v>Visa Debit</v>
      </c>
      <c r="N789" s="7">
        <f>IFERROR(SUMIF(Holiday!$A$8:$A$11,B789,Holiday!$C$8:$C$11),0)</f>
        <v>0</v>
      </c>
      <c r="O789" s="7">
        <f t="shared" ca="1" si="152"/>
        <v>59</v>
      </c>
      <c r="P789" s="19">
        <f t="shared" ca="1" si="153"/>
        <v>57.82</v>
      </c>
      <c r="Q789" s="7">
        <f t="shared" ca="1" si="154"/>
        <v>0</v>
      </c>
      <c r="R789" s="8">
        <f ca="1">VLOOKUP(M789,'Payment Method'!$A$8:$B$12,2,0)</f>
        <v>0.02</v>
      </c>
      <c r="S789" s="9">
        <f t="shared" ca="1" si="144"/>
        <v>1.1799999999999997</v>
      </c>
      <c r="T789" s="8">
        <v>0.01</v>
      </c>
      <c r="U789" s="9">
        <f t="shared" ca="1" si="145"/>
        <v>0.57820000000000249</v>
      </c>
      <c r="V789" s="7">
        <f t="shared" ca="1" si="146"/>
        <v>0</v>
      </c>
      <c r="W789" s="7">
        <f t="shared" ca="1" si="147"/>
        <v>57.241799999999998</v>
      </c>
      <c r="X789" s="5" t="str">
        <f t="shared" ca="1" si="155"/>
        <v>Instagram</v>
      </c>
      <c r="Y789" s="78" t="str">
        <f>IF(COUNTIF($C$1:C788,B788)=1,10,"")</f>
        <v/>
      </c>
    </row>
    <row r="790" spans="1:25" x14ac:dyDescent="0.3">
      <c r="A790" s="75">
        <v>789</v>
      </c>
      <c r="B790" s="6">
        <v>46087</v>
      </c>
      <c r="C790" s="6">
        <v>46092</v>
      </c>
      <c r="D790" s="17" t="str">
        <f t="shared" si="148"/>
        <v>March</v>
      </c>
      <c r="E790" s="5" t="str">
        <f t="shared" ca="1" si="149"/>
        <v>STU-298</v>
      </c>
      <c r="F790" s="5" t="str">
        <f ca="1">IF(COUNTIF($E$2:E790,E790)=1,"New Customer","Returning Customer")</f>
        <v>Returning Customer</v>
      </c>
      <c r="G790" s="5" t="str">
        <f t="shared" ca="1" si="150"/>
        <v>Female</v>
      </c>
      <c r="H790" s="5" t="s">
        <v>138</v>
      </c>
      <c r="I790" s="5" t="str" cm="1">
        <f t="array" aca="1" ref="I790" ca="1">INDEX(Courses!$B$9:$B$16,RANDBETWEEN(1,8))</f>
        <v>SQL</v>
      </c>
      <c r="J790" s="5" t="str">
        <f ca="1">VLOOKUP(I790,Courses!$B$9:$C$16,2,0)</f>
        <v>Data Analytics</v>
      </c>
      <c r="K790" s="7">
        <f ca="1">VLOOKUP(I790,Courses!$B$9:$D$16,3,0)</f>
        <v>99</v>
      </c>
      <c r="L790" s="5" t="str">
        <f t="shared" ca="1" si="151"/>
        <v>Refunded</v>
      </c>
      <c r="M790" s="8" t="str" cm="1">
        <f t="array" aca="1" ref="M790" ca="1">INDEX('Payment Method'!$A$8:$A$12,RANDBETWEEN(1,5))</f>
        <v>Bank Transfer</v>
      </c>
      <c r="N790" s="7">
        <f>IFERROR(SUMIF(Holiday!$A$8:$A$11,B790,Holiday!$C$8:$C$11),0)</f>
        <v>0</v>
      </c>
      <c r="O790" s="7">
        <f t="shared" ca="1" si="152"/>
        <v>99</v>
      </c>
      <c r="P790" s="19">
        <f t="shared" ca="1" si="153"/>
        <v>99</v>
      </c>
      <c r="Q790" s="7">
        <f t="shared" ca="1" si="154"/>
        <v>0</v>
      </c>
      <c r="R790" s="8">
        <f ca="1">VLOOKUP(M790,'Payment Method'!$A$8:$B$12,2,0)</f>
        <v>0</v>
      </c>
      <c r="S790" s="9">
        <f t="shared" ca="1" si="144"/>
        <v>0</v>
      </c>
      <c r="T790" s="8">
        <v>0.01</v>
      </c>
      <c r="U790" s="9">
        <f t="shared" ca="1" si="145"/>
        <v>0.98999999999999488</v>
      </c>
      <c r="V790" s="7">
        <f t="shared" ca="1" si="146"/>
        <v>98.01</v>
      </c>
      <c r="W790" s="7">
        <f t="shared" ca="1" si="147"/>
        <v>0</v>
      </c>
      <c r="X790" s="5" t="str">
        <f t="shared" ca="1" si="155"/>
        <v>Tiktok</v>
      </c>
      <c r="Y790" s="78" t="str">
        <f>IF(COUNTIF($C$1:C789,B789)=1,10,"")</f>
        <v/>
      </c>
    </row>
    <row r="791" spans="1:25" x14ac:dyDescent="0.3">
      <c r="A791" s="76">
        <v>790</v>
      </c>
      <c r="B791" s="6">
        <v>46206</v>
      </c>
      <c r="C791" s="6">
        <v>46209</v>
      </c>
      <c r="D791" s="17" t="str">
        <f t="shared" si="148"/>
        <v>July</v>
      </c>
      <c r="E791" s="5" t="str">
        <f t="shared" ca="1" si="149"/>
        <v>STU-196</v>
      </c>
      <c r="F791" s="5" t="str">
        <f ca="1">IF(COUNTIF($E$2:E791,E791)=1,"New Customer","Returning Customer")</f>
        <v>New Customer</v>
      </c>
      <c r="G791" s="5" t="str">
        <f t="shared" ca="1" si="150"/>
        <v>Male</v>
      </c>
      <c r="H791" s="5" t="s">
        <v>135</v>
      </c>
      <c r="I791" s="5" t="str" cm="1">
        <f t="array" aca="1" ref="I791" ca="1">INDEX(Courses!$B$9:$B$16,RANDBETWEEN(1,8))</f>
        <v>Excel Basics</v>
      </c>
      <c r="J791" s="5" t="str">
        <f ca="1">VLOOKUP(I791,Courses!$B$9:$C$16,2,0)</f>
        <v>Microsoft Office</v>
      </c>
      <c r="K791" s="7">
        <f ca="1">VLOOKUP(I791,Courses!$B$9:$D$16,3,0)</f>
        <v>29</v>
      </c>
      <c r="L791" s="5" t="str">
        <f t="shared" ca="1" si="151"/>
        <v>Paid</v>
      </c>
      <c r="M791" s="8" t="str" cm="1">
        <f t="array" aca="1" ref="M791" ca="1">INDEX('Payment Method'!$A$8:$A$12,RANDBETWEEN(1,5))</f>
        <v>Visa Debit</v>
      </c>
      <c r="N791" s="7">
        <f>IFERROR(SUMIF(Holiday!$A$8:$A$11,B791,Holiday!$C$8:$C$11),0)</f>
        <v>0</v>
      </c>
      <c r="O791" s="7">
        <f t="shared" ca="1" si="152"/>
        <v>29</v>
      </c>
      <c r="P791" s="19">
        <f t="shared" ca="1" si="153"/>
        <v>28.42</v>
      </c>
      <c r="Q791" s="7">
        <f t="shared" ca="1" si="154"/>
        <v>0</v>
      </c>
      <c r="R791" s="8">
        <f ca="1">VLOOKUP(M791,'Payment Method'!$A$8:$B$12,2,0)</f>
        <v>0.02</v>
      </c>
      <c r="S791" s="9">
        <f t="shared" ca="1" si="144"/>
        <v>0.57999999999999829</v>
      </c>
      <c r="T791" s="8">
        <v>0.01</v>
      </c>
      <c r="U791" s="9">
        <f t="shared" ca="1" si="145"/>
        <v>0.28419999999999845</v>
      </c>
      <c r="V791" s="7">
        <f t="shared" ca="1" si="146"/>
        <v>0</v>
      </c>
      <c r="W791" s="7">
        <f t="shared" ca="1" si="147"/>
        <v>28.135800000000003</v>
      </c>
      <c r="X791" s="5" t="str">
        <f t="shared" ca="1" si="155"/>
        <v>Facebook</v>
      </c>
      <c r="Y791" s="78" t="str">
        <f>IF(COUNTIF($C$1:C790,B790)=1,10,"")</f>
        <v/>
      </c>
    </row>
    <row r="792" spans="1:25" x14ac:dyDescent="0.3">
      <c r="A792" s="75">
        <v>791</v>
      </c>
      <c r="B792" s="6">
        <v>46193</v>
      </c>
      <c r="C792" s="6">
        <v>46194</v>
      </c>
      <c r="D792" s="17" t="str">
        <f t="shared" si="148"/>
        <v>June</v>
      </c>
      <c r="E792" s="5" t="str">
        <f t="shared" ca="1" si="149"/>
        <v>STU-552</v>
      </c>
      <c r="F792" s="5" t="str">
        <f ca="1">IF(COUNTIF($E$2:E792,E792)=1,"New Customer","Returning Customer")</f>
        <v>Returning Customer</v>
      </c>
      <c r="G792" s="5" t="str">
        <f t="shared" ca="1" si="150"/>
        <v>Female</v>
      </c>
      <c r="H792" s="5" t="s">
        <v>137</v>
      </c>
      <c r="I792" s="5" t="str" cm="1">
        <f t="array" aca="1" ref="I792" ca="1">INDEX(Courses!$B$9:$B$16,RANDBETWEEN(1,8))</f>
        <v>Power BI</v>
      </c>
      <c r="J792" s="5" t="str">
        <f ca="1">VLOOKUP(I792,Courses!$B$9:$C$16,2,0)</f>
        <v>Data Analytics</v>
      </c>
      <c r="K792" s="7">
        <f ca="1">VLOOKUP(I792,Courses!$B$9:$D$16,3,0)</f>
        <v>59</v>
      </c>
      <c r="L792" s="5" t="str">
        <f t="shared" ca="1" si="151"/>
        <v>Paid</v>
      </c>
      <c r="M792" s="8" t="str" cm="1">
        <f t="array" aca="1" ref="M792" ca="1">INDEX('Payment Method'!$A$8:$A$12,RANDBETWEEN(1,5))</f>
        <v>Bank Transfer</v>
      </c>
      <c r="N792" s="7">
        <f>IFERROR(SUMIF(Holiday!$A$8:$A$11,B792,Holiday!$C$8:$C$11),0)</f>
        <v>0</v>
      </c>
      <c r="O792" s="7">
        <f t="shared" ca="1" si="152"/>
        <v>59</v>
      </c>
      <c r="P792" s="19">
        <f t="shared" ca="1" si="153"/>
        <v>59</v>
      </c>
      <c r="Q792" s="7">
        <f t="shared" ca="1" si="154"/>
        <v>0</v>
      </c>
      <c r="R792" s="8">
        <f ca="1">VLOOKUP(M792,'Payment Method'!$A$8:$B$12,2,0)</f>
        <v>0</v>
      </c>
      <c r="S792" s="9">
        <f t="shared" ca="1" si="144"/>
        <v>0</v>
      </c>
      <c r="T792" s="8">
        <v>0.01</v>
      </c>
      <c r="U792" s="9">
        <f t="shared" ca="1" si="145"/>
        <v>0.59000000000000341</v>
      </c>
      <c r="V792" s="7">
        <f t="shared" ca="1" si="146"/>
        <v>0</v>
      </c>
      <c r="W792" s="7">
        <f t="shared" ca="1" si="147"/>
        <v>58.41</v>
      </c>
      <c r="X792" s="5" t="str">
        <f t="shared" ca="1" si="155"/>
        <v>Tiktok</v>
      </c>
      <c r="Y792" s="78" t="str">
        <f>IF(COUNTIF($C$1:C791,B791)=1,10,"")</f>
        <v/>
      </c>
    </row>
    <row r="793" spans="1:25" x14ac:dyDescent="0.3">
      <c r="A793" s="76">
        <v>792</v>
      </c>
      <c r="B793" s="6">
        <v>46114</v>
      </c>
      <c r="C793" s="6">
        <v>46114</v>
      </c>
      <c r="D793" s="17" t="str">
        <f t="shared" si="148"/>
        <v>April</v>
      </c>
      <c r="E793" s="5" t="str">
        <f t="shared" ca="1" si="149"/>
        <v>STU-592</v>
      </c>
      <c r="F793" s="5" t="str">
        <f ca="1">IF(COUNTIF($E$2:E793,E793)=1,"New Customer","Returning Customer")</f>
        <v>New Customer</v>
      </c>
      <c r="G793" s="5" t="str">
        <f t="shared" ca="1" si="150"/>
        <v>Not specified</v>
      </c>
      <c r="H793" s="5" t="s">
        <v>136</v>
      </c>
      <c r="I793" s="5" t="str" cm="1">
        <f t="array" aca="1" ref="I793" ca="1">INDEX(Courses!$B$9:$B$16,RANDBETWEEN(1,8))</f>
        <v>Tax Code</v>
      </c>
      <c r="J793" s="5" t="str">
        <f ca="1">VLOOKUP(I793,Courses!$B$9:$C$16,2,0)</f>
        <v>Finance &amp; Taxation</v>
      </c>
      <c r="K793" s="7">
        <f ca="1">VLOOKUP(I793,Courses!$B$9:$D$16,3,0)</f>
        <v>59</v>
      </c>
      <c r="L793" s="5" t="str">
        <f t="shared" ca="1" si="151"/>
        <v>Paid</v>
      </c>
      <c r="M793" s="8" t="str" cm="1">
        <f t="array" aca="1" ref="M793" ca="1">INDEX('Payment Method'!$A$8:$A$12,RANDBETWEEN(1,5))</f>
        <v>Visa Debit</v>
      </c>
      <c r="N793" s="7">
        <f>IFERROR(SUMIF(Holiday!$A$8:$A$11,B793,Holiday!$C$8:$C$11),0)</f>
        <v>0</v>
      </c>
      <c r="O793" s="7">
        <f t="shared" ca="1" si="152"/>
        <v>59</v>
      </c>
      <c r="P793" s="19">
        <f t="shared" ca="1" si="153"/>
        <v>57.82</v>
      </c>
      <c r="Q793" s="7">
        <f t="shared" ca="1" si="154"/>
        <v>0</v>
      </c>
      <c r="R793" s="8">
        <f ca="1">VLOOKUP(M793,'Payment Method'!$A$8:$B$12,2,0)</f>
        <v>0.02</v>
      </c>
      <c r="S793" s="9">
        <f t="shared" ca="1" si="144"/>
        <v>1.1799999999999997</v>
      </c>
      <c r="T793" s="8">
        <v>0.01</v>
      </c>
      <c r="U793" s="9">
        <f t="shared" ca="1" si="145"/>
        <v>0.57820000000000249</v>
      </c>
      <c r="V793" s="7">
        <f t="shared" ca="1" si="146"/>
        <v>0</v>
      </c>
      <c r="W793" s="7">
        <f t="shared" ca="1" si="147"/>
        <v>57.241799999999998</v>
      </c>
      <c r="X793" s="5" t="str">
        <f t="shared" ca="1" si="155"/>
        <v>Instagram</v>
      </c>
      <c r="Y793" s="78" t="str">
        <f>IF(COUNTIF($C$1:C792,B792)=1,10,"")</f>
        <v/>
      </c>
    </row>
    <row r="794" spans="1:25" x14ac:dyDescent="0.3">
      <c r="A794" s="75">
        <v>793</v>
      </c>
      <c r="B794" s="6">
        <v>46044</v>
      </c>
      <c r="C794" s="6">
        <v>46044</v>
      </c>
      <c r="D794" s="17" t="str">
        <f t="shared" si="148"/>
        <v>January</v>
      </c>
      <c r="E794" s="5" t="str">
        <f t="shared" ca="1" si="149"/>
        <v>STU-739</v>
      </c>
      <c r="F794" s="5" t="str">
        <f ca="1">IF(COUNTIF($E$2:E794,E794)=1,"New Customer","Returning Customer")</f>
        <v>New Customer</v>
      </c>
      <c r="G794" s="5" t="str">
        <f t="shared" ca="1" si="150"/>
        <v>Female</v>
      </c>
      <c r="H794" s="5" t="s">
        <v>138</v>
      </c>
      <c r="I794" s="5" t="str" cm="1">
        <f t="array" aca="1" ref="I794" ca="1">INDEX(Courses!$B$9:$B$16,RANDBETWEEN(1,8))</f>
        <v>Complete Excel Course</v>
      </c>
      <c r="J794" s="5" t="str">
        <f ca="1">VLOOKUP(I794,Courses!$B$9:$C$16,2,0)</f>
        <v>Microsoft Office</v>
      </c>
      <c r="K794" s="7">
        <f ca="1">VLOOKUP(I794,Courses!$B$9:$D$16,3,0)</f>
        <v>59</v>
      </c>
      <c r="L794" s="5" t="str">
        <f t="shared" ca="1" si="151"/>
        <v>Paid</v>
      </c>
      <c r="M794" s="8" t="str" cm="1">
        <f t="array" aca="1" ref="M794" ca="1">INDEX('Payment Method'!$A$8:$A$12,RANDBETWEEN(1,5))</f>
        <v>Mastercard Debit</v>
      </c>
      <c r="N794" s="7">
        <f>IFERROR(SUMIF(Holiday!$A$8:$A$11,B794,Holiday!$C$8:$C$11),0)</f>
        <v>0</v>
      </c>
      <c r="O794" s="7">
        <f t="shared" ca="1" si="152"/>
        <v>59</v>
      </c>
      <c r="P794" s="19">
        <f t="shared" ca="1" si="153"/>
        <v>57.82</v>
      </c>
      <c r="Q794" s="7">
        <f t="shared" ca="1" si="154"/>
        <v>0</v>
      </c>
      <c r="R794" s="8">
        <f ca="1">VLOOKUP(M794,'Payment Method'!$A$8:$B$12,2,0)</f>
        <v>0.02</v>
      </c>
      <c r="S794" s="9">
        <f t="shared" ca="1" si="144"/>
        <v>1.1799999999999997</v>
      </c>
      <c r="T794" s="8">
        <v>0.01</v>
      </c>
      <c r="U794" s="9">
        <f t="shared" ca="1" si="145"/>
        <v>0.57820000000000249</v>
      </c>
      <c r="V794" s="7">
        <f t="shared" ca="1" si="146"/>
        <v>0</v>
      </c>
      <c r="W794" s="7">
        <f t="shared" ca="1" si="147"/>
        <v>57.241799999999998</v>
      </c>
      <c r="X794" s="5" t="str">
        <f t="shared" ca="1" si="155"/>
        <v>Tiktok</v>
      </c>
      <c r="Y794" s="78" t="str">
        <f>IF(COUNTIF($C$1:C793,B793)=1,10,"")</f>
        <v/>
      </c>
    </row>
    <row r="795" spans="1:25" x14ac:dyDescent="0.3">
      <c r="A795" s="76">
        <v>794</v>
      </c>
      <c r="B795" s="6">
        <v>46113</v>
      </c>
      <c r="C795" s="6">
        <v>46113</v>
      </c>
      <c r="D795" s="17" t="str">
        <f t="shared" si="148"/>
        <v>April</v>
      </c>
      <c r="E795" s="5" t="str">
        <f t="shared" ca="1" si="149"/>
        <v>STU-53</v>
      </c>
      <c r="F795" s="5" t="str">
        <f ca="1">IF(COUNTIF($E$2:E795,E795)=1,"New Customer","Returning Customer")</f>
        <v>Returning Customer</v>
      </c>
      <c r="G795" s="5" t="str">
        <f t="shared" ca="1" si="150"/>
        <v>Male</v>
      </c>
      <c r="H795" s="5" t="s">
        <v>142</v>
      </c>
      <c r="I795" s="5" t="str" cm="1">
        <f t="array" aca="1" ref="I795" ca="1">INDEX(Courses!$B$9:$B$16,RANDBETWEEN(1,8))</f>
        <v>Tax Code</v>
      </c>
      <c r="J795" s="5" t="str">
        <f ca="1">VLOOKUP(I795,Courses!$B$9:$C$16,2,0)</f>
        <v>Finance &amp; Taxation</v>
      </c>
      <c r="K795" s="7">
        <f ca="1">VLOOKUP(I795,Courses!$B$9:$D$16,3,0)</f>
        <v>59</v>
      </c>
      <c r="L795" s="5" t="str">
        <f t="shared" ca="1" si="151"/>
        <v>Refunded</v>
      </c>
      <c r="M795" s="8" t="str" cm="1">
        <f t="array" aca="1" ref="M795" ca="1">INDEX('Payment Method'!$A$8:$A$12,RANDBETWEEN(1,5))</f>
        <v>Visa Debit</v>
      </c>
      <c r="N795" s="7">
        <f>IFERROR(SUMIF(Holiday!$A$8:$A$11,B795,Holiday!$C$8:$C$11),0)</f>
        <v>0</v>
      </c>
      <c r="O795" s="7">
        <f t="shared" ca="1" si="152"/>
        <v>59</v>
      </c>
      <c r="P795" s="19">
        <f t="shared" ca="1" si="153"/>
        <v>57.82</v>
      </c>
      <c r="Q795" s="7">
        <f t="shared" ca="1" si="154"/>
        <v>0</v>
      </c>
      <c r="R795" s="8">
        <f ca="1">VLOOKUP(M795,'Payment Method'!$A$8:$B$12,2,0)</f>
        <v>0.02</v>
      </c>
      <c r="S795" s="9">
        <f t="shared" ca="1" si="144"/>
        <v>1.1799999999999997</v>
      </c>
      <c r="T795" s="8">
        <v>0.01</v>
      </c>
      <c r="U795" s="9">
        <f t="shared" ca="1" si="145"/>
        <v>0.57820000000000249</v>
      </c>
      <c r="V795" s="7">
        <f t="shared" ca="1" si="146"/>
        <v>57.241799999999998</v>
      </c>
      <c r="W795" s="7">
        <f t="shared" ca="1" si="147"/>
        <v>0</v>
      </c>
      <c r="X795" s="5" t="str">
        <f t="shared" ca="1" si="155"/>
        <v>Tiktok</v>
      </c>
      <c r="Y795" s="78" t="str">
        <f>IF(COUNTIF($C$1:C794,B794)=1,10,"")</f>
        <v/>
      </c>
    </row>
    <row r="796" spans="1:25" x14ac:dyDescent="0.3">
      <c r="A796" s="75">
        <v>795</v>
      </c>
      <c r="B796" s="6">
        <v>46042</v>
      </c>
      <c r="C796" s="6">
        <v>46043</v>
      </c>
      <c r="D796" s="17" t="str">
        <f t="shared" si="148"/>
        <v>January</v>
      </c>
      <c r="E796" s="5" t="str">
        <f t="shared" ca="1" si="149"/>
        <v>STU-178</v>
      </c>
      <c r="F796" s="5" t="str">
        <f ca="1">IF(COUNTIF($E$2:E796,E796)=1,"New Customer","Returning Customer")</f>
        <v>Returning Customer</v>
      </c>
      <c r="G796" s="5" t="str">
        <f t="shared" ca="1" si="150"/>
        <v>Not specified</v>
      </c>
      <c r="H796" s="5" t="s">
        <v>135</v>
      </c>
      <c r="I796" s="5" t="str" cm="1">
        <f t="array" aca="1" ref="I796" ca="1">INDEX(Courses!$B$9:$B$16,RANDBETWEEN(1,8))</f>
        <v>Tax Code</v>
      </c>
      <c r="J796" s="5" t="str">
        <f ca="1">VLOOKUP(I796,Courses!$B$9:$C$16,2,0)</f>
        <v>Finance &amp; Taxation</v>
      </c>
      <c r="K796" s="7">
        <f ca="1">VLOOKUP(I796,Courses!$B$9:$D$16,3,0)</f>
        <v>59</v>
      </c>
      <c r="L796" s="5" t="str">
        <f t="shared" ca="1" si="151"/>
        <v>Paid</v>
      </c>
      <c r="M796" s="8" t="str" cm="1">
        <f t="array" aca="1" ref="M796" ca="1">INDEX('Payment Method'!$A$8:$A$12,RANDBETWEEN(1,5))</f>
        <v>Visa Credit</v>
      </c>
      <c r="N796" s="7">
        <f>IFERROR(SUMIF(Holiday!$A$8:$A$11,B796,Holiday!$C$8:$C$11),0)</f>
        <v>0</v>
      </c>
      <c r="O796" s="7">
        <f t="shared" ca="1" si="152"/>
        <v>59</v>
      </c>
      <c r="P796" s="19">
        <f t="shared" ca="1" si="153"/>
        <v>56.935000000000002</v>
      </c>
      <c r="Q796" s="7">
        <f t="shared" ca="1" si="154"/>
        <v>0</v>
      </c>
      <c r="R796" s="8">
        <f ca="1">VLOOKUP(M796,'Payment Method'!$A$8:$B$12,2,0)</f>
        <v>3.5000000000000003E-2</v>
      </c>
      <c r="S796" s="9">
        <f t="shared" ca="1" si="144"/>
        <v>2.0649999999999977</v>
      </c>
      <c r="T796" s="8">
        <v>0.01</v>
      </c>
      <c r="U796" s="9">
        <f t="shared" ca="1" si="145"/>
        <v>0.56935000000000002</v>
      </c>
      <c r="V796" s="7">
        <f t="shared" ca="1" si="146"/>
        <v>0</v>
      </c>
      <c r="W796" s="7">
        <f t="shared" ca="1" si="147"/>
        <v>56.365650000000002</v>
      </c>
      <c r="X796" s="5" t="str">
        <f t="shared" ca="1" si="155"/>
        <v>Facebook</v>
      </c>
      <c r="Y796" s="78" t="str">
        <f>IF(COUNTIF($C$1:C795,B795)=1,10,"")</f>
        <v/>
      </c>
    </row>
    <row r="797" spans="1:25" x14ac:dyDescent="0.3">
      <c r="A797" s="76">
        <v>796</v>
      </c>
      <c r="B797" s="6">
        <v>46155</v>
      </c>
      <c r="C797" s="6">
        <v>46156</v>
      </c>
      <c r="D797" s="17" t="str">
        <f t="shared" si="148"/>
        <v>May</v>
      </c>
      <c r="E797" s="5" t="str">
        <f t="shared" ca="1" si="149"/>
        <v>STU-671</v>
      </c>
      <c r="F797" s="5" t="str">
        <f ca="1">IF(COUNTIF($E$2:E797,E797)=1,"New Customer","Returning Customer")</f>
        <v>Returning Customer</v>
      </c>
      <c r="G797" s="5" t="str">
        <f t="shared" ca="1" si="150"/>
        <v>Female</v>
      </c>
      <c r="H797" s="5" t="s">
        <v>140</v>
      </c>
      <c r="I797" s="5" t="str" cm="1">
        <f t="array" aca="1" ref="I797" ca="1">INDEX(Courses!$B$9:$B$16,RANDBETWEEN(1,8))</f>
        <v>Excel Basics</v>
      </c>
      <c r="J797" s="5" t="str">
        <f ca="1">VLOOKUP(I797,Courses!$B$9:$C$16,2,0)</f>
        <v>Microsoft Office</v>
      </c>
      <c r="K797" s="7">
        <f ca="1">VLOOKUP(I797,Courses!$B$9:$D$16,3,0)</f>
        <v>29</v>
      </c>
      <c r="L797" s="5" t="str">
        <f t="shared" ca="1" si="151"/>
        <v>Paid</v>
      </c>
      <c r="M797" s="8" t="str" cm="1">
        <f t="array" aca="1" ref="M797" ca="1">INDEX('Payment Method'!$A$8:$A$12,RANDBETWEEN(1,5))</f>
        <v>Visa Credit</v>
      </c>
      <c r="N797" s="7">
        <f>IFERROR(SUMIF(Holiday!$A$8:$A$11,B797,Holiday!$C$8:$C$11),0)</f>
        <v>0</v>
      </c>
      <c r="O797" s="7">
        <f t="shared" ca="1" si="152"/>
        <v>29</v>
      </c>
      <c r="P797" s="19">
        <f t="shared" ca="1" si="153"/>
        <v>27.984999999999999</v>
      </c>
      <c r="Q797" s="7">
        <f t="shared" ca="1" si="154"/>
        <v>0</v>
      </c>
      <c r="R797" s="8">
        <f ca="1">VLOOKUP(M797,'Payment Method'!$A$8:$B$12,2,0)</f>
        <v>3.5000000000000003E-2</v>
      </c>
      <c r="S797" s="9">
        <f t="shared" ca="1" si="144"/>
        <v>1.0150000000000006</v>
      </c>
      <c r="T797" s="8">
        <v>0.01</v>
      </c>
      <c r="U797" s="9">
        <f t="shared" ca="1" si="145"/>
        <v>0.27984999999999971</v>
      </c>
      <c r="V797" s="7">
        <f t="shared" ca="1" si="146"/>
        <v>0</v>
      </c>
      <c r="W797" s="7">
        <f t="shared" ca="1" si="147"/>
        <v>27.70515</v>
      </c>
      <c r="X797" s="5" t="str">
        <f t="shared" ca="1" si="155"/>
        <v>Tiktok</v>
      </c>
      <c r="Y797" s="78" t="str">
        <f>IF(COUNTIF($C$1:C796,B796)=1,10,"")</f>
        <v/>
      </c>
    </row>
    <row r="798" spans="1:25" x14ac:dyDescent="0.3">
      <c r="A798" s="75">
        <v>797</v>
      </c>
      <c r="B798" s="6">
        <v>46114</v>
      </c>
      <c r="C798" s="6">
        <v>46115</v>
      </c>
      <c r="D798" s="17" t="str">
        <f t="shared" si="148"/>
        <v>April</v>
      </c>
      <c r="E798" s="5" t="str">
        <f t="shared" ca="1" si="149"/>
        <v>STU-783</v>
      </c>
      <c r="F798" s="5" t="str">
        <f ca="1">IF(COUNTIF($E$2:E798,E798)=1,"New Customer","Returning Customer")</f>
        <v>Returning Customer</v>
      </c>
      <c r="G798" s="5" t="str">
        <f t="shared" ca="1" si="150"/>
        <v>Female</v>
      </c>
      <c r="H798" s="5" t="s">
        <v>137</v>
      </c>
      <c r="I798" s="5" t="str" cm="1">
        <f t="array" aca="1" ref="I798" ca="1">INDEX(Courses!$B$9:$B$16,RANDBETWEEN(1,8))</f>
        <v>Excel Basics</v>
      </c>
      <c r="J798" s="5" t="str">
        <f ca="1">VLOOKUP(I798,Courses!$B$9:$C$16,2,0)</f>
        <v>Microsoft Office</v>
      </c>
      <c r="K798" s="7">
        <f ca="1">VLOOKUP(I798,Courses!$B$9:$D$16,3,0)</f>
        <v>29</v>
      </c>
      <c r="L798" s="5" t="str">
        <f t="shared" ca="1" si="151"/>
        <v>Pending</v>
      </c>
      <c r="M798" s="8" t="str" cm="1">
        <f t="array" aca="1" ref="M798" ca="1">INDEX('Payment Method'!$A$8:$A$12,RANDBETWEEN(1,5))</f>
        <v>Visa Credit</v>
      </c>
      <c r="N798" s="7">
        <f>IFERROR(SUMIF(Holiday!$A$8:$A$11,B798,Holiday!$C$8:$C$11),0)</f>
        <v>0</v>
      </c>
      <c r="O798" s="7">
        <f t="shared" ca="1" si="152"/>
        <v>29</v>
      </c>
      <c r="P798" s="19">
        <f t="shared" ca="1" si="153"/>
        <v>27.984999999999999</v>
      </c>
      <c r="Q798" s="7">
        <f t="shared" ca="1" si="154"/>
        <v>27.70515</v>
      </c>
      <c r="R798" s="8">
        <f ca="1">VLOOKUP(M798,'Payment Method'!$A$8:$B$12,2,0)</f>
        <v>3.5000000000000003E-2</v>
      </c>
      <c r="S798" s="9">
        <f t="shared" ca="1" si="144"/>
        <v>1.0150000000000006</v>
      </c>
      <c r="T798" s="8">
        <v>0.01</v>
      </c>
      <c r="U798" s="9">
        <f t="shared" ca="1" si="145"/>
        <v>0.27984999999999971</v>
      </c>
      <c r="V798" s="7">
        <f t="shared" ca="1" si="146"/>
        <v>0</v>
      </c>
      <c r="W798" s="7">
        <f t="shared" ca="1" si="147"/>
        <v>0</v>
      </c>
      <c r="X798" s="5" t="str">
        <f t="shared" ca="1" si="155"/>
        <v>Tiktok</v>
      </c>
      <c r="Y798" s="78" t="str">
        <f>IF(COUNTIF($C$1:C797,B797)=1,10,"")</f>
        <v/>
      </c>
    </row>
    <row r="799" spans="1:25" x14ac:dyDescent="0.3">
      <c r="A799" s="76">
        <v>798</v>
      </c>
      <c r="B799" s="6">
        <v>46201</v>
      </c>
      <c r="C799" s="6">
        <v>46206</v>
      </c>
      <c r="D799" s="17" t="str">
        <f t="shared" si="148"/>
        <v>July</v>
      </c>
      <c r="E799" s="5" t="str">
        <f t="shared" ca="1" si="149"/>
        <v>STU-377</v>
      </c>
      <c r="F799" s="5" t="str">
        <f ca="1">IF(COUNTIF($E$2:E799,E799)=1,"New Customer","Returning Customer")</f>
        <v>New Customer</v>
      </c>
      <c r="G799" s="5" t="str">
        <f t="shared" ca="1" si="150"/>
        <v>Female</v>
      </c>
      <c r="H799" s="5" t="s">
        <v>135</v>
      </c>
      <c r="I799" s="5" t="str" cm="1">
        <f t="array" aca="1" ref="I799" ca="1">INDEX(Courses!$B$9:$B$16,RANDBETWEEN(1,8))</f>
        <v>SQL</v>
      </c>
      <c r="J799" s="5" t="str">
        <f ca="1">VLOOKUP(I799,Courses!$B$9:$C$16,2,0)</f>
        <v>Data Analytics</v>
      </c>
      <c r="K799" s="7">
        <f ca="1">VLOOKUP(I799,Courses!$B$9:$D$16,3,0)</f>
        <v>99</v>
      </c>
      <c r="L799" s="5" t="str">
        <f t="shared" ca="1" si="151"/>
        <v>Paid</v>
      </c>
      <c r="M799" s="8" t="str" cm="1">
        <f t="array" aca="1" ref="M799" ca="1">INDEX('Payment Method'!$A$8:$A$12,RANDBETWEEN(1,5))</f>
        <v>Bank Transfer</v>
      </c>
      <c r="N799" s="7">
        <f>IFERROR(SUMIF(Holiday!$A$8:$A$11,B799,Holiday!$C$8:$C$11),0)</f>
        <v>0</v>
      </c>
      <c r="O799" s="7">
        <f t="shared" ca="1" si="152"/>
        <v>99</v>
      </c>
      <c r="P799" s="19">
        <f t="shared" ca="1" si="153"/>
        <v>99</v>
      </c>
      <c r="Q799" s="7">
        <f t="shared" ca="1" si="154"/>
        <v>0</v>
      </c>
      <c r="R799" s="8">
        <f ca="1">VLOOKUP(M799,'Payment Method'!$A$8:$B$12,2,0)</f>
        <v>0</v>
      </c>
      <c r="S799" s="9">
        <f t="shared" ca="1" si="144"/>
        <v>0</v>
      </c>
      <c r="T799" s="8">
        <v>0.01</v>
      </c>
      <c r="U799" s="9">
        <f t="shared" ca="1" si="145"/>
        <v>0.98999999999999488</v>
      </c>
      <c r="V799" s="7">
        <f t="shared" ca="1" si="146"/>
        <v>0</v>
      </c>
      <c r="W799" s="7">
        <f t="shared" ca="1" si="147"/>
        <v>98.01</v>
      </c>
      <c r="X799" s="5" t="str">
        <f t="shared" ca="1" si="155"/>
        <v>Facebook</v>
      </c>
      <c r="Y799" s="78" t="str">
        <f>IF(COUNTIF($C$1:C798,B798)=1,10,"")</f>
        <v/>
      </c>
    </row>
    <row r="800" spans="1:25" x14ac:dyDescent="0.3">
      <c r="A800" s="75">
        <v>799</v>
      </c>
      <c r="B800" s="6">
        <v>46042</v>
      </c>
      <c r="C800" s="6">
        <v>46044</v>
      </c>
      <c r="D800" s="17" t="str">
        <f t="shared" si="148"/>
        <v>January</v>
      </c>
      <c r="E800" s="5" t="str">
        <f t="shared" ca="1" si="149"/>
        <v>STU-843</v>
      </c>
      <c r="F800" s="5" t="str">
        <f ca="1">IF(COUNTIF($E$2:E800,E800)=1,"New Customer","Returning Customer")</f>
        <v>New Customer</v>
      </c>
      <c r="G800" s="5" t="str">
        <f t="shared" ca="1" si="150"/>
        <v>Not specified</v>
      </c>
      <c r="H800" s="5" t="s">
        <v>141</v>
      </c>
      <c r="I800" s="5" t="str" cm="1">
        <f t="array" aca="1" ref="I800" ca="1">INDEX(Courses!$B$9:$B$16,RANDBETWEEN(1,8))</f>
        <v>Excel Basics</v>
      </c>
      <c r="J800" s="5" t="str">
        <f ca="1">VLOOKUP(I800,Courses!$B$9:$C$16,2,0)</f>
        <v>Microsoft Office</v>
      </c>
      <c r="K800" s="7">
        <f ca="1">VLOOKUP(I800,Courses!$B$9:$D$16,3,0)</f>
        <v>29</v>
      </c>
      <c r="L800" s="5" t="str">
        <f t="shared" ca="1" si="151"/>
        <v>Paid</v>
      </c>
      <c r="M800" s="8" t="str" cm="1">
        <f t="array" aca="1" ref="M800" ca="1">INDEX('Payment Method'!$A$8:$A$12,RANDBETWEEN(1,5))</f>
        <v>Visa Credit</v>
      </c>
      <c r="N800" s="7">
        <f>IFERROR(SUMIF(Holiday!$A$8:$A$11,B800,Holiday!$C$8:$C$11),0)</f>
        <v>0</v>
      </c>
      <c r="O800" s="7">
        <f t="shared" ca="1" si="152"/>
        <v>29</v>
      </c>
      <c r="P800" s="19">
        <f t="shared" ca="1" si="153"/>
        <v>27.984999999999999</v>
      </c>
      <c r="Q800" s="7">
        <f t="shared" ca="1" si="154"/>
        <v>0</v>
      </c>
      <c r="R800" s="8">
        <f ca="1">VLOOKUP(M800,'Payment Method'!$A$8:$B$12,2,0)</f>
        <v>3.5000000000000003E-2</v>
      </c>
      <c r="S800" s="9">
        <f t="shared" ca="1" si="144"/>
        <v>1.0150000000000006</v>
      </c>
      <c r="T800" s="8">
        <v>0.01</v>
      </c>
      <c r="U800" s="9">
        <f t="shared" ca="1" si="145"/>
        <v>0.27984999999999971</v>
      </c>
      <c r="V800" s="7">
        <f t="shared" ca="1" si="146"/>
        <v>0</v>
      </c>
      <c r="W800" s="7">
        <f t="shared" ca="1" si="147"/>
        <v>27.70515</v>
      </c>
      <c r="X800" s="5" t="str">
        <f t="shared" ca="1" si="155"/>
        <v>Instagram</v>
      </c>
      <c r="Y800" s="78" t="str">
        <f>IF(COUNTIF($C$1:C799,B799)=1,10,"")</f>
        <v/>
      </c>
    </row>
    <row r="801" spans="1:25" x14ac:dyDescent="0.3">
      <c r="A801" s="76">
        <v>800</v>
      </c>
      <c r="B801" s="6">
        <v>46071</v>
      </c>
      <c r="C801" s="6">
        <v>46073</v>
      </c>
      <c r="D801" s="17" t="str">
        <f t="shared" si="148"/>
        <v>February</v>
      </c>
      <c r="E801" s="5" t="str">
        <f t="shared" ca="1" si="149"/>
        <v>STU-475</v>
      </c>
      <c r="F801" s="5" t="str">
        <f ca="1">IF(COUNTIF($E$2:E801,E801)=1,"New Customer","Returning Customer")</f>
        <v>Returning Customer</v>
      </c>
      <c r="G801" s="5" t="str">
        <f t="shared" ca="1" si="150"/>
        <v>Male</v>
      </c>
      <c r="H801" s="5" t="s">
        <v>139</v>
      </c>
      <c r="I801" s="5" t="str" cm="1">
        <f t="array" aca="1" ref="I801" ca="1">INDEX(Courses!$B$9:$B$16,RANDBETWEEN(1,8))</f>
        <v>Microsoft Word</v>
      </c>
      <c r="J801" s="5" t="str">
        <f ca="1">VLOOKUP(I801,Courses!$B$9:$C$16,2,0)</f>
        <v>Microsoft Office</v>
      </c>
      <c r="K801" s="7">
        <f ca="1">VLOOKUP(I801,Courses!$B$9:$D$16,3,0)</f>
        <v>29</v>
      </c>
      <c r="L801" s="5" t="str">
        <f t="shared" ca="1" si="151"/>
        <v>Paid</v>
      </c>
      <c r="M801" s="8" t="str" cm="1">
        <f t="array" aca="1" ref="M801" ca="1">INDEX('Payment Method'!$A$8:$A$12,RANDBETWEEN(1,5))</f>
        <v>Visa Debit</v>
      </c>
      <c r="N801" s="7">
        <f>IFERROR(SUMIF(Holiday!$A$8:$A$11,B801,Holiday!$C$8:$C$11),0)</f>
        <v>0</v>
      </c>
      <c r="O801" s="7">
        <f t="shared" ca="1" si="152"/>
        <v>29</v>
      </c>
      <c r="P801" s="19">
        <f t="shared" ca="1" si="153"/>
        <v>28.42</v>
      </c>
      <c r="Q801" s="7">
        <f t="shared" ca="1" si="154"/>
        <v>0</v>
      </c>
      <c r="R801" s="8">
        <f ca="1">VLOOKUP(M801,'Payment Method'!$A$8:$B$12,2,0)</f>
        <v>0.02</v>
      </c>
      <c r="S801" s="9">
        <f t="shared" ca="1" si="144"/>
        <v>0.57999999999999829</v>
      </c>
      <c r="T801" s="8">
        <v>0.01</v>
      </c>
      <c r="U801" s="9">
        <f t="shared" ca="1" si="145"/>
        <v>0.28419999999999845</v>
      </c>
      <c r="V801" s="7">
        <f t="shared" ca="1" si="146"/>
        <v>0</v>
      </c>
      <c r="W801" s="7">
        <f t="shared" ca="1" si="147"/>
        <v>28.135800000000003</v>
      </c>
      <c r="X801" s="5" t="str">
        <f t="shared" ca="1" si="155"/>
        <v>Instagram</v>
      </c>
      <c r="Y801" s="78" t="str">
        <f>IF(COUNTIF($C$1:C800,B800)=1,10,"")</f>
        <v/>
      </c>
    </row>
    <row r="802" spans="1:25" x14ac:dyDescent="0.3">
      <c r="A802" s="75">
        <v>801</v>
      </c>
      <c r="B802" s="6">
        <v>46126</v>
      </c>
      <c r="C802" s="6">
        <v>46126</v>
      </c>
      <c r="D802" s="17" t="str">
        <f t="shared" si="148"/>
        <v>April</v>
      </c>
      <c r="E802" s="5" t="str">
        <f t="shared" ca="1" si="149"/>
        <v>STU-166</v>
      </c>
      <c r="F802" s="5" t="str">
        <f ca="1">IF(COUNTIF($E$2:E802,E802)=1,"New Customer","Returning Customer")</f>
        <v>New Customer</v>
      </c>
      <c r="G802" s="5" t="str">
        <f t="shared" ca="1" si="150"/>
        <v>Not specified</v>
      </c>
      <c r="H802" s="5" t="s">
        <v>139</v>
      </c>
      <c r="I802" s="5" t="str" cm="1">
        <f t="array" aca="1" ref="I802" ca="1">INDEX(Courses!$B$9:$B$16,RANDBETWEEN(1,8))</f>
        <v>Excel Basics</v>
      </c>
      <c r="J802" s="5" t="str">
        <f ca="1">VLOOKUP(I802,Courses!$B$9:$C$16,2,0)</f>
        <v>Microsoft Office</v>
      </c>
      <c r="K802" s="7">
        <f ca="1">VLOOKUP(I802,Courses!$B$9:$D$16,3,0)</f>
        <v>29</v>
      </c>
      <c r="L802" s="5" t="str">
        <f t="shared" ca="1" si="151"/>
        <v>Pending</v>
      </c>
      <c r="M802" s="8" t="str" cm="1">
        <f t="array" aca="1" ref="M802" ca="1">INDEX('Payment Method'!$A$8:$A$12,RANDBETWEEN(1,5))</f>
        <v>Visa Credit</v>
      </c>
      <c r="N802" s="7">
        <f>IFERROR(SUMIF(Holiday!$A$8:$A$11,B802,Holiday!$C$8:$C$11),0)</f>
        <v>0</v>
      </c>
      <c r="O802" s="7">
        <f t="shared" ca="1" si="152"/>
        <v>29</v>
      </c>
      <c r="P802" s="19">
        <f t="shared" ca="1" si="153"/>
        <v>27.984999999999999</v>
      </c>
      <c r="Q802" s="7">
        <f t="shared" ca="1" si="154"/>
        <v>27.70515</v>
      </c>
      <c r="R802" s="8">
        <f ca="1">VLOOKUP(M802,'Payment Method'!$A$8:$B$12,2,0)</f>
        <v>3.5000000000000003E-2</v>
      </c>
      <c r="S802" s="9">
        <f t="shared" ca="1" si="144"/>
        <v>1.0150000000000006</v>
      </c>
      <c r="T802" s="8">
        <v>0.01</v>
      </c>
      <c r="U802" s="9">
        <f t="shared" ca="1" si="145"/>
        <v>0.27984999999999971</v>
      </c>
      <c r="V802" s="7">
        <f t="shared" ca="1" si="146"/>
        <v>0</v>
      </c>
      <c r="W802" s="7">
        <f t="shared" ca="1" si="147"/>
        <v>0</v>
      </c>
      <c r="X802" s="5" t="str">
        <f t="shared" ca="1" si="155"/>
        <v>Facebook</v>
      </c>
      <c r="Y802" s="78" t="str">
        <f>IF(COUNTIF($C$1:C801,B801)=1,10,"")</f>
        <v/>
      </c>
    </row>
    <row r="803" spans="1:25" x14ac:dyDescent="0.3">
      <c r="A803" s="76">
        <v>802</v>
      </c>
      <c r="B803" s="6">
        <v>46204</v>
      </c>
      <c r="C803" s="6">
        <v>46206</v>
      </c>
      <c r="D803" s="17" t="str">
        <f t="shared" si="148"/>
        <v>July</v>
      </c>
      <c r="E803" s="5" t="str">
        <f t="shared" ca="1" si="149"/>
        <v>STU-532</v>
      </c>
      <c r="F803" s="5" t="str">
        <f ca="1">IF(COUNTIF($E$2:E803,E803)=1,"New Customer","Returning Customer")</f>
        <v>Returning Customer</v>
      </c>
      <c r="G803" s="5" t="str">
        <f t="shared" ca="1" si="150"/>
        <v>Not specified</v>
      </c>
      <c r="H803" s="5" t="s">
        <v>135</v>
      </c>
      <c r="I803" s="5" t="str" cm="1">
        <f t="array" aca="1" ref="I803" ca="1">INDEX(Courses!$B$9:$B$16,RANDBETWEEN(1,8))</f>
        <v>Tax Code</v>
      </c>
      <c r="J803" s="5" t="str">
        <f ca="1">VLOOKUP(I803,Courses!$B$9:$C$16,2,0)</f>
        <v>Finance &amp; Taxation</v>
      </c>
      <c r="K803" s="7">
        <f ca="1">VLOOKUP(I803,Courses!$B$9:$D$16,3,0)</f>
        <v>59</v>
      </c>
      <c r="L803" s="5" t="str">
        <f t="shared" ca="1" si="151"/>
        <v>Paid</v>
      </c>
      <c r="M803" s="8" t="str" cm="1">
        <f t="array" aca="1" ref="M803" ca="1">INDEX('Payment Method'!$A$8:$A$12,RANDBETWEEN(1,5))</f>
        <v>Mastercard Debit</v>
      </c>
      <c r="N803" s="7">
        <f>IFERROR(SUMIF(Holiday!$A$8:$A$11,B803,Holiday!$C$8:$C$11),0)</f>
        <v>0</v>
      </c>
      <c r="O803" s="7">
        <f t="shared" ca="1" si="152"/>
        <v>59</v>
      </c>
      <c r="P803" s="19">
        <f t="shared" ca="1" si="153"/>
        <v>57.82</v>
      </c>
      <c r="Q803" s="7">
        <f t="shared" ca="1" si="154"/>
        <v>0</v>
      </c>
      <c r="R803" s="8">
        <f ca="1">VLOOKUP(M803,'Payment Method'!$A$8:$B$12,2,0)</f>
        <v>0.02</v>
      </c>
      <c r="S803" s="9">
        <f t="shared" ca="1" si="144"/>
        <v>1.1799999999999997</v>
      </c>
      <c r="T803" s="8">
        <v>0.01</v>
      </c>
      <c r="U803" s="9">
        <f t="shared" ca="1" si="145"/>
        <v>0.57820000000000249</v>
      </c>
      <c r="V803" s="7">
        <f t="shared" ca="1" si="146"/>
        <v>0</v>
      </c>
      <c r="W803" s="7">
        <f t="shared" ca="1" si="147"/>
        <v>57.241799999999998</v>
      </c>
      <c r="X803" s="5" t="str">
        <f t="shared" ca="1" si="155"/>
        <v>Instagram</v>
      </c>
      <c r="Y803" s="78" t="str">
        <f>IF(COUNTIF($C$1:C802,B802)=1,10,"")</f>
        <v/>
      </c>
    </row>
    <row r="804" spans="1:25" x14ac:dyDescent="0.3">
      <c r="A804" s="75">
        <v>803</v>
      </c>
      <c r="B804" s="6">
        <v>46181</v>
      </c>
      <c r="C804" s="6">
        <v>46181</v>
      </c>
      <c r="D804" s="17" t="str">
        <f t="shared" si="148"/>
        <v>June</v>
      </c>
      <c r="E804" s="5" t="str">
        <f t="shared" ca="1" si="149"/>
        <v>STU-355</v>
      </c>
      <c r="F804" s="5" t="str">
        <f ca="1">IF(COUNTIF($E$2:E804,E804)=1,"New Customer","Returning Customer")</f>
        <v>Returning Customer</v>
      </c>
      <c r="G804" s="5" t="str">
        <f t="shared" ca="1" si="150"/>
        <v>Not specified</v>
      </c>
      <c r="H804" s="5" t="s">
        <v>142</v>
      </c>
      <c r="I804" s="5" t="str" cm="1">
        <f t="array" aca="1" ref="I804" ca="1">INDEX(Courses!$B$9:$B$16,RANDBETWEEN(1,8))</f>
        <v>Excel Basics</v>
      </c>
      <c r="J804" s="5" t="str">
        <f ca="1">VLOOKUP(I804,Courses!$B$9:$C$16,2,0)</f>
        <v>Microsoft Office</v>
      </c>
      <c r="K804" s="7">
        <f ca="1">VLOOKUP(I804,Courses!$B$9:$D$16,3,0)</f>
        <v>29</v>
      </c>
      <c r="L804" s="5" t="str">
        <f t="shared" ca="1" si="151"/>
        <v>Paid</v>
      </c>
      <c r="M804" s="8" t="str" cm="1">
        <f t="array" aca="1" ref="M804" ca="1">INDEX('Payment Method'!$A$8:$A$12,RANDBETWEEN(1,5))</f>
        <v>Mastercard Credit</v>
      </c>
      <c r="N804" s="7">
        <f>IFERROR(SUMIF(Holiday!$A$8:$A$11,B804,Holiday!$C$8:$C$11),0)</f>
        <v>0</v>
      </c>
      <c r="O804" s="7">
        <f t="shared" ca="1" si="152"/>
        <v>29</v>
      </c>
      <c r="P804" s="19">
        <f t="shared" ca="1" si="153"/>
        <v>27.984999999999999</v>
      </c>
      <c r="Q804" s="7">
        <f t="shared" ca="1" si="154"/>
        <v>0</v>
      </c>
      <c r="R804" s="8">
        <f ca="1">VLOOKUP(M804,'Payment Method'!$A$8:$B$12,2,0)</f>
        <v>3.5000000000000003E-2</v>
      </c>
      <c r="S804" s="9">
        <f t="shared" ca="1" si="144"/>
        <v>1.0150000000000006</v>
      </c>
      <c r="T804" s="8">
        <v>0.01</v>
      </c>
      <c r="U804" s="9">
        <f t="shared" ca="1" si="145"/>
        <v>0.27984999999999971</v>
      </c>
      <c r="V804" s="7">
        <f t="shared" ca="1" si="146"/>
        <v>0</v>
      </c>
      <c r="W804" s="7">
        <f t="shared" ca="1" si="147"/>
        <v>27.70515</v>
      </c>
      <c r="X804" s="5" t="str">
        <f t="shared" ca="1" si="155"/>
        <v>Instagram</v>
      </c>
      <c r="Y804" s="78" t="str">
        <f>IF(COUNTIF($C$1:C803,B803)=1,10,"")</f>
        <v/>
      </c>
    </row>
    <row r="805" spans="1:25" x14ac:dyDescent="0.3">
      <c r="A805" s="76">
        <v>804</v>
      </c>
      <c r="B805" s="6">
        <v>46227</v>
      </c>
      <c r="C805" s="6">
        <v>46231</v>
      </c>
      <c r="D805" s="17" t="str">
        <f t="shared" si="148"/>
        <v>July</v>
      </c>
      <c r="E805" s="5" t="str">
        <f t="shared" ca="1" si="149"/>
        <v>STU-793</v>
      </c>
      <c r="F805" s="5" t="str">
        <f ca="1">IF(COUNTIF($E$2:E805,E805)=1,"New Customer","Returning Customer")</f>
        <v>Returning Customer</v>
      </c>
      <c r="G805" s="5" t="str">
        <f t="shared" ca="1" si="150"/>
        <v>Female</v>
      </c>
      <c r="H805" s="5" t="s">
        <v>139</v>
      </c>
      <c r="I805" s="5" t="str" cm="1">
        <f t="array" aca="1" ref="I805" ca="1">INDEX(Courses!$B$9:$B$16,RANDBETWEEN(1,8))</f>
        <v>Adolescent Psychology</v>
      </c>
      <c r="J805" s="5" t="str">
        <f ca="1">VLOOKUP(I805,Courses!$B$9:$C$16,2,0)</f>
        <v>Psychology</v>
      </c>
      <c r="K805" s="7">
        <f ca="1">VLOOKUP(I805,Courses!$B$9:$D$16,3,0)</f>
        <v>29</v>
      </c>
      <c r="L805" s="5" t="str">
        <f t="shared" ca="1" si="151"/>
        <v>Paid</v>
      </c>
      <c r="M805" s="8" t="str" cm="1">
        <f t="array" aca="1" ref="M805" ca="1">INDEX('Payment Method'!$A$8:$A$12,RANDBETWEEN(1,5))</f>
        <v>Mastercard Credit</v>
      </c>
      <c r="N805" s="7">
        <f>IFERROR(SUMIF(Holiday!$A$8:$A$11,B805,Holiday!$C$8:$C$11),0)</f>
        <v>0</v>
      </c>
      <c r="O805" s="7">
        <f t="shared" ca="1" si="152"/>
        <v>29</v>
      </c>
      <c r="P805" s="19">
        <f t="shared" ca="1" si="153"/>
        <v>27.984999999999999</v>
      </c>
      <c r="Q805" s="7">
        <f t="shared" ca="1" si="154"/>
        <v>0</v>
      </c>
      <c r="R805" s="8">
        <f ca="1">VLOOKUP(M805,'Payment Method'!$A$8:$B$12,2,0)</f>
        <v>3.5000000000000003E-2</v>
      </c>
      <c r="S805" s="9">
        <f t="shared" ca="1" si="144"/>
        <v>1.0150000000000006</v>
      </c>
      <c r="T805" s="8">
        <v>0.01</v>
      </c>
      <c r="U805" s="9">
        <f t="shared" ca="1" si="145"/>
        <v>0.27984999999999971</v>
      </c>
      <c r="V805" s="7">
        <f t="shared" ca="1" si="146"/>
        <v>0</v>
      </c>
      <c r="W805" s="7">
        <f t="shared" ca="1" si="147"/>
        <v>27.70515</v>
      </c>
      <c r="X805" s="5" t="str">
        <f t="shared" ca="1" si="155"/>
        <v>Instagram</v>
      </c>
      <c r="Y805" s="78" t="str">
        <f>IF(COUNTIF($C$1:C804,B804)=1,10,"")</f>
        <v/>
      </c>
    </row>
    <row r="806" spans="1:25" x14ac:dyDescent="0.3">
      <c r="A806" s="75">
        <v>805</v>
      </c>
      <c r="B806" s="6">
        <v>46156</v>
      </c>
      <c r="C806" s="6">
        <v>46160</v>
      </c>
      <c r="D806" s="17" t="str">
        <f t="shared" si="148"/>
        <v>May</v>
      </c>
      <c r="E806" s="5" t="str">
        <f t="shared" ca="1" si="149"/>
        <v>STU-158</v>
      </c>
      <c r="F806" s="5" t="str">
        <f ca="1">IF(COUNTIF($E$2:E806,E806)=1,"New Customer","Returning Customer")</f>
        <v>Returning Customer</v>
      </c>
      <c r="G806" s="5" t="str">
        <f t="shared" ca="1" si="150"/>
        <v>Male</v>
      </c>
      <c r="H806" s="5" t="s">
        <v>140</v>
      </c>
      <c r="I806" s="5" t="str" cm="1">
        <f t="array" aca="1" ref="I806" ca="1">INDEX(Courses!$B$9:$B$16,RANDBETWEEN(1,8))</f>
        <v>Power BI</v>
      </c>
      <c r="J806" s="5" t="str">
        <f ca="1">VLOOKUP(I806,Courses!$B$9:$C$16,2,0)</f>
        <v>Data Analytics</v>
      </c>
      <c r="K806" s="7">
        <f ca="1">VLOOKUP(I806,Courses!$B$9:$D$16,3,0)</f>
        <v>59</v>
      </c>
      <c r="L806" s="5" t="str">
        <f t="shared" ca="1" si="151"/>
        <v>Paid</v>
      </c>
      <c r="M806" s="8" t="str" cm="1">
        <f t="array" aca="1" ref="M806" ca="1">INDEX('Payment Method'!$A$8:$A$12,RANDBETWEEN(1,5))</f>
        <v>Visa Debit</v>
      </c>
      <c r="N806" s="7">
        <f>IFERROR(SUMIF(Holiday!$A$8:$A$11,B806,Holiday!$C$8:$C$11),0)</f>
        <v>0</v>
      </c>
      <c r="O806" s="7">
        <f t="shared" ca="1" si="152"/>
        <v>59</v>
      </c>
      <c r="P806" s="19">
        <f t="shared" ca="1" si="153"/>
        <v>57.82</v>
      </c>
      <c r="Q806" s="7">
        <f t="shared" ca="1" si="154"/>
        <v>0</v>
      </c>
      <c r="R806" s="8">
        <f ca="1">VLOOKUP(M806,'Payment Method'!$A$8:$B$12,2,0)</f>
        <v>0.02</v>
      </c>
      <c r="S806" s="9">
        <f t="shared" ca="1" si="144"/>
        <v>1.1799999999999997</v>
      </c>
      <c r="T806" s="8">
        <v>0.01</v>
      </c>
      <c r="U806" s="9">
        <f t="shared" ca="1" si="145"/>
        <v>0.57820000000000249</v>
      </c>
      <c r="V806" s="7">
        <f t="shared" ca="1" si="146"/>
        <v>0</v>
      </c>
      <c r="W806" s="7">
        <f t="shared" ca="1" si="147"/>
        <v>57.241799999999998</v>
      </c>
      <c r="X806" s="5" t="str">
        <f t="shared" ca="1" si="155"/>
        <v>Instagram</v>
      </c>
      <c r="Y806" s="78" t="str">
        <f>IF(COUNTIF($C$1:C805,B805)=1,10,"")</f>
        <v/>
      </c>
    </row>
    <row r="807" spans="1:25" x14ac:dyDescent="0.3">
      <c r="A807" s="76">
        <v>806</v>
      </c>
      <c r="B807" s="6">
        <v>46033</v>
      </c>
      <c r="C807" s="6">
        <v>46034</v>
      </c>
      <c r="D807" s="17" t="str">
        <f t="shared" si="148"/>
        <v>January</v>
      </c>
      <c r="E807" s="5" t="str">
        <f t="shared" ca="1" si="149"/>
        <v>STU-963</v>
      </c>
      <c r="F807" s="5" t="str">
        <f ca="1">IF(COUNTIF($E$2:E807,E807)=1,"New Customer","Returning Customer")</f>
        <v>Returning Customer</v>
      </c>
      <c r="G807" s="5" t="str">
        <f t="shared" ca="1" si="150"/>
        <v>Male</v>
      </c>
      <c r="H807" s="5" t="s">
        <v>142</v>
      </c>
      <c r="I807" s="5" t="str" cm="1">
        <f t="array" aca="1" ref="I807" ca="1">INDEX(Courses!$B$9:$B$16,RANDBETWEEN(1,8))</f>
        <v>Excel Basics</v>
      </c>
      <c r="J807" s="5" t="str">
        <f ca="1">VLOOKUP(I807,Courses!$B$9:$C$16,2,0)</f>
        <v>Microsoft Office</v>
      </c>
      <c r="K807" s="7">
        <f ca="1">VLOOKUP(I807,Courses!$B$9:$D$16,3,0)</f>
        <v>29</v>
      </c>
      <c r="L807" s="5" t="str">
        <f t="shared" ca="1" si="151"/>
        <v>Paid</v>
      </c>
      <c r="M807" s="8" t="str" cm="1">
        <f t="array" aca="1" ref="M807" ca="1">INDEX('Payment Method'!$A$8:$A$12,RANDBETWEEN(1,5))</f>
        <v>Mastercard Debit</v>
      </c>
      <c r="N807" s="7">
        <f>IFERROR(SUMIF(Holiday!$A$8:$A$11,B807,Holiday!$C$8:$C$11),0)</f>
        <v>0</v>
      </c>
      <c r="O807" s="7">
        <f t="shared" ca="1" si="152"/>
        <v>29</v>
      </c>
      <c r="P807" s="19">
        <f t="shared" ca="1" si="153"/>
        <v>28.42</v>
      </c>
      <c r="Q807" s="7">
        <f t="shared" ca="1" si="154"/>
        <v>0</v>
      </c>
      <c r="R807" s="8">
        <f ca="1">VLOOKUP(M807,'Payment Method'!$A$8:$B$12,2,0)</f>
        <v>0.02</v>
      </c>
      <c r="S807" s="9">
        <f t="shared" ca="1" si="144"/>
        <v>0.57999999999999829</v>
      </c>
      <c r="T807" s="8">
        <v>0.01</v>
      </c>
      <c r="U807" s="9">
        <f t="shared" ca="1" si="145"/>
        <v>0.28419999999999845</v>
      </c>
      <c r="V807" s="7">
        <f t="shared" ca="1" si="146"/>
        <v>0</v>
      </c>
      <c r="W807" s="7">
        <f t="shared" ca="1" si="147"/>
        <v>28.135800000000003</v>
      </c>
      <c r="X807" s="5" t="str">
        <f t="shared" ca="1" si="155"/>
        <v>Instagram</v>
      </c>
      <c r="Y807" s="78" t="str">
        <f>IF(COUNTIF($C$1:C806,B806)=1,10,"")</f>
        <v/>
      </c>
    </row>
    <row r="808" spans="1:25" x14ac:dyDescent="0.3">
      <c r="A808" s="75">
        <v>807</v>
      </c>
      <c r="B808" s="6">
        <v>46028</v>
      </c>
      <c r="C808" s="6">
        <v>46030</v>
      </c>
      <c r="D808" s="17" t="str">
        <f t="shared" si="148"/>
        <v>January</v>
      </c>
      <c r="E808" s="5" t="str">
        <f t="shared" ca="1" si="149"/>
        <v>STU-203</v>
      </c>
      <c r="F808" s="5" t="str">
        <f ca="1">IF(COUNTIF($E$2:E808,E808)=1,"New Customer","Returning Customer")</f>
        <v>Returning Customer</v>
      </c>
      <c r="G808" s="5" t="str">
        <f t="shared" ca="1" si="150"/>
        <v>Male</v>
      </c>
      <c r="H808" s="5" t="s">
        <v>139</v>
      </c>
      <c r="I808" s="5" t="str" cm="1">
        <f t="array" aca="1" ref="I808" ca="1">INDEX(Courses!$B$9:$B$16,RANDBETWEEN(1,8))</f>
        <v>Microsoft Word</v>
      </c>
      <c r="J808" s="5" t="str">
        <f ca="1">VLOOKUP(I808,Courses!$B$9:$C$16,2,0)</f>
        <v>Microsoft Office</v>
      </c>
      <c r="K808" s="7">
        <f ca="1">VLOOKUP(I808,Courses!$B$9:$D$16,3,0)</f>
        <v>29</v>
      </c>
      <c r="L808" s="5" t="str">
        <f t="shared" ca="1" si="151"/>
        <v>Paid</v>
      </c>
      <c r="M808" s="8" t="str" cm="1">
        <f t="array" aca="1" ref="M808" ca="1">INDEX('Payment Method'!$A$8:$A$12,RANDBETWEEN(1,5))</f>
        <v>Mastercard Credit</v>
      </c>
      <c r="N808" s="7">
        <f>IFERROR(SUMIF(Holiday!$A$8:$A$11,B808,Holiday!$C$8:$C$11),0)</f>
        <v>0</v>
      </c>
      <c r="O808" s="7">
        <f t="shared" ca="1" si="152"/>
        <v>29</v>
      </c>
      <c r="P808" s="19">
        <f t="shared" ca="1" si="153"/>
        <v>27.984999999999999</v>
      </c>
      <c r="Q808" s="7">
        <f t="shared" ca="1" si="154"/>
        <v>0</v>
      </c>
      <c r="R808" s="8">
        <f ca="1">VLOOKUP(M808,'Payment Method'!$A$8:$B$12,2,0)</f>
        <v>3.5000000000000003E-2</v>
      </c>
      <c r="S808" s="9">
        <f t="shared" ca="1" si="144"/>
        <v>1.0150000000000006</v>
      </c>
      <c r="T808" s="8">
        <v>0.01</v>
      </c>
      <c r="U808" s="9">
        <f t="shared" ca="1" si="145"/>
        <v>0.27984999999999971</v>
      </c>
      <c r="V808" s="7">
        <f t="shared" ca="1" si="146"/>
        <v>0</v>
      </c>
      <c r="W808" s="7">
        <f t="shared" ca="1" si="147"/>
        <v>27.70515</v>
      </c>
      <c r="X808" s="5" t="str">
        <f t="shared" ca="1" si="155"/>
        <v>Instagram</v>
      </c>
      <c r="Y808" s="78" t="str">
        <f>IF(COUNTIF($C$1:C807,B807)=1,10,"")</f>
        <v/>
      </c>
    </row>
    <row r="809" spans="1:25" x14ac:dyDescent="0.3">
      <c r="A809" s="76">
        <v>808</v>
      </c>
      <c r="B809" s="6">
        <v>46098</v>
      </c>
      <c r="C809" s="6">
        <v>46098</v>
      </c>
      <c r="D809" s="17" t="str">
        <f t="shared" si="148"/>
        <v>March</v>
      </c>
      <c r="E809" s="5" t="str">
        <f t="shared" ca="1" si="149"/>
        <v>STU-834</v>
      </c>
      <c r="F809" s="5" t="str">
        <f ca="1">IF(COUNTIF($E$2:E809,E809)=1,"New Customer","Returning Customer")</f>
        <v>New Customer</v>
      </c>
      <c r="G809" s="5" t="str">
        <f t="shared" ca="1" si="150"/>
        <v>Female</v>
      </c>
      <c r="H809" s="5" t="s">
        <v>137</v>
      </c>
      <c r="I809" s="5" t="str" cm="1">
        <f t="array" aca="1" ref="I809" ca="1">INDEX(Courses!$B$9:$B$16,RANDBETWEEN(1,8))</f>
        <v>Power BI</v>
      </c>
      <c r="J809" s="5" t="str">
        <f ca="1">VLOOKUP(I809,Courses!$B$9:$C$16,2,0)</f>
        <v>Data Analytics</v>
      </c>
      <c r="K809" s="7">
        <f ca="1">VLOOKUP(I809,Courses!$B$9:$D$16,3,0)</f>
        <v>59</v>
      </c>
      <c r="L809" s="5" t="str">
        <f t="shared" ca="1" si="151"/>
        <v>Paid</v>
      </c>
      <c r="M809" s="8" t="str" cm="1">
        <f t="array" aca="1" ref="M809" ca="1">INDEX('Payment Method'!$A$8:$A$12,RANDBETWEEN(1,5))</f>
        <v>Mastercard Credit</v>
      </c>
      <c r="N809" s="7">
        <f>IFERROR(SUMIF(Holiday!$A$8:$A$11,B809,Holiday!$C$8:$C$11),0)</f>
        <v>0</v>
      </c>
      <c r="O809" s="7">
        <f t="shared" ca="1" si="152"/>
        <v>59</v>
      </c>
      <c r="P809" s="19">
        <f t="shared" ca="1" si="153"/>
        <v>56.935000000000002</v>
      </c>
      <c r="Q809" s="7">
        <f t="shared" ca="1" si="154"/>
        <v>0</v>
      </c>
      <c r="R809" s="8">
        <f ca="1">VLOOKUP(M809,'Payment Method'!$A$8:$B$12,2,0)</f>
        <v>3.5000000000000003E-2</v>
      </c>
      <c r="S809" s="9">
        <f t="shared" ca="1" si="144"/>
        <v>2.0649999999999977</v>
      </c>
      <c r="T809" s="8">
        <v>0.01</v>
      </c>
      <c r="U809" s="9">
        <f t="shared" ca="1" si="145"/>
        <v>0.56935000000000002</v>
      </c>
      <c r="V809" s="7">
        <f t="shared" ca="1" si="146"/>
        <v>0</v>
      </c>
      <c r="W809" s="7">
        <f t="shared" ca="1" si="147"/>
        <v>56.365650000000002</v>
      </c>
      <c r="X809" s="5" t="str">
        <f t="shared" ca="1" si="155"/>
        <v>Instagram</v>
      </c>
      <c r="Y809" s="78" t="str">
        <f>IF(COUNTIF($C$1:C808,B808)=1,10,"")</f>
        <v/>
      </c>
    </row>
    <row r="810" spans="1:25" x14ac:dyDescent="0.3">
      <c r="A810" s="75">
        <v>809</v>
      </c>
      <c r="B810" s="6">
        <v>46179</v>
      </c>
      <c r="C810" s="6">
        <v>46184</v>
      </c>
      <c r="D810" s="17" t="str">
        <f t="shared" si="148"/>
        <v>June</v>
      </c>
      <c r="E810" s="5" t="str">
        <f t="shared" ca="1" si="149"/>
        <v>STU-479</v>
      </c>
      <c r="F810" s="5" t="str">
        <f ca="1">IF(COUNTIF($E$2:E810,E810)=1,"New Customer","Returning Customer")</f>
        <v>New Customer</v>
      </c>
      <c r="G810" s="5" t="str">
        <f t="shared" ca="1" si="150"/>
        <v>Male</v>
      </c>
      <c r="H810" s="5" t="s">
        <v>142</v>
      </c>
      <c r="I810" s="5" t="str" cm="1">
        <f t="array" aca="1" ref="I810" ca="1">INDEX(Courses!$B$9:$B$16,RANDBETWEEN(1,8))</f>
        <v>Tax Code</v>
      </c>
      <c r="J810" s="5" t="str">
        <f ca="1">VLOOKUP(I810,Courses!$B$9:$C$16,2,0)</f>
        <v>Finance &amp; Taxation</v>
      </c>
      <c r="K810" s="7">
        <f ca="1">VLOOKUP(I810,Courses!$B$9:$D$16,3,0)</f>
        <v>59</v>
      </c>
      <c r="L810" s="5" t="str">
        <f t="shared" ca="1" si="151"/>
        <v>Paid</v>
      </c>
      <c r="M810" s="8" t="str" cm="1">
        <f t="array" aca="1" ref="M810" ca="1">INDEX('Payment Method'!$A$8:$A$12,RANDBETWEEN(1,5))</f>
        <v>Mastercard Debit</v>
      </c>
      <c r="N810" s="7">
        <f>IFERROR(SUMIF(Holiday!$A$8:$A$11,B810,Holiday!$C$8:$C$11),0)</f>
        <v>0</v>
      </c>
      <c r="O810" s="7">
        <f t="shared" ca="1" si="152"/>
        <v>59</v>
      </c>
      <c r="P810" s="19">
        <f t="shared" ca="1" si="153"/>
        <v>57.82</v>
      </c>
      <c r="Q810" s="7">
        <f t="shared" ca="1" si="154"/>
        <v>0</v>
      </c>
      <c r="R810" s="8">
        <f ca="1">VLOOKUP(M810,'Payment Method'!$A$8:$B$12,2,0)</f>
        <v>0.02</v>
      </c>
      <c r="S810" s="9">
        <f t="shared" ca="1" si="144"/>
        <v>1.1799999999999997</v>
      </c>
      <c r="T810" s="8">
        <v>0.01</v>
      </c>
      <c r="U810" s="9">
        <f t="shared" ca="1" si="145"/>
        <v>0.57820000000000249</v>
      </c>
      <c r="V810" s="7">
        <f t="shared" ca="1" si="146"/>
        <v>0</v>
      </c>
      <c r="W810" s="7">
        <f t="shared" ca="1" si="147"/>
        <v>57.241799999999998</v>
      </c>
      <c r="X810" s="5" t="str">
        <f t="shared" ca="1" si="155"/>
        <v>Instagram</v>
      </c>
      <c r="Y810" s="78" t="str">
        <f>IF(COUNTIF($C$1:C809,B809)=1,10,"")</f>
        <v/>
      </c>
    </row>
    <row r="811" spans="1:25" x14ac:dyDescent="0.3">
      <c r="A811" s="76">
        <v>810</v>
      </c>
      <c r="B811" s="6">
        <v>46039</v>
      </c>
      <c r="C811" s="6">
        <v>46043</v>
      </c>
      <c r="D811" s="17" t="str">
        <f t="shared" si="148"/>
        <v>January</v>
      </c>
      <c r="E811" s="5" t="str">
        <f t="shared" ca="1" si="149"/>
        <v>STU-633</v>
      </c>
      <c r="F811" s="5" t="str">
        <f ca="1">IF(COUNTIF($E$2:E811,E811)=1,"New Customer","Returning Customer")</f>
        <v>Returning Customer</v>
      </c>
      <c r="G811" s="5" t="str">
        <f t="shared" ca="1" si="150"/>
        <v>Female</v>
      </c>
      <c r="H811" s="5" t="s">
        <v>141</v>
      </c>
      <c r="I811" s="5" t="str" cm="1">
        <f t="array" aca="1" ref="I811" ca="1">INDEX(Courses!$B$9:$B$16,RANDBETWEEN(1,8))</f>
        <v>Power BI</v>
      </c>
      <c r="J811" s="5" t="str">
        <f ca="1">VLOOKUP(I811,Courses!$B$9:$C$16,2,0)</f>
        <v>Data Analytics</v>
      </c>
      <c r="K811" s="7">
        <f ca="1">VLOOKUP(I811,Courses!$B$9:$D$16,3,0)</f>
        <v>59</v>
      </c>
      <c r="L811" s="5" t="str">
        <f t="shared" ca="1" si="151"/>
        <v>Paid</v>
      </c>
      <c r="M811" s="8" t="str" cm="1">
        <f t="array" aca="1" ref="M811" ca="1">INDEX('Payment Method'!$A$8:$A$12,RANDBETWEEN(1,5))</f>
        <v>Visa Debit</v>
      </c>
      <c r="N811" s="7">
        <f>IFERROR(SUMIF(Holiday!$A$8:$A$11,B811,Holiday!$C$8:$C$11),0)</f>
        <v>0</v>
      </c>
      <c r="O811" s="7">
        <f t="shared" ca="1" si="152"/>
        <v>59</v>
      </c>
      <c r="P811" s="19">
        <f t="shared" ca="1" si="153"/>
        <v>57.82</v>
      </c>
      <c r="Q811" s="7">
        <f t="shared" ca="1" si="154"/>
        <v>0</v>
      </c>
      <c r="R811" s="8">
        <f ca="1">VLOOKUP(M811,'Payment Method'!$A$8:$B$12,2,0)</f>
        <v>0.02</v>
      </c>
      <c r="S811" s="9">
        <f t="shared" ca="1" si="144"/>
        <v>1.1799999999999997</v>
      </c>
      <c r="T811" s="8">
        <v>0.01</v>
      </c>
      <c r="U811" s="9">
        <f t="shared" ca="1" si="145"/>
        <v>0.57820000000000249</v>
      </c>
      <c r="V811" s="7">
        <f t="shared" ca="1" si="146"/>
        <v>0</v>
      </c>
      <c r="W811" s="7">
        <f t="shared" ca="1" si="147"/>
        <v>57.241799999999998</v>
      </c>
      <c r="X811" s="5" t="str">
        <f t="shared" ca="1" si="155"/>
        <v>Instagram</v>
      </c>
      <c r="Y811" s="78" t="str">
        <f>IF(COUNTIF($C$1:C810,B810)=1,10,"")</f>
        <v/>
      </c>
    </row>
    <row r="812" spans="1:25" x14ac:dyDescent="0.3">
      <c r="A812" s="75">
        <v>811</v>
      </c>
      <c r="B812" s="6">
        <v>46157</v>
      </c>
      <c r="C812" s="6">
        <v>46158</v>
      </c>
      <c r="D812" s="17" t="str">
        <f t="shared" si="148"/>
        <v>May</v>
      </c>
      <c r="E812" s="5" t="str">
        <f t="shared" ca="1" si="149"/>
        <v>STU-803</v>
      </c>
      <c r="F812" s="5" t="str">
        <f ca="1">IF(COUNTIF($E$2:E812,E812)=1,"New Customer","Returning Customer")</f>
        <v>New Customer</v>
      </c>
      <c r="G812" s="5" t="str">
        <f t="shared" ca="1" si="150"/>
        <v>Male</v>
      </c>
      <c r="H812" s="5" t="s">
        <v>139</v>
      </c>
      <c r="I812" s="5" t="str" cm="1">
        <f t="array" aca="1" ref="I812" ca="1">INDEX(Courses!$B$9:$B$16,RANDBETWEEN(1,8))</f>
        <v>Adolescent Psychology</v>
      </c>
      <c r="J812" s="5" t="str">
        <f ca="1">VLOOKUP(I812,Courses!$B$9:$C$16,2,0)</f>
        <v>Psychology</v>
      </c>
      <c r="K812" s="7">
        <f ca="1">VLOOKUP(I812,Courses!$B$9:$D$16,3,0)</f>
        <v>29</v>
      </c>
      <c r="L812" s="5" t="str">
        <f t="shared" ca="1" si="151"/>
        <v>Paid</v>
      </c>
      <c r="M812" s="8" t="str" cm="1">
        <f t="array" aca="1" ref="M812" ca="1">INDEX('Payment Method'!$A$8:$A$12,RANDBETWEEN(1,5))</f>
        <v>Mastercard Debit</v>
      </c>
      <c r="N812" s="7">
        <f>IFERROR(SUMIF(Holiday!$A$8:$A$11,B812,Holiday!$C$8:$C$11),0)</f>
        <v>0</v>
      </c>
      <c r="O812" s="7">
        <f t="shared" ca="1" si="152"/>
        <v>29</v>
      </c>
      <c r="P812" s="19">
        <f t="shared" ca="1" si="153"/>
        <v>28.42</v>
      </c>
      <c r="Q812" s="7">
        <f t="shared" ca="1" si="154"/>
        <v>0</v>
      </c>
      <c r="R812" s="8">
        <f ca="1">VLOOKUP(M812,'Payment Method'!$A$8:$B$12,2,0)</f>
        <v>0.02</v>
      </c>
      <c r="S812" s="9">
        <f t="shared" ca="1" si="144"/>
        <v>0.57999999999999829</v>
      </c>
      <c r="T812" s="8">
        <v>0.01</v>
      </c>
      <c r="U812" s="9">
        <f t="shared" ca="1" si="145"/>
        <v>0.28419999999999845</v>
      </c>
      <c r="V812" s="7">
        <f t="shared" ca="1" si="146"/>
        <v>0</v>
      </c>
      <c r="W812" s="7">
        <f t="shared" ca="1" si="147"/>
        <v>28.135800000000003</v>
      </c>
      <c r="X812" s="5" t="str">
        <f t="shared" ca="1" si="155"/>
        <v>Tiktok</v>
      </c>
      <c r="Y812" s="78" t="str">
        <f>IF(COUNTIF($C$1:C811,B811)=1,10,"")</f>
        <v/>
      </c>
    </row>
    <row r="813" spans="1:25" x14ac:dyDescent="0.3">
      <c r="A813" s="76">
        <v>812</v>
      </c>
      <c r="B813" s="6">
        <v>46193</v>
      </c>
      <c r="C813" s="6">
        <v>46198</v>
      </c>
      <c r="D813" s="17" t="str">
        <f t="shared" si="148"/>
        <v>June</v>
      </c>
      <c r="E813" s="5" t="str">
        <f t="shared" ca="1" si="149"/>
        <v>STU-485</v>
      </c>
      <c r="F813" s="5" t="str">
        <f ca="1">IF(COUNTIF($E$2:E813,E813)=1,"New Customer","Returning Customer")</f>
        <v>Returning Customer</v>
      </c>
      <c r="G813" s="5" t="str">
        <f t="shared" ca="1" si="150"/>
        <v>Not specified</v>
      </c>
      <c r="H813" s="5" t="s">
        <v>136</v>
      </c>
      <c r="I813" s="5" t="str" cm="1">
        <f t="array" aca="1" ref="I813" ca="1">INDEX(Courses!$B$9:$B$16,RANDBETWEEN(1,8))</f>
        <v>Complete Excel Course</v>
      </c>
      <c r="J813" s="5" t="str">
        <f ca="1">VLOOKUP(I813,Courses!$B$9:$C$16,2,0)</f>
        <v>Microsoft Office</v>
      </c>
      <c r="K813" s="7">
        <f ca="1">VLOOKUP(I813,Courses!$B$9:$D$16,3,0)</f>
        <v>59</v>
      </c>
      <c r="L813" s="5" t="str">
        <f t="shared" ca="1" si="151"/>
        <v>Pending</v>
      </c>
      <c r="M813" s="8" t="str" cm="1">
        <f t="array" aca="1" ref="M813" ca="1">INDEX('Payment Method'!$A$8:$A$12,RANDBETWEEN(1,5))</f>
        <v>Visa Credit</v>
      </c>
      <c r="N813" s="7">
        <f>IFERROR(SUMIF(Holiday!$A$8:$A$11,B813,Holiday!$C$8:$C$11),0)</f>
        <v>0</v>
      </c>
      <c r="O813" s="7">
        <f t="shared" ca="1" si="152"/>
        <v>59</v>
      </c>
      <c r="P813" s="19">
        <f t="shared" ca="1" si="153"/>
        <v>56.935000000000002</v>
      </c>
      <c r="Q813" s="7">
        <f t="shared" ca="1" si="154"/>
        <v>56.365650000000002</v>
      </c>
      <c r="R813" s="8">
        <f ca="1">VLOOKUP(M813,'Payment Method'!$A$8:$B$12,2,0)</f>
        <v>3.5000000000000003E-2</v>
      </c>
      <c r="S813" s="9">
        <f t="shared" ca="1" si="144"/>
        <v>2.0649999999999977</v>
      </c>
      <c r="T813" s="8">
        <v>0.01</v>
      </c>
      <c r="U813" s="9">
        <f t="shared" ca="1" si="145"/>
        <v>0.56935000000000002</v>
      </c>
      <c r="V813" s="7">
        <f t="shared" ca="1" si="146"/>
        <v>0</v>
      </c>
      <c r="W813" s="7">
        <f t="shared" ca="1" si="147"/>
        <v>0</v>
      </c>
      <c r="X813" s="5" t="str">
        <f t="shared" ca="1" si="155"/>
        <v>Instagram</v>
      </c>
      <c r="Y813" s="78" t="str">
        <f>IF(COUNTIF($C$1:C812,B812)=1,10,"")</f>
        <v/>
      </c>
    </row>
    <row r="814" spans="1:25" x14ac:dyDescent="0.3">
      <c r="A814" s="75">
        <v>813</v>
      </c>
      <c r="B814" s="6">
        <v>46107</v>
      </c>
      <c r="C814" s="6">
        <v>46111</v>
      </c>
      <c r="D814" s="17" t="str">
        <f t="shared" si="148"/>
        <v>March</v>
      </c>
      <c r="E814" s="5" t="str">
        <f t="shared" ca="1" si="149"/>
        <v>STU-956</v>
      </c>
      <c r="F814" s="5" t="str">
        <f ca="1">IF(COUNTIF($E$2:E814,E814)=1,"New Customer","Returning Customer")</f>
        <v>Returning Customer</v>
      </c>
      <c r="G814" s="5" t="str">
        <f t="shared" ca="1" si="150"/>
        <v>Male</v>
      </c>
      <c r="H814" s="5" t="s">
        <v>138</v>
      </c>
      <c r="I814" s="5" t="str" cm="1">
        <f t="array" aca="1" ref="I814" ca="1">INDEX(Courses!$B$9:$B$16,RANDBETWEEN(1,8))</f>
        <v>Adolescent Psychology</v>
      </c>
      <c r="J814" s="5" t="str">
        <f ca="1">VLOOKUP(I814,Courses!$B$9:$C$16,2,0)</f>
        <v>Psychology</v>
      </c>
      <c r="K814" s="7">
        <f ca="1">VLOOKUP(I814,Courses!$B$9:$D$16,3,0)</f>
        <v>29</v>
      </c>
      <c r="L814" s="5" t="str">
        <f t="shared" ca="1" si="151"/>
        <v>Pending</v>
      </c>
      <c r="M814" s="8" t="str" cm="1">
        <f t="array" aca="1" ref="M814" ca="1">INDEX('Payment Method'!$A$8:$A$12,RANDBETWEEN(1,5))</f>
        <v>Bank Transfer</v>
      </c>
      <c r="N814" s="7">
        <f>IFERROR(SUMIF(Holiday!$A$8:$A$11,B814,Holiday!$C$8:$C$11),0)</f>
        <v>0</v>
      </c>
      <c r="O814" s="7">
        <f t="shared" ca="1" si="152"/>
        <v>29</v>
      </c>
      <c r="P814" s="19">
        <f t="shared" ca="1" si="153"/>
        <v>29</v>
      </c>
      <c r="Q814" s="7">
        <f t="shared" ca="1" si="154"/>
        <v>28.71</v>
      </c>
      <c r="R814" s="8">
        <f ca="1">VLOOKUP(M814,'Payment Method'!$A$8:$B$12,2,0)</f>
        <v>0</v>
      </c>
      <c r="S814" s="9">
        <f t="shared" ca="1" si="144"/>
        <v>0</v>
      </c>
      <c r="T814" s="8">
        <v>0.01</v>
      </c>
      <c r="U814" s="9">
        <f t="shared" ca="1" si="145"/>
        <v>0.28999999999999915</v>
      </c>
      <c r="V814" s="7">
        <f t="shared" ca="1" si="146"/>
        <v>0</v>
      </c>
      <c r="W814" s="7">
        <f t="shared" ca="1" si="147"/>
        <v>0</v>
      </c>
      <c r="X814" s="5" t="str">
        <f t="shared" ca="1" si="155"/>
        <v>Instagram</v>
      </c>
      <c r="Y814" s="78" t="str">
        <f>IF(COUNTIF($C$1:C813,B813)=1,10,"")</f>
        <v/>
      </c>
    </row>
    <row r="815" spans="1:25" x14ac:dyDescent="0.3">
      <c r="A815" s="76">
        <v>814</v>
      </c>
      <c r="B815" s="6">
        <v>46052</v>
      </c>
      <c r="C815" s="6">
        <v>46057</v>
      </c>
      <c r="D815" s="17" t="str">
        <f t="shared" si="148"/>
        <v>February</v>
      </c>
      <c r="E815" s="5" t="str">
        <f t="shared" ca="1" si="149"/>
        <v>STU-348</v>
      </c>
      <c r="F815" s="5" t="str">
        <f ca="1">IF(COUNTIF($E$2:E815,E815)=1,"New Customer","Returning Customer")</f>
        <v>Returning Customer</v>
      </c>
      <c r="G815" s="5" t="str">
        <f t="shared" ca="1" si="150"/>
        <v>Not specified</v>
      </c>
      <c r="H815" s="5" t="s">
        <v>136</v>
      </c>
      <c r="I815" s="5" t="str" cm="1">
        <f t="array" aca="1" ref="I815" ca="1">INDEX(Courses!$B$9:$B$16,RANDBETWEEN(1,8))</f>
        <v>Excel Basics</v>
      </c>
      <c r="J815" s="5" t="str">
        <f ca="1">VLOOKUP(I815,Courses!$B$9:$C$16,2,0)</f>
        <v>Microsoft Office</v>
      </c>
      <c r="K815" s="7">
        <f ca="1">VLOOKUP(I815,Courses!$B$9:$D$16,3,0)</f>
        <v>29</v>
      </c>
      <c r="L815" s="5" t="str">
        <f t="shared" ca="1" si="151"/>
        <v>Paid</v>
      </c>
      <c r="M815" s="8" t="str" cm="1">
        <f t="array" aca="1" ref="M815" ca="1">INDEX('Payment Method'!$A$8:$A$12,RANDBETWEEN(1,5))</f>
        <v>Mastercard Credit</v>
      </c>
      <c r="N815" s="7">
        <f>IFERROR(SUMIF(Holiday!$A$8:$A$11,B815,Holiday!$C$8:$C$11),0)</f>
        <v>0</v>
      </c>
      <c r="O815" s="7">
        <f t="shared" ca="1" si="152"/>
        <v>29</v>
      </c>
      <c r="P815" s="19">
        <f t="shared" ca="1" si="153"/>
        <v>27.984999999999999</v>
      </c>
      <c r="Q815" s="7">
        <f t="shared" ca="1" si="154"/>
        <v>0</v>
      </c>
      <c r="R815" s="8">
        <f ca="1">VLOOKUP(M815,'Payment Method'!$A$8:$B$12,2,0)</f>
        <v>3.5000000000000003E-2</v>
      </c>
      <c r="S815" s="9">
        <f t="shared" ca="1" si="144"/>
        <v>1.0150000000000006</v>
      </c>
      <c r="T815" s="8">
        <v>0.01</v>
      </c>
      <c r="U815" s="9">
        <f t="shared" ca="1" si="145"/>
        <v>0.27984999999999971</v>
      </c>
      <c r="V815" s="7">
        <f t="shared" ca="1" si="146"/>
        <v>0</v>
      </c>
      <c r="W815" s="7">
        <f t="shared" ca="1" si="147"/>
        <v>27.70515</v>
      </c>
      <c r="X815" s="5" t="str">
        <f t="shared" ca="1" si="155"/>
        <v>Instagram</v>
      </c>
      <c r="Y815" s="78" t="str">
        <f>IF(COUNTIF($C$1:C814,B814)=1,10,"")</f>
        <v/>
      </c>
    </row>
    <row r="816" spans="1:25" x14ac:dyDescent="0.3">
      <c r="A816" s="75">
        <v>815</v>
      </c>
      <c r="B816" s="6">
        <v>46047</v>
      </c>
      <c r="C816" s="6">
        <v>46050</v>
      </c>
      <c r="D816" s="17" t="str">
        <f t="shared" si="148"/>
        <v>January</v>
      </c>
      <c r="E816" s="5" t="str">
        <f t="shared" ca="1" si="149"/>
        <v>STU-525</v>
      </c>
      <c r="F816" s="5" t="str">
        <f ca="1">IF(COUNTIF($E$2:E816,E816)=1,"New Customer","Returning Customer")</f>
        <v>New Customer</v>
      </c>
      <c r="G816" s="5" t="str">
        <f t="shared" ca="1" si="150"/>
        <v>Not specified</v>
      </c>
      <c r="H816" s="5" t="s">
        <v>139</v>
      </c>
      <c r="I816" s="5" t="str" cm="1">
        <f t="array" aca="1" ref="I816" ca="1">INDEX(Courses!$B$9:$B$16,RANDBETWEEN(1,8))</f>
        <v>Microsoft Word</v>
      </c>
      <c r="J816" s="5" t="str">
        <f ca="1">VLOOKUP(I816,Courses!$B$9:$C$16,2,0)</f>
        <v>Microsoft Office</v>
      </c>
      <c r="K816" s="7">
        <f ca="1">VLOOKUP(I816,Courses!$B$9:$D$16,3,0)</f>
        <v>29</v>
      </c>
      <c r="L816" s="5" t="str">
        <f t="shared" ca="1" si="151"/>
        <v>Pending</v>
      </c>
      <c r="M816" s="8" t="str" cm="1">
        <f t="array" aca="1" ref="M816" ca="1">INDEX('Payment Method'!$A$8:$A$12,RANDBETWEEN(1,5))</f>
        <v>Visa Credit</v>
      </c>
      <c r="N816" s="7">
        <f>IFERROR(SUMIF(Holiday!$A$8:$A$11,B816,Holiday!$C$8:$C$11),0)</f>
        <v>0</v>
      </c>
      <c r="O816" s="7">
        <f t="shared" ca="1" si="152"/>
        <v>29</v>
      </c>
      <c r="P816" s="19">
        <f t="shared" ca="1" si="153"/>
        <v>27.984999999999999</v>
      </c>
      <c r="Q816" s="7">
        <f t="shared" ca="1" si="154"/>
        <v>27.70515</v>
      </c>
      <c r="R816" s="8">
        <f ca="1">VLOOKUP(M816,'Payment Method'!$A$8:$B$12,2,0)</f>
        <v>3.5000000000000003E-2</v>
      </c>
      <c r="S816" s="9">
        <f t="shared" ca="1" si="144"/>
        <v>1.0150000000000006</v>
      </c>
      <c r="T816" s="8">
        <v>0.01</v>
      </c>
      <c r="U816" s="9">
        <f t="shared" ca="1" si="145"/>
        <v>0.27984999999999971</v>
      </c>
      <c r="V816" s="7">
        <f t="shared" ca="1" si="146"/>
        <v>0</v>
      </c>
      <c r="W816" s="7">
        <f t="shared" ca="1" si="147"/>
        <v>0</v>
      </c>
      <c r="X816" s="5" t="str">
        <f t="shared" ca="1" si="155"/>
        <v>Facebook</v>
      </c>
      <c r="Y816" s="78" t="str">
        <f>IF(COUNTIF($C$1:C815,B815)=1,10,"")</f>
        <v/>
      </c>
    </row>
    <row r="817" spans="1:25" x14ac:dyDescent="0.3">
      <c r="A817" s="76">
        <v>816</v>
      </c>
      <c r="B817" s="6">
        <v>46109</v>
      </c>
      <c r="C817" s="6">
        <v>46110</v>
      </c>
      <c r="D817" s="17" t="str">
        <f t="shared" si="148"/>
        <v>March</v>
      </c>
      <c r="E817" s="5" t="str">
        <f t="shared" ca="1" si="149"/>
        <v>STU-466</v>
      </c>
      <c r="F817" s="5" t="str">
        <f ca="1">IF(COUNTIF($E$2:E817,E817)=1,"New Customer","Returning Customer")</f>
        <v>Returning Customer</v>
      </c>
      <c r="G817" s="5" t="str">
        <f t="shared" ca="1" si="150"/>
        <v>Female</v>
      </c>
      <c r="H817" s="5" t="s">
        <v>137</v>
      </c>
      <c r="I817" s="5" t="str" cm="1">
        <f t="array" aca="1" ref="I817" ca="1">INDEX(Courses!$B$9:$B$16,RANDBETWEEN(1,8))</f>
        <v>SQL</v>
      </c>
      <c r="J817" s="5" t="str">
        <f ca="1">VLOOKUP(I817,Courses!$B$9:$C$16,2,0)</f>
        <v>Data Analytics</v>
      </c>
      <c r="K817" s="7">
        <f ca="1">VLOOKUP(I817,Courses!$B$9:$D$16,3,0)</f>
        <v>99</v>
      </c>
      <c r="L817" s="5" t="str">
        <f t="shared" ca="1" si="151"/>
        <v>Pending</v>
      </c>
      <c r="M817" s="8" t="str" cm="1">
        <f t="array" aca="1" ref="M817" ca="1">INDEX('Payment Method'!$A$8:$A$12,RANDBETWEEN(1,5))</f>
        <v>Mastercard Debit</v>
      </c>
      <c r="N817" s="7">
        <f>IFERROR(SUMIF(Holiday!$A$8:$A$11,B817,Holiday!$C$8:$C$11),0)</f>
        <v>0</v>
      </c>
      <c r="O817" s="7">
        <f t="shared" ca="1" si="152"/>
        <v>99</v>
      </c>
      <c r="P817" s="19">
        <f t="shared" ca="1" si="153"/>
        <v>97.02</v>
      </c>
      <c r="Q817" s="7">
        <f t="shared" ca="1" si="154"/>
        <v>96.049799999999991</v>
      </c>
      <c r="R817" s="8">
        <f ca="1">VLOOKUP(M817,'Payment Method'!$A$8:$B$12,2,0)</f>
        <v>0.02</v>
      </c>
      <c r="S817" s="9">
        <f t="shared" ca="1" si="144"/>
        <v>1.980000000000004</v>
      </c>
      <c r="T817" s="8">
        <v>0.01</v>
      </c>
      <c r="U817" s="9">
        <f t="shared" ca="1" si="145"/>
        <v>0.9702000000000055</v>
      </c>
      <c r="V817" s="7">
        <f t="shared" ca="1" si="146"/>
        <v>0</v>
      </c>
      <c r="W817" s="7">
        <f t="shared" ca="1" si="147"/>
        <v>0</v>
      </c>
      <c r="X817" s="5" t="str">
        <f t="shared" ca="1" si="155"/>
        <v>Facebook</v>
      </c>
      <c r="Y817" s="78" t="str">
        <f>IF(COUNTIF($C$1:C816,B816)=1,10,"")</f>
        <v/>
      </c>
    </row>
    <row r="818" spans="1:25" x14ac:dyDescent="0.3">
      <c r="A818" s="75">
        <v>817</v>
      </c>
      <c r="B818" s="6">
        <v>46171</v>
      </c>
      <c r="C818" s="6">
        <v>46172</v>
      </c>
      <c r="D818" s="17" t="str">
        <f t="shared" si="148"/>
        <v>May</v>
      </c>
      <c r="E818" s="5" t="str">
        <f t="shared" ca="1" si="149"/>
        <v>STU-507</v>
      </c>
      <c r="F818" s="5" t="str">
        <f ca="1">IF(COUNTIF($E$2:E818,E818)=1,"New Customer","Returning Customer")</f>
        <v>Returning Customer</v>
      </c>
      <c r="G818" s="5" t="str">
        <f t="shared" ca="1" si="150"/>
        <v>Female</v>
      </c>
      <c r="H818" s="5" t="s">
        <v>140</v>
      </c>
      <c r="I818" s="5" t="str" cm="1">
        <f t="array" aca="1" ref="I818" ca="1">INDEX(Courses!$B$9:$B$16,RANDBETWEEN(1,8))</f>
        <v>Power BI</v>
      </c>
      <c r="J818" s="5" t="str">
        <f ca="1">VLOOKUP(I818,Courses!$B$9:$C$16,2,0)</f>
        <v>Data Analytics</v>
      </c>
      <c r="K818" s="7">
        <f ca="1">VLOOKUP(I818,Courses!$B$9:$D$16,3,0)</f>
        <v>59</v>
      </c>
      <c r="L818" s="5" t="str">
        <f t="shared" ca="1" si="151"/>
        <v>Pending</v>
      </c>
      <c r="M818" s="8" t="str" cm="1">
        <f t="array" aca="1" ref="M818" ca="1">INDEX('Payment Method'!$A$8:$A$12,RANDBETWEEN(1,5))</f>
        <v>Visa Credit</v>
      </c>
      <c r="N818" s="7">
        <f>IFERROR(SUMIF(Holiday!$A$8:$A$11,B818,Holiday!$C$8:$C$11),0)</f>
        <v>0</v>
      </c>
      <c r="O818" s="7">
        <f t="shared" ca="1" si="152"/>
        <v>59</v>
      </c>
      <c r="P818" s="19">
        <f t="shared" ca="1" si="153"/>
        <v>56.935000000000002</v>
      </c>
      <c r="Q818" s="7">
        <f t="shared" ca="1" si="154"/>
        <v>56.365650000000002</v>
      </c>
      <c r="R818" s="8">
        <f ca="1">VLOOKUP(M818,'Payment Method'!$A$8:$B$12,2,0)</f>
        <v>3.5000000000000003E-2</v>
      </c>
      <c r="S818" s="9">
        <f t="shared" ca="1" si="144"/>
        <v>2.0649999999999977</v>
      </c>
      <c r="T818" s="8">
        <v>0.01</v>
      </c>
      <c r="U818" s="9">
        <f t="shared" ca="1" si="145"/>
        <v>0.56935000000000002</v>
      </c>
      <c r="V818" s="7">
        <f t="shared" ca="1" si="146"/>
        <v>0</v>
      </c>
      <c r="W818" s="7">
        <f t="shared" ca="1" si="147"/>
        <v>0</v>
      </c>
      <c r="X818" s="5" t="str">
        <f t="shared" ca="1" si="155"/>
        <v>Facebook</v>
      </c>
      <c r="Y818" s="78" t="str">
        <f>IF(COUNTIF($C$1:C817,B817)=1,10,"")</f>
        <v/>
      </c>
    </row>
    <row r="819" spans="1:25" x14ac:dyDescent="0.3">
      <c r="A819" s="76">
        <v>818</v>
      </c>
      <c r="B819" s="6">
        <v>46029</v>
      </c>
      <c r="C819" s="6">
        <v>46034</v>
      </c>
      <c r="D819" s="17" t="str">
        <f t="shared" si="148"/>
        <v>January</v>
      </c>
      <c r="E819" s="5" t="str">
        <f t="shared" ca="1" si="149"/>
        <v>STU-864</v>
      </c>
      <c r="F819" s="5" t="str">
        <f ca="1">IF(COUNTIF($E$2:E819,E819)=1,"New Customer","Returning Customer")</f>
        <v>Returning Customer</v>
      </c>
      <c r="G819" s="5" t="str">
        <f t="shared" ca="1" si="150"/>
        <v>Male</v>
      </c>
      <c r="H819" s="5" t="s">
        <v>141</v>
      </c>
      <c r="I819" s="5" t="str" cm="1">
        <f t="array" aca="1" ref="I819" ca="1">INDEX(Courses!$B$9:$B$16,RANDBETWEEN(1,8))</f>
        <v>Microsoft Word</v>
      </c>
      <c r="J819" s="5" t="str">
        <f ca="1">VLOOKUP(I819,Courses!$B$9:$C$16,2,0)</f>
        <v>Microsoft Office</v>
      </c>
      <c r="K819" s="7">
        <f ca="1">VLOOKUP(I819,Courses!$B$9:$D$16,3,0)</f>
        <v>29</v>
      </c>
      <c r="L819" s="5" t="str">
        <f t="shared" ca="1" si="151"/>
        <v>Paid</v>
      </c>
      <c r="M819" s="8" t="str" cm="1">
        <f t="array" aca="1" ref="M819" ca="1">INDEX('Payment Method'!$A$8:$A$12,RANDBETWEEN(1,5))</f>
        <v>Visa Debit</v>
      </c>
      <c r="N819" s="7">
        <f>IFERROR(SUMIF(Holiday!$A$8:$A$11,B819,Holiday!$C$8:$C$11),0)</f>
        <v>0</v>
      </c>
      <c r="O819" s="7">
        <f t="shared" ca="1" si="152"/>
        <v>29</v>
      </c>
      <c r="P819" s="19">
        <f t="shared" ca="1" si="153"/>
        <v>28.42</v>
      </c>
      <c r="Q819" s="7">
        <f t="shared" ca="1" si="154"/>
        <v>0</v>
      </c>
      <c r="R819" s="8">
        <f ca="1">VLOOKUP(M819,'Payment Method'!$A$8:$B$12,2,0)</f>
        <v>0.02</v>
      </c>
      <c r="S819" s="9">
        <f t="shared" ca="1" si="144"/>
        <v>0.57999999999999829</v>
      </c>
      <c r="T819" s="8">
        <v>0.01</v>
      </c>
      <c r="U819" s="9">
        <f t="shared" ca="1" si="145"/>
        <v>0.28419999999999845</v>
      </c>
      <c r="V819" s="7">
        <f t="shared" ca="1" si="146"/>
        <v>0</v>
      </c>
      <c r="W819" s="7">
        <f t="shared" ca="1" si="147"/>
        <v>28.135800000000003</v>
      </c>
      <c r="X819" s="5" t="str">
        <f t="shared" ca="1" si="155"/>
        <v>Tiktok</v>
      </c>
      <c r="Y819" s="78" t="str">
        <f>IF(COUNTIF($C$1:C818,B818)=1,10,"")</f>
        <v/>
      </c>
    </row>
    <row r="820" spans="1:25" x14ac:dyDescent="0.3">
      <c r="A820" s="75">
        <v>819</v>
      </c>
      <c r="B820" s="6">
        <v>46159</v>
      </c>
      <c r="C820" s="6">
        <v>46159</v>
      </c>
      <c r="D820" s="17" t="str">
        <f t="shared" si="148"/>
        <v>May</v>
      </c>
      <c r="E820" s="5" t="str">
        <f t="shared" ca="1" si="149"/>
        <v>STU-686</v>
      </c>
      <c r="F820" s="5" t="str">
        <f ca="1">IF(COUNTIF($E$2:E820,E820)=1,"New Customer","Returning Customer")</f>
        <v>Returning Customer</v>
      </c>
      <c r="G820" s="5" t="str">
        <f t="shared" ca="1" si="150"/>
        <v>Female</v>
      </c>
      <c r="H820" s="5" t="s">
        <v>139</v>
      </c>
      <c r="I820" s="5" t="str" cm="1">
        <f t="array" aca="1" ref="I820" ca="1">INDEX(Courses!$B$9:$B$16,RANDBETWEEN(1,8))</f>
        <v>Microsoft Word</v>
      </c>
      <c r="J820" s="5" t="str">
        <f ca="1">VLOOKUP(I820,Courses!$B$9:$C$16,2,0)</f>
        <v>Microsoft Office</v>
      </c>
      <c r="K820" s="7">
        <f ca="1">VLOOKUP(I820,Courses!$B$9:$D$16,3,0)</f>
        <v>29</v>
      </c>
      <c r="L820" s="5" t="str">
        <f t="shared" ca="1" si="151"/>
        <v>Pending</v>
      </c>
      <c r="M820" s="8" t="str" cm="1">
        <f t="array" aca="1" ref="M820" ca="1">INDEX('Payment Method'!$A$8:$A$12,RANDBETWEEN(1,5))</f>
        <v>Visa Debit</v>
      </c>
      <c r="N820" s="7">
        <f>IFERROR(SUMIF(Holiday!$A$8:$A$11,B820,Holiday!$C$8:$C$11),0)</f>
        <v>0</v>
      </c>
      <c r="O820" s="7">
        <f t="shared" ca="1" si="152"/>
        <v>29</v>
      </c>
      <c r="P820" s="19">
        <f t="shared" ca="1" si="153"/>
        <v>28.42</v>
      </c>
      <c r="Q820" s="7">
        <f t="shared" ca="1" si="154"/>
        <v>28.135800000000003</v>
      </c>
      <c r="R820" s="8">
        <f ca="1">VLOOKUP(M820,'Payment Method'!$A$8:$B$12,2,0)</f>
        <v>0.02</v>
      </c>
      <c r="S820" s="9">
        <f t="shared" ca="1" si="144"/>
        <v>0.57999999999999829</v>
      </c>
      <c r="T820" s="8">
        <v>0.01</v>
      </c>
      <c r="U820" s="9">
        <f t="shared" ca="1" si="145"/>
        <v>0.28419999999999845</v>
      </c>
      <c r="V820" s="7">
        <f t="shared" ca="1" si="146"/>
        <v>0</v>
      </c>
      <c r="W820" s="7">
        <f t="shared" ca="1" si="147"/>
        <v>0</v>
      </c>
      <c r="X820" s="5" t="str">
        <f t="shared" ca="1" si="155"/>
        <v>Instagram</v>
      </c>
      <c r="Y820" s="78" t="str">
        <f>IF(COUNTIF($C$1:C819,B819)=1,10,"")</f>
        <v/>
      </c>
    </row>
    <row r="821" spans="1:25" x14ac:dyDescent="0.3">
      <c r="A821" s="76">
        <v>820</v>
      </c>
      <c r="B821" s="6">
        <v>46230</v>
      </c>
      <c r="C821" s="6">
        <v>46231</v>
      </c>
      <c r="D821" s="17" t="str">
        <f t="shared" si="148"/>
        <v>July</v>
      </c>
      <c r="E821" s="5" t="str">
        <f t="shared" ca="1" si="149"/>
        <v>STU-909</v>
      </c>
      <c r="F821" s="5" t="str">
        <f ca="1">IF(COUNTIF($E$2:E821,E821)=1,"New Customer","Returning Customer")</f>
        <v>New Customer</v>
      </c>
      <c r="G821" s="5" t="str">
        <f t="shared" ca="1" si="150"/>
        <v>Not specified</v>
      </c>
      <c r="H821" s="5" t="s">
        <v>137</v>
      </c>
      <c r="I821" s="5" t="str" cm="1">
        <f t="array" aca="1" ref="I821" ca="1">INDEX(Courses!$B$9:$B$16,RANDBETWEEN(1,8))</f>
        <v>Microsoft Word</v>
      </c>
      <c r="J821" s="5" t="str">
        <f ca="1">VLOOKUP(I821,Courses!$B$9:$C$16,2,0)</f>
        <v>Microsoft Office</v>
      </c>
      <c r="K821" s="7">
        <f ca="1">VLOOKUP(I821,Courses!$B$9:$D$16,3,0)</f>
        <v>29</v>
      </c>
      <c r="L821" s="5" t="str">
        <f t="shared" ca="1" si="151"/>
        <v>Paid</v>
      </c>
      <c r="M821" s="8" t="str" cm="1">
        <f t="array" aca="1" ref="M821" ca="1">INDEX('Payment Method'!$A$8:$A$12,RANDBETWEEN(1,5))</f>
        <v>Visa Credit</v>
      </c>
      <c r="N821" s="7">
        <f>IFERROR(SUMIF(Holiday!$A$8:$A$11,B821,Holiday!$C$8:$C$11),0)</f>
        <v>0</v>
      </c>
      <c r="O821" s="7">
        <f t="shared" ca="1" si="152"/>
        <v>29</v>
      </c>
      <c r="P821" s="19">
        <f t="shared" ca="1" si="153"/>
        <v>27.984999999999999</v>
      </c>
      <c r="Q821" s="7">
        <f t="shared" ca="1" si="154"/>
        <v>0</v>
      </c>
      <c r="R821" s="8">
        <f ca="1">VLOOKUP(M821,'Payment Method'!$A$8:$B$12,2,0)</f>
        <v>3.5000000000000003E-2</v>
      </c>
      <c r="S821" s="9">
        <f t="shared" ca="1" si="144"/>
        <v>1.0150000000000006</v>
      </c>
      <c r="T821" s="8">
        <v>0.01</v>
      </c>
      <c r="U821" s="9">
        <f t="shared" ca="1" si="145"/>
        <v>0.27984999999999971</v>
      </c>
      <c r="V821" s="7">
        <f t="shared" ca="1" si="146"/>
        <v>0</v>
      </c>
      <c r="W821" s="7">
        <f t="shared" ca="1" si="147"/>
        <v>27.70515</v>
      </c>
      <c r="X821" s="5" t="str">
        <f t="shared" ca="1" si="155"/>
        <v>Tiktok</v>
      </c>
      <c r="Y821" s="78" t="str">
        <f>IF(COUNTIF($C$1:C820,B820)=1,10,"")</f>
        <v/>
      </c>
    </row>
    <row r="822" spans="1:25" x14ac:dyDescent="0.3">
      <c r="A822" s="75">
        <v>821</v>
      </c>
      <c r="B822" s="6">
        <v>46230</v>
      </c>
      <c r="C822" s="6">
        <v>46231</v>
      </c>
      <c r="D822" s="17" t="str">
        <f t="shared" si="148"/>
        <v>July</v>
      </c>
      <c r="E822" s="5" t="str">
        <f t="shared" ca="1" si="149"/>
        <v>STU-912</v>
      </c>
      <c r="F822" s="5" t="str">
        <f ca="1">IF(COUNTIF($E$2:E822,E822)=1,"New Customer","Returning Customer")</f>
        <v>New Customer</v>
      </c>
      <c r="G822" s="5" t="str">
        <f t="shared" ca="1" si="150"/>
        <v>Not specified</v>
      </c>
      <c r="H822" s="5" t="s">
        <v>141</v>
      </c>
      <c r="I822" s="5" t="str" cm="1">
        <f t="array" aca="1" ref="I822" ca="1">INDEX(Courses!$B$9:$B$16,RANDBETWEEN(1,8))</f>
        <v>Excel Basics</v>
      </c>
      <c r="J822" s="5" t="str">
        <f ca="1">VLOOKUP(I822,Courses!$B$9:$C$16,2,0)</f>
        <v>Microsoft Office</v>
      </c>
      <c r="K822" s="7">
        <f ca="1">VLOOKUP(I822,Courses!$B$9:$D$16,3,0)</f>
        <v>29</v>
      </c>
      <c r="L822" s="5" t="str">
        <f t="shared" ca="1" si="151"/>
        <v>Paid</v>
      </c>
      <c r="M822" s="8" t="str" cm="1">
        <f t="array" aca="1" ref="M822" ca="1">INDEX('Payment Method'!$A$8:$A$12,RANDBETWEEN(1,5))</f>
        <v>Bank Transfer</v>
      </c>
      <c r="N822" s="7">
        <f>IFERROR(SUMIF(Holiday!$A$8:$A$11,B822,Holiday!$C$8:$C$11),0)</f>
        <v>0</v>
      </c>
      <c r="O822" s="7">
        <f t="shared" ca="1" si="152"/>
        <v>29</v>
      </c>
      <c r="P822" s="19">
        <f t="shared" ca="1" si="153"/>
        <v>29</v>
      </c>
      <c r="Q822" s="7">
        <f t="shared" ca="1" si="154"/>
        <v>0</v>
      </c>
      <c r="R822" s="8">
        <f ca="1">VLOOKUP(M822,'Payment Method'!$A$8:$B$12,2,0)</f>
        <v>0</v>
      </c>
      <c r="S822" s="9">
        <f t="shared" ca="1" si="144"/>
        <v>0</v>
      </c>
      <c r="T822" s="8">
        <v>0.01</v>
      </c>
      <c r="U822" s="9">
        <f t="shared" ca="1" si="145"/>
        <v>0.28999999999999915</v>
      </c>
      <c r="V822" s="7">
        <f t="shared" ca="1" si="146"/>
        <v>0</v>
      </c>
      <c r="W822" s="7">
        <f t="shared" ca="1" si="147"/>
        <v>28.71</v>
      </c>
      <c r="X822" s="5" t="str">
        <f t="shared" ca="1" si="155"/>
        <v>Facebook</v>
      </c>
      <c r="Y822" s="78" t="str">
        <f>IF(COUNTIF($C$1:C821,B821)=1,10,"")</f>
        <v/>
      </c>
    </row>
    <row r="823" spans="1:25" x14ac:dyDescent="0.3">
      <c r="A823" s="76">
        <v>822</v>
      </c>
      <c r="B823" s="6">
        <v>46028</v>
      </c>
      <c r="C823" s="6">
        <v>46028</v>
      </c>
      <c r="D823" s="17" t="str">
        <f t="shared" si="148"/>
        <v>January</v>
      </c>
      <c r="E823" s="5" t="str">
        <f t="shared" ca="1" si="149"/>
        <v>STU-349</v>
      </c>
      <c r="F823" s="5" t="str">
        <f ca="1">IF(COUNTIF($E$2:E823,E823)=1,"New Customer","Returning Customer")</f>
        <v>New Customer</v>
      </c>
      <c r="G823" s="5" t="str">
        <f t="shared" ca="1" si="150"/>
        <v>Female</v>
      </c>
      <c r="H823" s="5" t="s">
        <v>135</v>
      </c>
      <c r="I823" s="5" t="str" cm="1">
        <f t="array" aca="1" ref="I823" ca="1">INDEX(Courses!$B$9:$B$16,RANDBETWEEN(1,8))</f>
        <v>Tax Code</v>
      </c>
      <c r="J823" s="5" t="str">
        <f ca="1">VLOOKUP(I823,Courses!$B$9:$C$16,2,0)</f>
        <v>Finance &amp; Taxation</v>
      </c>
      <c r="K823" s="7">
        <f ca="1">VLOOKUP(I823,Courses!$B$9:$D$16,3,0)</f>
        <v>59</v>
      </c>
      <c r="L823" s="5" t="str">
        <f t="shared" ca="1" si="151"/>
        <v>Refunded</v>
      </c>
      <c r="M823" s="8" t="str" cm="1">
        <f t="array" aca="1" ref="M823" ca="1">INDEX('Payment Method'!$A$8:$A$12,RANDBETWEEN(1,5))</f>
        <v>Mastercard Debit</v>
      </c>
      <c r="N823" s="7">
        <f>IFERROR(SUMIF(Holiday!$A$8:$A$11,B823,Holiday!$C$8:$C$11),0)</f>
        <v>0</v>
      </c>
      <c r="O823" s="7">
        <f t="shared" ca="1" si="152"/>
        <v>59</v>
      </c>
      <c r="P823" s="19">
        <f t="shared" ca="1" si="153"/>
        <v>57.82</v>
      </c>
      <c r="Q823" s="7">
        <f t="shared" ca="1" si="154"/>
        <v>0</v>
      </c>
      <c r="R823" s="8">
        <f ca="1">VLOOKUP(M823,'Payment Method'!$A$8:$B$12,2,0)</f>
        <v>0.02</v>
      </c>
      <c r="S823" s="9">
        <f t="shared" ca="1" si="144"/>
        <v>1.1799999999999997</v>
      </c>
      <c r="T823" s="8">
        <v>0.01</v>
      </c>
      <c r="U823" s="9">
        <f t="shared" ca="1" si="145"/>
        <v>0.57820000000000249</v>
      </c>
      <c r="V823" s="7">
        <f t="shared" ca="1" si="146"/>
        <v>57.241799999999998</v>
      </c>
      <c r="W823" s="7">
        <f t="shared" ca="1" si="147"/>
        <v>0</v>
      </c>
      <c r="X823" s="5" t="str">
        <f t="shared" ca="1" si="155"/>
        <v>Facebook</v>
      </c>
      <c r="Y823" s="78" t="str">
        <f>IF(COUNTIF($C$1:C822,B822)=1,10,"")</f>
        <v/>
      </c>
    </row>
    <row r="824" spans="1:25" x14ac:dyDescent="0.3">
      <c r="A824" s="75">
        <v>823</v>
      </c>
      <c r="B824" s="6">
        <v>46120</v>
      </c>
      <c r="C824" s="6">
        <v>46121</v>
      </c>
      <c r="D824" s="17" t="str">
        <f t="shared" si="148"/>
        <v>April</v>
      </c>
      <c r="E824" s="5" t="str">
        <f t="shared" ca="1" si="149"/>
        <v>STU-448</v>
      </c>
      <c r="F824" s="5" t="str">
        <f ca="1">IF(COUNTIF($E$2:E824,E824)=1,"New Customer","Returning Customer")</f>
        <v>Returning Customer</v>
      </c>
      <c r="G824" s="5" t="str">
        <f t="shared" ca="1" si="150"/>
        <v>Not specified</v>
      </c>
      <c r="H824" s="5" t="s">
        <v>142</v>
      </c>
      <c r="I824" s="5" t="str" cm="1">
        <f t="array" aca="1" ref="I824" ca="1">INDEX(Courses!$B$9:$B$16,RANDBETWEEN(1,8))</f>
        <v>Adolescent Psychology</v>
      </c>
      <c r="J824" s="5" t="str">
        <f ca="1">VLOOKUP(I824,Courses!$B$9:$C$16,2,0)</f>
        <v>Psychology</v>
      </c>
      <c r="K824" s="7">
        <f ca="1">VLOOKUP(I824,Courses!$B$9:$D$16,3,0)</f>
        <v>29</v>
      </c>
      <c r="L824" s="5" t="str">
        <f t="shared" ca="1" si="151"/>
        <v>Paid</v>
      </c>
      <c r="M824" s="8" t="str" cm="1">
        <f t="array" aca="1" ref="M824" ca="1">INDEX('Payment Method'!$A$8:$A$12,RANDBETWEEN(1,5))</f>
        <v>Mastercard Credit</v>
      </c>
      <c r="N824" s="7">
        <f>IFERROR(SUMIF(Holiday!$A$8:$A$11,B824,Holiday!$C$8:$C$11),0)</f>
        <v>0</v>
      </c>
      <c r="O824" s="7">
        <f t="shared" ca="1" si="152"/>
        <v>29</v>
      </c>
      <c r="P824" s="19">
        <f t="shared" ca="1" si="153"/>
        <v>27.984999999999999</v>
      </c>
      <c r="Q824" s="7">
        <f t="shared" ca="1" si="154"/>
        <v>0</v>
      </c>
      <c r="R824" s="8">
        <f ca="1">VLOOKUP(M824,'Payment Method'!$A$8:$B$12,2,0)</f>
        <v>3.5000000000000003E-2</v>
      </c>
      <c r="S824" s="9">
        <f t="shared" ca="1" si="144"/>
        <v>1.0150000000000006</v>
      </c>
      <c r="T824" s="8">
        <v>0.01</v>
      </c>
      <c r="U824" s="9">
        <f t="shared" ca="1" si="145"/>
        <v>0.27984999999999971</v>
      </c>
      <c r="V824" s="7">
        <f t="shared" ca="1" si="146"/>
        <v>0</v>
      </c>
      <c r="W824" s="7">
        <f t="shared" ca="1" si="147"/>
        <v>27.70515</v>
      </c>
      <c r="X824" s="5" t="str">
        <f t="shared" ca="1" si="155"/>
        <v>Tiktok</v>
      </c>
      <c r="Y824" s="78" t="str">
        <f>IF(COUNTIF($C$1:C823,B823)=1,10,"")</f>
        <v/>
      </c>
    </row>
    <row r="825" spans="1:25" x14ac:dyDescent="0.3">
      <c r="A825" s="76">
        <v>824</v>
      </c>
      <c r="B825" s="6">
        <v>46196</v>
      </c>
      <c r="C825" s="6">
        <v>46196</v>
      </c>
      <c r="D825" s="17" t="str">
        <f t="shared" si="148"/>
        <v>June</v>
      </c>
      <c r="E825" s="5" t="str">
        <f t="shared" ca="1" si="149"/>
        <v>STU-786</v>
      </c>
      <c r="F825" s="5" t="str">
        <f ca="1">IF(COUNTIF($E$2:E825,E825)=1,"New Customer","Returning Customer")</f>
        <v>Returning Customer</v>
      </c>
      <c r="G825" s="5" t="str">
        <f t="shared" ca="1" si="150"/>
        <v>Female</v>
      </c>
      <c r="H825" s="5" t="s">
        <v>137</v>
      </c>
      <c r="I825" s="5" t="str" cm="1">
        <f t="array" aca="1" ref="I825" ca="1">INDEX(Courses!$B$9:$B$16,RANDBETWEEN(1,8))</f>
        <v>Complete Excel Course</v>
      </c>
      <c r="J825" s="5" t="str">
        <f ca="1">VLOOKUP(I825,Courses!$B$9:$C$16,2,0)</f>
        <v>Microsoft Office</v>
      </c>
      <c r="K825" s="7">
        <f ca="1">VLOOKUP(I825,Courses!$B$9:$D$16,3,0)</f>
        <v>59</v>
      </c>
      <c r="L825" s="5" t="str">
        <f t="shared" ca="1" si="151"/>
        <v>Paid</v>
      </c>
      <c r="M825" s="8" t="str" cm="1">
        <f t="array" aca="1" ref="M825" ca="1">INDEX('Payment Method'!$A$8:$A$12,RANDBETWEEN(1,5))</f>
        <v>Mastercard Credit</v>
      </c>
      <c r="N825" s="7">
        <f>IFERROR(SUMIF(Holiday!$A$8:$A$11,B825,Holiday!$C$8:$C$11),0)</f>
        <v>0</v>
      </c>
      <c r="O825" s="7">
        <f t="shared" ca="1" si="152"/>
        <v>59</v>
      </c>
      <c r="P825" s="19">
        <f t="shared" ca="1" si="153"/>
        <v>56.935000000000002</v>
      </c>
      <c r="Q825" s="7">
        <f t="shared" ca="1" si="154"/>
        <v>0</v>
      </c>
      <c r="R825" s="8">
        <f ca="1">VLOOKUP(M825,'Payment Method'!$A$8:$B$12,2,0)</f>
        <v>3.5000000000000003E-2</v>
      </c>
      <c r="S825" s="9">
        <f t="shared" ca="1" si="144"/>
        <v>2.0649999999999977</v>
      </c>
      <c r="T825" s="8">
        <v>0.01</v>
      </c>
      <c r="U825" s="9">
        <f t="shared" ca="1" si="145"/>
        <v>0.56935000000000002</v>
      </c>
      <c r="V825" s="7">
        <f t="shared" ca="1" si="146"/>
        <v>0</v>
      </c>
      <c r="W825" s="7">
        <f t="shared" ca="1" si="147"/>
        <v>56.365650000000002</v>
      </c>
      <c r="X825" s="5" t="str">
        <f t="shared" ca="1" si="155"/>
        <v>Tiktok</v>
      </c>
      <c r="Y825" s="78" t="str">
        <f>IF(COUNTIF($C$1:C824,B824)=1,10,"")</f>
        <v/>
      </c>
    </row>
    <row r="826" spans="1:25" x14ac:dyDescent="0.3">
      <c r="A826" s="75">
        <v>825</v>
      </c>
      <c r="B826" s="6">
        <v>46203</v>
      </c>
      <c r="C826" s="6">
        <v>46206</v>
      </c>
      <c r="D826" s="17" t="str">
        <f t="shared" si="148"/>
        <v>July</v>
      </c>
      <c r="E826" s="5" t="str">
        <f t="shared" ca="1" si="149"/>
        <v>STU-900</v>
      </c>
      <c r="F826" s="5" t="str">
        <f ca="1">IF(COUNTIF($E$2:E826,E826)=1,"New Customer","Returning Customer")</f>
        <v>New Customer</v>
      </c>
      <c r="G826" s="5" t="str">
        <f t="shared" ca="1" si="150"/>
        <v>Not specified</v>
      </c>
      <c r="H826" s="5" t="s">
        <v>140</v>
      </c>
      <c r="I826" s="5" t="str" cm="1">
        <f t="array" aca="1" ref="I826" ca="1">INDEX(Courses!$B$9:$B$16,RANDBETWEEN(1,8))</f>
        <v>Tax Code</v>
      </c>
      <c r="J826" s="5" t="str">
        <f ca="1">VLOOKUP(I826,Courses!$B$9:$C$16,2,0)</f>
        <v>Finance &amp; Taxation</v>
      </c>
      <c r="K826" s="7">
        <f ca="1">VLOOKUP(I826,Courses!$B$9:$D$16,3,0)</f>
        <v>59</v>
      </c>
      <c r="L826" s="5" t="str">
        <f t="shared" ca="1" si="151"/>
        <v>Paid</v>
      </c>
      <c r="M826" s="8" t="str" cm="1">
        <f t="array" aca="1" ref="M826" ca="1">INDEX('Payment Method'!$A$8:$A$12,RANDBETWEEN(1,5))</f>
        <v>Bank Transfer</v>
      </c>
      <c r="N826" s="7">
        <f>IFERROR(SUMIF(Holiday!$A$8:$A$11,B826,Holiday!$C$8:$C$11),0)</f>
        <v>0</v>
      </c>
      <c r="O826" s="7">
        <f t="shared" ca="1" si="152"/>
        <v>59</v>
      </c>
      <c r="P826" s="19">
        <f t="shared" ca="1" si="153"/>
        <v>59</v>
      </c>
      <c r="Q826" s="7">
        <f t="shared" ca="1" si="154"/>
        <v>0</v>
      </c>
      <c r="R826" s="8">
        <f ca="1">VLOOKUP(M826,'Payment Method'!$A$8:$B$12,2,0)</f>
        <v>0</v>
      </c>
      <c r="S826" s="9">
        <f t="shared" ca="1" si="144"/>
        <v>0</v>
      </c>
      <c r="T826" s="8">
        <v>0.01</v>
      </c>
      <c r="U826" s="9">
        <f t="shared" ca="1" si="145"/>
        <v>0.59000000000000341</v>
      </c>
      <c r="V826" s="7">
        <f t="shared" ca="1" si="146"/>
        <v>0</v>
      </c>
      <c r="W826" s="7">
        <f t="shared" ca="1" si="147"/>
        <v>58.41</v>
      </c>
      <c r="X826" s="5" t="str">
        <f t="shared" ca="1" si="155"/>
        <v>Facebook</v>
      </c>
      <c r="Y826" s="78" t="str">
        <f>IF(COUNTIF($C$1:C825,B825)=1,10,"")</f>
        <v/>
      </c>
    </row>
    <row r="827" spans="1:25" x14ac:dyDescent="0.3">
      <c r="A827" s="76">
        <v>826</v>
      </c>
      <c r="B827" s="6">
        <v>46077</v>
      </c>
      <c r="C827" s="6">
        <v>46082</v>
      </c>
      <c r="D827" s="17" t="str">
        <f t="shared" si="148"/>
        <v>March</v>
      </c>
      <c r="E827" s="5" t="str">
        <f t="shared" ca="1" si="149"/>
        <v>STU-264</v>
      </c>
      <c r="F827" s="5" t="str">
        <f ca="1">IF(COUNTIF($E$2:E827,E827)=1,"New Customer","Returning Customer")</f>
        <v>Returning Customer</v>
      </c>
      <c r="G827" s="5" t="str">
        <f t="shared" ca="1" si="150"/>
        <v>Not specified</v>
      </c>
      <c r="H827" s="5" t="s">
        <v>139</v>
      </c>
      <c r="I827" s="5" t="str" cm="1">
        <f t="array" aca="1" ref="I827" ca="1">INDEX(Courses!$B$9:$B$16,RANDBETWEEN(1,8))</f>
        <v>Microsoft Word</v>
      </c>
      <c r="J827" s="5" t="str">
        <f ca="1">VLOOKUP(I827,Courses!$B$9:$C$16,2,0)</f>
        <v>Microsoft Office</v>
      </c>
      <c r="K827" s="7">
        <f ca="1">VLOOKUP(I827,Courses!$B$9:$D$16,3,0)</f>
        <v>29</v>
      </c>
      <c r="L827" s="5" t="str">
        <f t="shared" ca="1" si="151"/>
        <v>Paid</v>
      </c>
      <c r="M827" s="8" t="str" cm="1">
        <f t="array" aca="1" ref="M827" ca="1">INDEX('Payment Method'!$A$8:$A$12,RANDBETWEEN(1,5))</f>
        <v>Mastercard Debit</v>
      </c>
      <c r="N827" s="7">
        <f>IFERROR(SUMIF(Holiday!$A$8:$A$11,B827,Holiday!$C$8:$C$11),0)</f>
        <v>0</v>
      </c>
      <c r="O827" s="7">
        <f t="shared" ca="1" si="152"/>
        <v>29</v>
      </c>
      <c r="P827" s="19">
        <f t="shared" ca="1" si="153"/>
        <v>28.42</v>
      </c>
      <c r="Q827" s="7">
        <f t="shared" ca="1" si="154"/>
        <v>0</v>
      </c>
      <c r="R827" s="8">
        <f ca="1">VLOOKUP(M827,'Payment Method'!$A$8:$B$12,2,0)</f>
        <v>0.02</v>
      </c>
      <c r="S827" s="9">
        <f t="shared" ca="1" si="144"/>
        <v>0.57999999999999829</v>
      </c>
      <c r="T827" s="8">
        <v>0.01</v>
      </c>
      <c r="U827" s="9">
        <f t="shared" ca="1" si="145"/>
        <v>0.28419999999999845</v>
      </c>
      <c r="V827" s="7">
        <f t="shared" ca="1" si="146"/>
        <v>0</v>
      </c>
      <c r="W827" s="7">
        <f t="shared" ca="1" si="147"/>
        <v>28.135800000000003</v>
      </c>
      <c r="X827" s="5" t="str">
        <f t="shared" ca="1" si="155"/>
        <v>Instagram</v>
      </c>
      <c r="Y827" s="78" t="str">
        <f>IF(COUNTIF($C$1:C826,B826)=1,10,"")</f>
        <v/>
      </c>
    </row>
    <row r="828" spans="1:25" x14ac:dyDescent="0.3">
      <c r="A828" s="75">
        <v>827</v>
      </c>
      <c r="B828" s="6">
        <v>46226</v>
      </c>
      <c r="C828" s="6">
        <v>46228</v>
      </c>
      <c r="D828" s="17" t="str">
        <f t="shared" si="148"/>
        <v>July</v>
      </c>
      <c r="E828" s="5" t="str">
        <f t="shared" ca="1" si="149"/>
        <v>STU-988</v>
      </c>
      <c r="F828" s="5" t="str">
        <f ca="1">IF(COUNTIF($E$2:E828,E828)=1,"New Customer","Returning Customer")</f>
        <v>New Customer</v>
      </c>
      <c r="G828" s="5" t="str">
        <f t="shared" ca="1" si="150"/>
        <v>Not specified</v>
      </c>
      <c r="H828" s="5" t="s">
        <v>141</v>
      </c>
      <c r="I828" s="5" t="str" cm="1">
        <f t="array" aca="1" ref="I828" ca="1">INDEX(Courses!$B$9:$B$16,RANDBETWEEN(1,8))</f>
        <v>Excel Basics</v>
      </c>
      <c r="J828" s="5" t="str">
        <f ca="1">VLOOKUP(I828,Courses!$B$9:$C$16,2,0)</f>
        <v>Microsoft Office</v>
      </c>
      <c r="K828" s="7">
        <f ca="1">VLOOKUP(I828,Courses!$B$9:$D$16,3,0)</f>
        <v>29</v>
      </c>
      <c r="L828" s="5" t="str">
        <f t="shared" ca="1" si="151"/>
        <v>Paid</v>
      </c>
      <c r="M828" s="8" t="str" cm="1">
        <f t="array" aca="1" ref="M828" ca="1">INDEX('Payment Method'!$A$8:$A$12,RANDBETWEEN(1,5))</f>
        <v>Mastercard Debit</v>
      </c>
      <c r="N828" s="7">
        <f>IFERROR(SUMIF(Holiday!$A$8:$A$11,B828,Holiday!$C$8:$C$11),0)</f>
        <v>0</v>
      </c>
      <c r="O828" s="7">
        <f t="shared" ca="1" si="152"/>
        <v>29</v>
      </c>
      <c r="P828" s="19">
        <f t="shared" ca="1" si="153"/>
        <v>28.42</v>
      </c>
      <c r="Q828" s="7">
        <f t="shared" ca="1" si="154"/>
        <v>0</v>
      </c>
      <c r="R828" s="8">
        <f ca="1">VLOOKUP(M828,'Payment Method'!$A$8:$B$12,2,0)</f>
        <v>0.02</v>
      </c>
      <c r="S828" s="9">
        <f t="shared" ca="1" si="144"/>
        <v>0.57999999999999829</v>
      </c>
      <c r="T828" s="8">
        <v>0.01</v>
      </c>
      <c r="U828" s="9">
        <f t="shared" ca="1" si="145"/>
        <v>0.28419999999999845</v>
      </c>
      <c r="V828" s="7">
        <f t="shared" ca="1" si="146"/>
        <v>0</v>
      </c>
      <c r="W828" s="7">
        <f t="shared" ca="1" si="147"/>
        <v>28.135800000000003</v>
      </c>
      <c r="X828" s="5" t="str">
        <f t="shared" ca="1" si="155"/>
        <v>Facebook</v>
      </c>
      <c r="Y828" s="78">
        <f>IF(COUNTIF($C$1:C827,B827)=1,10,"")</f>
        <v>10</v>
      </c>
    </row>
    <row r="829" spans="1:25" x14ac:dyDescent="0.3">
      <c r="A829" s="76">
        <v>828</v>
      </c>
      <c r="B829" s="6">
        <v>46176</v>
      </c>
      <c r="C829" s="6">
        <v>46178</v>
      </c>
      <c r="D829" s="17" t="str">
        <f t="shared" si="148"/>
        <v>June</v>
      </c>
      <c r="E829" s="5" t="str">
        <f t="shared" ca="1" si="149"/>
        <v>STU-595</v>
      </c>
      <c r="F829" s="5" t="str">
        <f ca="1">IF(COUNTIF($E$2:E829,E829)=1,"New Customer","Returning Customer")</f>
        <v>New Customer</v>
      </c>
      <c r="G829" s="5" t="str">
        <f t="shared" ca="1" si="150"/>
        <v>Female</v>
      </c>
      <c r="H829" s="5" t="s">
        <v>141</v>
      </c>
      <c r="I829" s="5" t="str" cm="1">
        <f t="array" aca="1" ref="I829" ca="1">INDEX(Courses!$B$9:$B$16,RANDBETWEEN(1,8))</f>
        <v>Power BI</v>
      </c>
      <c r="J829" s="5" t="str">
        <f ca="1">VLOOKUP(I829,Courses!$B$9:$C$16,2,0)</f>
        <v>Data Analytics</v>
      </c>
      <c r="K829" s="7">
        <f ca="1">VLOOKUP(I829,Courses!$B$9:$D$16,3,0)</f>
        <v>59</v>
      </c>
      <c r="L829" s="5" t="str">
        <f t="shared" ca="1" si="151"/>
        <v>Paid</v>
      </c>
      <c r="M829" s="8" t="str" cm="1">
        <f t="array" aca="1" ref="M829" ca="1">INDEX('Payment Method'!$A$8:$A$12,RANDBETWEEN(1,5))</f>
        <v>Bank Transfer</v>
      </c>
      <c r="N829" s="7">
        <f>IFERROR(SUMIF(Holiday!$A$8:$A$11,B829,Holiday!$C$8:$C$11),0)</f>
        <v>0</v>
      </c>
      <c r="O829" s="7">
        <f t="shared" ca="1" si="152"/>
        <v>59</v>
      </c>
      <c r="P829" s="19">
        <f t="shared" ca="1" si="153"/>
        <v>59</v>
      </c>
      <c r="Q829" s="7">
        <f t="shared" ca="1" si="154"/>
        <v>0</v>
      </c>
      <c r="R829" s="8">
        <f ca="1">VLOOKUP(M829,'Payment Method'!$A$8:$B$12,2,0)</f>
        <v>0</v>
      </c>
      <c r="S829" s="9">
        <f t="shared" ca="1" si="144"/>
        <v>0</v>
      </c>
      <c r="T829" s="8">
        <v>0.01</v>
      </c>
      <c r="U829" s="9">
        <f t="shared" ca="1" si="145"/>
        <v>0.59000000000000341</v>
      </c>
      <c r="V829" s="7">
        <f t="shared" ca="1" si="146"/>
        <v>0</v>
      </c>
      <c r="W829" s="7">
        <f t="shared" ca="1" si="147"/>
        <v>58.41</v>
      </c>
      <c r="X829" s="5" t="str">
        <f t="shared" ca="1" si="155"/>
        <v>Tiktok</v>
      </c>
      <c r="Y829" s="78">
        <f>IF(COUNTIF($C$1:C828,B828)=1,10,"")</f>
        <v>10</v>
      </c>
    </row>
    <row r="830" spans="1:25" x14ac:dyDescent="0.3">
      <c r="A830" s="75">
        <v>829</v>
      </c>
      <c r="B830" s="6">
        <v>46146</v>
      </c>
      <c r="C830" s="6">
        <v>46149</v>
      </c>
      <c r="D830" s="17" t="str">
        <f t="shared" si="148"/>
        <v>May</v>
      </c>
      <c r="E830" s="5" t="str">
        <f t="shared" ca="1" si="149"/>
        <v>STU-820</v>
      </c>
      <c r="F830" s="5" t="str">
        <f ca="1">IF(COUNTIF($E$2:E830,E830)=1,"New Customer","Returning Customer")</f>
        <v>New Customer</v>
      </c>
      <c r="G830" s="5" t="str">
        <f t="shared" ca="1" si="150"/>
        <v>Female</v>
      </c>
      <c r="H830" s="5" t="s">
        <v>140</v>
      </c>
      <c r="I830" s="5" t="str" cm="1">
        <f t="array" aca="1" ref="I830" ca="1">INDEX(Courses!$B$9:$B$16,RANDBETWEEN(1,8))</f>
        <v>PowerPoint</v>
      </c>
      <c r="J830" s="5" t="str">
        <f ca="1">VLOOKUP(I830,Courses!$B$9:$C$16,2,0)</f>
        <v>Microsoft Office</v>
      </c>
      <c r="K830" s="7">
        <f ca="1">VLOOKUP(I830,Courses!$B$9:$D$16,3,0)</f>
        <v>29</v>
      </c>
      <c r="L830" s="5" t="str">
        <f t="shared" ca="1" si="151"/>
        <v>Paid</v>
      </c>
      <c r="M830" s="8" t="str" cm="1">
        <f t="array" aca="1" ref="M830" ca="1">INDEX('Payment Method'!$A$8:$A$12,RANDBETWEEN(1,5))</f>
        <v>Mastercard Credit</v>
      </c>
      <c r="N830" s="7">
        <f>IFERROR(SUMIF(Holiday!$A$8:$A$11,B830,Holiday!$C$8:$C$11),0)</f>
        <v>0</v>
      </c>
      <c r="O830" s="7">
        <f t="shared" ca="1" si="152"/>
        <v>29</v>
      </c>
      <c r="P830" s="19">
        <f t="shared" ca="1" si="153"/>
        <v>27.984999999999999</v>
      </c>
      <c r="Q830" s="7">
        <f t="shared" ca="1" si="154"/>
        <v>0</v>
      </c>
      <c r="R830" s="8">
        <f ca="1">VLOOKUP(M830,'Payment Method'!$A$8:$B$12,2,0)</f>
        <v>3.5000000000000003E-2</v>
      </c>
      <c r="S830" s="9">
        <f t="shared" ca="1" si="144"/>
        <v>1.0150000000000006</v>
      </c>
      <c r="T830" s="8">
        <v>0.01</v>
      </c>
      <c r="U830" s="9">
        <f t="shared" ca="1" si="145"/>
        <v>0.27984999999999971</v>
      </c>
      <c r="V830" s="7">
        <f t="shared" ca="1" si="146"/>
        <v>0</v>
      </c>
      <c r="W830" s="7">
        <f t="shared" ca="1" si="147"/>
        <v>27.70515</v>
      </c>
      <c r="X830" s="5" t="str">
        <f t="shared" ca="1" si="155"/>
        <v>Facebook</v>
      </c>
      <c r="Y830" s="78" t="str">
        <f>IF(COUNTIF($C$1:C829,B829)=1,10,"")</f>
        <v/>
      </c>
    </row>
    <row r="831" spans="1:25" x14ac:dyDescent="0.3">
      <c r="A831" s="76">
        <v>830</v>
      </c>
      <c r="B831" s="6">
        <v>46159</v>
      </c>
      <c r="C831" s="6">
        <v>46159</v>
      </c>
      <c r="D831" s="17" t="str">
        <f t="shared" si="148"/>
        <v>May</v>
      </c>
      <c r="E831" s="5" t="str">
        <f t="shared" ca="1" si="149"/>
        <v>STU-656</v>
      </c>
      <c r="F831" s="5" t="str">
        <f ca="1">IF(COUNTIF($E$2:E831,E831)=1,"New Customer","Returning Customer")</f>
        <v>New Customer</v>
      </c>
      <c r="G831" s="5" t="str">
        <f t="shared" ca="1" si="150"/>
        <v>Not specified</v>
      </c>
      <c r="H831" s="5" t="s">
        <v>141</v>
      </c>
      <c r="I831" s="5" t="str" cm="1">
        <f t="array" aca="1" ref="I831" ca="1">INDEX(Courses!$B$9:$B$16,RANDBETWEEN(1,8))</f>
        <v>SQL</v>
      </c>
      <c r="J831" s="5" t="str">
        <f ca="1">VLOOKUP(I831,Courses!$B$9:$C$16,2,0)</f>
        <v>Data Analytics</v>
      </c>
      <c r="K831" s="7">
        <f ca="1">VLOOKUP(I831,Courses!$B$9:$D$16,3,0)</f>
        <v>99</v>
      </c>
      <c r="L831" s="5" t="str">
        <f t="shared" ca="1" si="151"/>
        <v>Paid</v>
      </c>
      <c r="M831" s="8" t="str" cm="1">
        <f t="array" aca="1" ref="M831" ca="1">INDEX('Payment Method'!$A$8:$A$12,RANDBETWEEN(1,5))</f>
        <v>Visa Debit</v>
      </c>
      <c r="N831" s="7">
        <f>IFERROR(SUMIF(Holiday!$A$8:$A$11,B831,Holiday!$C$8:$C$11),0)</f>
        <v>0</v>
      </c>
      <c r="O831" s="7">
        <f t="shared" ca="1" si="152"/>
        <v>99</v>
      </c>
      <c r="P831" s="19">
        <f t="shared" ca="1" si="153"/>
        <v>97.02</v>
      </c>
      <c r="Q831" s="7">
        <f t="shared" ca="1" si="154"/>
        <v>0</v>
      </c>
      <c r="R831" s="8">
        <f ca="1">VLOOKUP(M831,'Payment Method'!$A$8:$B$12,2,0)</f>
        <v>0.02</v>
      </c>
      <c r="S831" s="9">
        <f t="shared" ca="1" si="144"/>
        <v>1.980000000000004</v>
      </c>
      <c r="T831" s="8">
        <v>0.01</v>
      </c>
      <c r="U831" s="9">
        <f t="shared" ca="1" si="145"/>
        <v>0.9702000000000055</v>
      </c>
      <c r="V831" s="7">
        <f t="shared" ca="1" si="146"/>
        <v>0</v>
      </c>
      <c r="W831" s="7">
        <f t="shared" ca="1" si="147"/>
        <v>96.049799999999991</v>
      </c>
      <c r="X831" s="5" t="str">
        <f t="shared" ca="1" si="155"/>
        <v>Instagram</v>
      </c>
      <c r="Y831" s="78" t="str">
        <f>IF(COUNTIF($C$1:C830,B830)=1,10,"")</f>
        <v/>
      </c>
    </row>
    <row r="832" spans="1:25" x14ac:dyDescent="0.3">
      <c r="A832" s="75">
        <v>831</v>
      </c>
      <c r="B832" s="6">
        <v>46075</v>
      </c>
      <c r="C832" s="6">
        <v>46080</v>
      </c>
      <c r="D832" s="17" t="str">
        <f t="shared" si="148"/>
        <v>February</v>
      </c>
      <c r="E832" s="5" t="str">
        <f t="shared" ca="1" si="149"/>
        <v>STU-1000</v>
      </c>
      <c r="F832" s="5" t="str">
        <f ca="1">IF(COUNTIF($E$2:E832,E832)=1,"New Customer","Returning Customer")</f>
        <v>Returning Customer</v>
      </c>
      <c r="G832" s="5" t="str">
        <f t="shared" ca="1" si="150"/>
        <v>Female</v>
      </c>
      <c r="H832" s="5" t="s">
        <v>137</v>
      </c>
      <c r="I832" s="5" t="str" cm="1">
        <f t="array" aca="1" ref="I832" ca="1">INDEX(Courses!$B$9:$B$16,RANDBETWEEN(1,8))</f>
        <v>Complete Excel Course</v>
      </c>
      <c r="J832" s="5" t="str">
        <f ca="1">VLOOKUP(I832,Courses!$B$9:$C$16,2,0)</f>
        <v>Microsoft Office</v>
      </c>
      <c r="K832" s="7">
        <f ca="1">VLOOKUP(I832,Courses!$B$9:$D$16,3,0)</f>
        <v>59</v>
      </c>
      <c r="L832" s="5" t="str">
        <f t="shared" ca="1" si="151"/>
        <v>Paid</v>
      </c>
      <c r="M832" s="8" t="str" cm="1">
        <f t="array" aca="1" ref="M832" ca="1">INDEX('Payment Method'!$A$8:$A$12,RANDBETWEEN(1,5))</f>
        <v>Visa Debit</v>
      </c>
      <c r="N832" s="7">
        <f>IFERROR(SUMIF(Holiday!$A$8:$A$11,B832,Holiday!$C$8:$C$11),0)</f>
        <v>0</v>
      </c>
      <c r="O832" s="7">
        <f t="shared" ca="1" si="152"/>
        <v>59</v>
      </c>
      <c r="P832" s="19">
        <f t="shared" ca="1" si="153"/>
        <v>57.82</v>
      </c>
      <c r="Q832" s="7">
        <f t="shared" ca="1" si="154"/>
        <v>0</v>
      </c>
      <c r="R832" s="8">
        <f ca="1">VLOOKUP(M832,'Payment Method'!$A$8:$B$12,2,0)</f>
        <v>0.02</v>
      </c>
      <c r="S832" s="9">
        <f t="shared" ca="1" si="144"/>
        <v>1.1799999999999997</v>
      </c>
      <c r="T832" s="8">
        <v>0.01</v>
      </c>
      <c r="U832" s="9">
        <f t="shared" ca="1" si="145"/>
        <v>0.57820000000000249</v>
      </c>
      <c r="V832" s="7">
        <f t="shared" ca="1" si="146"/>
        <v>0</v>
      </c>
      <c r="W832" s="7">
        <f t="shared" ca="1" si="147"/>
        <v>57.241799999999998</v>
      </c>
      <c r="X832" s="5" t="str">
        <f t="shared" ca="1" si="155"/>
        <v>Tiktok</v>
      </c>
      <c r="Y832" s="78" t="str">
        <f>IF(COUNTIF($C$1:C831,B831)=1,10,"")</f>
        <v/>
      </c>
    </row>
    <row r="833" spans="1:25" x14ac:dyDescent="0.3">
      <c r="A833" s="76">
        <v>832</v>
      </c>
      <c r="B833" s="6">
        <v>46170</v>
      </c>
      <c r="C833" s="6">
        <v>46172</v>
      </c>
      <c r="D833" s="17" t="str">
        <f t="shared" si="148"/>
        <v>May</v>
      </c>
      <c r="E833" s="5" t="str">
        <f t="shared" ca="1" si="149"/>
        <v>STU-847</v>
      </c>
      <c r="F833" s="5" t="str">
        <f ca="1">IF(COUNTIF($E$2:E833,E833)=1,"New Customer","Returning Customer")</f>
        <v>Returning Customer</v>
      </c>
      <c r="G833" s="5" t="str">
        <f t="shared" ca="1" si="150"/>
        <v>Not specified</v>
      </c>
      <c r="H833" s="5" t="s">
        <v>142</v>
      </c>
      <c r="I833" s="5" t="str" cm="1">
        <f t="array" aca="1" ref="I833" ca="1">INDEX(Courses!$B$9:$B$16,RANDBETWEEN(1,8))</f>
        <v>Adolescent Psychology</v>
      </c>
      <c r="J833" s="5" t="str">
        <f ca="1">VLOOKUP(I833,Courses!$B$9:$C$16,2,0)</f>
        <v>Psychology</v>
      </c>
      <c r="K833" s="7">
        <f ca="1">VLOOKUP(I833,Courses!$B$9:$D$16,3,0)</f>
        <v>29</v>
      </c>
      <c r="L833" s="5" t="str">
        <f t="shared" ca="1" si="151"/>
        <v>Refunded</v>
      </c>
      <c r="M833" s="8" t="str" cm="1">
        <f t="array" aca="1" ref="M833" ca="1">INDEX('Payment Method'!$A$8:$A$12,RANDBETWEEN(1,5))</f>
        <v>Mastercard Credit</v>
      </c>
      <c r="N833" s="7">
        <f>IFERROR(SUMIF(Holiday!$A$8:$A$11,B833,Holiday!$C$8:$C$11),0)</f>
        <v>0</v>
      </c>
      <c r="O833" s="7">
        <f t="shared" ca="1" si="152"/>
        <v>29</v>
      </c>
      <c r="P833" s="19">
        <f t="shared" ca="1" si="153"/>
        <v>27.984999999999999</v>
      </c>
      <c r="Q833" s="7">
        <f t="shared" ca="1" si="154"/>
        <v>0</v>
      </c>
      <c r="R833" s="8">
        <f ca="1">VLOOKUP(M833,'Payment Method'!$A$8:$B$12,2,0)</f>
        <v>3.5000000000000003E-2</v>
      </c>
      <c r="S833" s="9">
        <f t="shared" ca="1" si="144"/>
        <v>1.0150000000000006</v>
      </c>
      <c r="T833" s="8">
        <v>0.01</v>
      </c>
      <c r="U833" s="9">
        <f t="shared" ca="1" si="145"/>
        <v>0.27984999999999971</v>
      </c>
      <c r="V833" s="7">
        <f t="shared" ca="1" si="146"/>
        <v>27.70515</v>
      </c>
      <c r="W833" s="7">
        <f t="shared" ca="1" si="147"/>
        <v>0</v>
      </c>
      <c r="X833" s="5" t="str">
        <f t="shared" ca="1" si="155"/>
        <v>Tiktok</v>
      </c>
      <c r="Y833" s="78" t="str">
        <f>IF(COUNTIF($C$1:C832,B832)=1,10,"")</f>
        <v/>
      </c>
    </row>
    <row r="834" spans="1:25" x14ac:dyDescent="0.3">
      <c r="A834" s="75">
        <v>833</v>
      </c>
      <c r="B834" s="6">
        <v>46049</v>
      </c>
      <c r="C834" s="6">
        <v>46054</v>
      </c>
      <c r="D834" s="17" t="str">
        <f t="shared" si="148"/>
        <v>February</v>
      </c>
      <c r="E834" s="5" t="str">
        <f t="shared" ca="1" si="149"/>
        <v>STU-758</v>
      </c>
      <c r="F834" s="5" t="str">
        <f ca="1">IF(COUNTIF($E$2:E834,E834)=1,"New Customer","Returning Customer")</f>
        <v>Returning Customer</v>
      </c>
      <c r="G834" s="5" t="str">
        <f t="shared" ca="1" si="150"/>
        <v>Female</v>
      </c>
      <c r="H834" s="5" t="s">
        <v>142</v>
      </c>
      <c r="I834" s="5" t="str" cm="1">
        <f t="array" aca="1" ref="I834" ca="1">INDEX(Courses!$B$9:$B$16,RANDBETWEEN(1,8))</f>
        <v>SQL</v>
      </c>
      <c r="J834" s="5" t="str">
        <f ca="1">VLOOKUP(I834,Courses!$B$9:$C$16,2,0)</f>
        <v>Data Analytics</v>
      </c>
      <c r="K834" s="7">
        <f ca="1">VLOOKUP(I834,Courses!$B$9:$D$16,3,0)</f>
        <v>99</v>
      </c>
      <c r="L834" s="5" t="str">
        <f t="shared" ca="1" si="151"/>
        <v>Paid</v>
      </c>
      <c r="M834" s="8" t="str" cm="1">
        <f t="array" aca="1" ref="M834" ca="1">INDEX('Payment Method'!$A$8:$A$12,RANDBETWEEN(1,5))</f>
        <v>Visa Debit</v>
      </c>
      <c r="N834" s="7">
        <f>IFERROR(SUMIF(Holiday!$A$8:$A$11,B834,Holiday!$C$8:$C$11),0)</f>
        <v>0</v>
      </c>
      <c r="O834" s="7">
        <f t="shared" ca="1" si="152"/>
        <v>99</v>
      </c>
      <c r="P834" s="19">
        <f t="shared" ca="1" si="153"/>
        <v>97.02</v>
      </c>
      <c r="Q834" s="7">
        <f t="shared" ca="1" si="154"/>
        <v>0</v>
      </c>
      <c r="R834" s="8">
        <f ca="1">VLOOKUP(M834,'Payment Method'!$A$8:$B$12,2,0)</f>
        <v>0.02</v>
      </c>
      <c r="S834" s="9">
        <f t="shared" ref="S834:S897" ca="1" si="156">O834-(O834-O834*R834)</f>
        <v>1.980000000000004</v>
      </c>
      <c r="T834" s="8">
        <v>0.01</v>
      </c>
      <c r="U834" s="9">
        <f t="shared" ref="U834:U897" ca="1" si="157">O834-S834-((O834-S834)-(O834-S834)*T834)</f>
        <v>0.9702000000000055</v>
      </c>
      <c r="V834" s="7">
        <f t="shared" ref="V834:V897" ca="1" si="158">IF(L834="refunded",(K834-K834*N834)-(K834-K834*N834)*R834-((K834-K834*N834)-(K834-K834*N834)*R834)*T834,0)</f>
        <v>0</v>
      </c>
      <c r="W834" s="7">
        <f t="shared" ref="W834:W897" ca="1" si="159">IF(L834="paid",(K834-K834*N834)-(K834-K834*N834)*R834-((K834-K834*N834)-(K834-K834*N834)*R834)*T834,0)</f>
        <v>96.049799999999991</v>
      </c>
      <c r="X834" s="5" t="str">
        <f t="shared" ca="1" si="155"/>
        <v>Instagram</v>
      </c>
      <c r="Y834" s="78" t="str">
        <f>IF(COUNTIF($C$1:C833,B833)=1,10,"")</f>
        <v/>
      </c>
    </row>
    <row r="835" spans="1:25" x14ac:dyDescent="0.3">
      <c r="A835" s="76">
        <v>834</v>
      </c>
      <c r="B835" s="6">
        <v>46186</v>
      </c>
      <c r="C835" s="6">
        <v>46188</v>
      </c>
      <c r="D835" s="17" t="str">
        <f t="shared" ref="D835:D898" si="160">TEXT(C835,"mmmm")</f>
        <v>June</v>
      </c>
      <c r="E835" s="5" t="str">
        <f t="shared" ref="E835:E898" ca="1" si="161">"STU-"&amp;RANDBETWEEN(1,1000)</f>
        <v>STU-962</v>
      </c>
      <c r="F835" s="5" t="str">
        <f ca="1">IF(COUNTIF($E$2:E835,E835)=1,"New Customer","Returning Customer")</f>
        <v>New Customer</v>
      </c>
      <c r="G835" s="5" t="str">
        <f t="shared" ref="G835:G898" ca="1" si="162">CHOOSE(RANDBETWEEN(1,3),"Male","Female","Not specified")</f>
        <v>Female</v>
      </c>
      <c r="H835" s="5" t="s">
        <v>140</v>
      </c>
      <c r="I835" s="5" t="str" cm="1">
        <f t="array" aca="1" ref="I835" ca="1">INDEX(Courses!$B$9:$B$16,RANDBETWEEN(1,8))</f>
        <v>Excel Basics</v>
      </c>
      <c r="J835" s="5" t="str">
        <f ca="1">VLOOKUP(I835,Courses!$B$9:$C$16,2,0)</f>
        <v>Microsoft Office</v>
      </c>
      <c r="K835" s="7">
        <f ca="1">VLOOKUP(I835,Courses!$B$9:$D$16,3,0)</f>
        <v>29</v>
      </c>
      <c r="L835" s="5" t="str">
        <f t="shared" ref="L835:L898" ca="1" si="163">IF(RAND()&lt;0.6,"Paid",IF(RAND()&lt;0.75,"Pending","Refunded"))</f>
        <v>Pending</v>
      </c>
      <c r="M835" s="8" t="str" cm="1">
        <f t="array" aca="1" ref="M835" ca="1">INDEX('Payment Method'!$A$8:$A$12,RANDBETWEEN(1,5))</f>
        <v>Visa Credit</v>
      </c>
      <c r="N835" s="7">
        <f>IFERROR(SUMIF(Holiday!$A$8:$A$11,B835,Holiday!$C$8:$C$11),0)</f>
        <v>0</v>
      </c>
      <c r="O835" s="7">
        <f t="shared" ref="O835:O898" ca="1" si="164">K835-K835*N835</f>
        <v>29</v>
      </c>
      <c r="P835" s="19">
        <f t="shared" ref="P835:P898" ca="1" si="165">O835-S835</f>
        <v>27.984999999999999</v>
      </c>
      <c r="Q835" s="7">
        <f t="shared" ref="Q835:Q898" ca="1" si="166">IF(L835="pending",(K835-K835*N835)-(K835-K835*N835)*R835-((K835-K835*N835)-(K835-K835*N835)*R835)*T835,0)</f>
        <v>27.70515</v>
      </c>
      <c r="R835" s="8">
        <f ca="1">VLOOKUP(M835,'Payment Method'!$A$8:$B$12,2,0)</f>
        <v>3.5000000000000003E-2</v>
      </c>
      <c r="S835" s="9">
        <f t="shared" ca="1" si="156"/>
        <v>1.0150000000000006</v>
      </c>
      <c r="T835" s="8">
        <v>0.01</v>
      </c>
      <c r="U835" s="9">
        <f t="shared" ca="1" si="157"/>
        <v>0.27984999999999971</v>
      </c>
      <c r="V835" s="7">
        <f t="shared" ca="1" si="158"/>
        <v>0</v>
      </c>
      <c r="W835" s="7">
        <f t="shared" ca="1" si="159"/>
        <v>0</v>
      </c>
      <c r="X835" s="5" t="str">
        <f t="shared" ref="X835:X898" ca="1" si="167">CHOOSE(RANDBETWEEN(1,3),"Facebook","Instagram","Tiktok")</f>
        <v>Facebook</v>
      </c>
      <c r="Y835" s="78" t="str">
        <f>IF(COUNTIF($C$1:C834,B834)=1,10,"")</f>
        <v/>
      </c>
    </row>
    <row r="836" spans="1:25" x14ac:dyDescent="0.3">
      <c r="A836" s="75">
        <v>835</v>
      </c>
      <c r="B836" s="6">
        <v>46226</v>
      </c>
      <c r="C836" s="6">
        <v>46230</v>
      </c>
      <c r="D836" s="17" t="str">
        <f t="shared" si="160"/>
        <v>July</v>
      </c>
      <c r="E836" s="5" t="str">
        <f t="shared" ca="1" si="161"/>
        <v>STU-777</v>
      </c>
      <c r="F836" s="5" t="str">
        <f ca="1">IF(COUNTIF($E$2:E836,E836)=1,"New Customer","Returning Customer")</f>
        <v>Returning Customer</v>
      </c>
      <c r="G836" s="5" t="str">
        <f t="shared" ca="1" si="162"/>
        <v>Male</v>
      </c>
      <c r="H836" s="5" t="s">
        <v>140</v>
      </c>
      <c r="I836" s="5" t="str" cm="1">
        <f t="array" aca="1" ref="I836" ca="1">INDEX(Courses!$B$9:$B$16,RANDBETWEEN(1,8))</f>
        <v>Microsoft Word</v>
      </c>
      <c r="J836" s="5" t="str">
        <f ca="1">VLOOKUP(I836,Courses!$B$9:$C$16,2,0)</f>
        <v>Microsoft Office</v>
      </c>
      <c r="K836" s="7">
        <f ca="1">VLOOKUP(I836,Courses!$B$9:$D$16,3,0)</f>
        <v>29</v>
      </c>
      <c r="L836" s="5" t="str">
        <f t="shared" ca="1" si="163"/>
        <v>Paid</v>
      </c>
      <c r="M836" s="8" t="str" cm="1">
        <f t="array" aca="1" ref="M836" ca="1">INDEX('Payment Method'!$A$8:$A$12,RANDBETWEEN(1,5))</f>
        <v>Visa Credit</v>
      </c>
      <c r="N836" s="7">
        <f>IFERROR(SUMIF(Holiday!$A$8:$A$11,B836,Holiday!$C$8:$C$11),0)</f>
        <v>0</v>
      </c>
      <c r="O836" s="7">
        <f t="shared" ca="1" si="164"/>
        <v>29</v>
      </c>
      <c r="P836" s="19">
        <f t="shared" ca="1" si="165"/>
        <v>27.984999999999999</v>
      </c>
      <c r="Q836" s="7">
        <f t="shared" ca="1" si="166"/>
        <v>0</v>
      </c>
      <c r="R836" s="8">
        <f ca="1">VLOOKUP(M836,'Payment Method'!$A$8:$B$12,2,0)</f>
        <v>3.5000000000000003E-2</v>
      </c>
      <c r="S836" s="9">
        <f t="shared" ca="1" si="156"/>
        <v>1.0150000000000006</v>
      </c>
      <c r="T836" s="8">
        <v>0.01</v>
      </c>
      <c r="U836" s="9">
        <f t="shared" ca="1" si="157"/>
        <v>0.27984999999999971</v>
      </c>
      <c r="V836" s="7">
        <f t="shared" ca="1" si="158"/>
        <v>0</v>
      </c>
      <c r="W836" s="7">
        <f t="shared" ca="1" si="159"/>
        <v>27.70515</v>
      </c>
      <c r="X836" s="5" t="str">
        <f t="shared" ca="1" si="167"/>
        <v>Instagram</v>
      </c>
      <c r="Y836" s="78" t="str">
        <f>IF(COUNTIF($C$1:C835,B835)=1,10,"")</f>
        <v/>
      </c>
    </row>
    <row r="837" spans="1:25" x14ac:dyDescent="0.3">
      <c r="A837" s="76">
        <v>836</v>
      </c>
      <c r="B837" s="6">
        <v>46044</v>
      </c>
      <c r="C837" s="6">
        <v>46046</v>
      </c>
      <c r="D837" s="17" t="str">
        <f t="shared" si="160"/>
        <v>January</v>
      </c>
      <c r="E837" s="5" t="str">
        <f t="shared" ca="1" si="161"/>
        <v>STU-27</v>
      </c>
      <c r="F837" s="5" t="str">
        <f ca="1">IF(COUNTIF($E$2:E837,E837)=1,"New Customer","Returning Customer")</f>
        <v>Returning Customer</v>
      </c>
      <c r="G837" s="5" t="str">
        <f t="shared" ca="1" si="162"/>
        <v>Female</v>
      </c>
      <c r="H837" s="5" t="s">
        <v>137</v>
      </c>
      <c r="I837" s="5" t="str" cm="1">
        <f t="array" aca="1" ref="I837" ca="1">INDEX(Courses!$B$9:$B$16,RANDBETWEEN(1,8))</f>
        <v>SQL</v>
      </c>
      <c r="J837" s="5" t="str">
        <f ca="1">VLOOKUP(I837,Courses!$B$9:$C$16,2,0)</f>
        <v>Data Analytics</v>
      </c>
      <c r="K837" s="7">
        <f ca="1">VLOOKUP(I837,Courses!$B$9:$D$16,3,0)</f>
        <v>99</v>
      </c>
      <c r="L837" s="5" t="str">
        <f t="shared" ca="1" si="163"/>
        <v>Paid</v>
      </c>
      <c r="M837" s="8" t="str" cm="1">
        <f t="array" aca="1" ref="M837" ca="1">INDEX('Payment Method'!$A$8:$A$12,RANDBETWEEN(1,5))</f>
        <v>Visa Credit</v>
      </c>
      <c r="N837" s="7">
        <f>IFERROR(SUMIF(Holiday!$A$8:$A$11,B837,Holiday!$C$8:$C$11),0)</f>
        <v>0</v>
      </c>
      <c r="O837" s="7">
        <f t="shared" ca="1" si="164"/>
        <v>99</v>
      </c>
      <c r="P837" s="19">
        <f t="shared" ca="1" si="165"/>
        <v>95.534999999999997</v>
      </c>
      <c r="Q837" s="7">
        <f t="shared" ca="1" si="166"/>
        <v>0</v>
      </c>
      <c r="R837" s="8">
        <f ca="1">VLOOKUP(M837,'Payment Method'!$A$8:$B$12,2,0)</f>
        <v>3.5000000000000003E-2</v>
      </c>
      <c r="S837" s="9">
        <f t="shared" ca="1" si="156"/>
        <v>3.4650000000000034</v>
      </c>
      <c r="T837" s="8">
        <v>0.01</v>
      </c>
      <c r="U837" s="9">
        <f t="shared" ca="1" si="157"/>
        <v>0.9553499999999957</v>
      </c>
      <c r="V837" s="7">
        <f t="shared" ca="1" si="158"/>
        <v>0</v>
      </c>
      <c r="W837" s="7">
        <f t="shared" ca="1" si="159"/>
        <v>94.579650000000001</v>
      </c>
      <c r="X837" s="5" t="str">
        <f t="shared" ca="1" si="167"/>
        <v>Facebook</v>
      </c>
      <c r="Y837" s="78">
        <f>IF(COUNTIF($C$1:C836,B836)=1,10,"")</f>
        <v>10</v>
      </c>
    </row>
    <row r="838" spans="1:25" x14ac:dyDescent="0.3">
      <c r="A838" s="75">
        <v>837</v>
      </c>
      <c r="B838" s="6">
        <v>46190</v>
      </c>
      <c r="C838" s="6">
        <v>46195</v>
      </c>
      <c r="D838" s="17" t="str">
        <f t="shared" si="160"/>
        <v>June</v>
      </c>
      <c r="E838" s="5" t="str">
        <f t="shared" ca="1" si="161"/>
        <v>STU-217</v>
      </c>
      <c r="F838" s="5" t="str">
        <f ca="1">IF(COUNTIF($E$2:E838,E838)=1,"New Customer","Returning Customer")</f>
        <v>Returning Customer</v>
      </c>
      <c r="G838" s="5" t="str">
        <f t="shared" ca="1" si="162"/>
        <v>Not specified</v>
      </c>
      <c r="H838" s="5" t="s">
        <v>137</v>
      </c>
      <c r="I838" s="5" t="str" cm="1">
        <f t="array" aca="1" ref="I838" ca="1">INDEX(Courses!$B$9:$B$16,RANDBETWEEN(1,8))</f>
        <v>Excel Basics</v>
      </c>
      <c r="J838" s="5" t="str">
        <f ca="1">VLOOKUP(I838,Courses!$B$9:$C$16,2,0)</f>
        <v>Microsoft Office</v>
      </c>
      <c r="K838" s="7">
        <f ca="1">VLOOKUP(I838,Courses!$B$9:$D$16,3,0)</f>
        <v>29</v>
      </c>
      <c r="L838" s="5" t="str">
        <f t="shared" ca="1" si="163"/>
        <v>Paid</v>
      </c>
      <c r="M838" s="8" t="str" cm="1">
        <f t="array" aca="1" ref="M838" ca="1">INDEX('Payment Method'!$A$8:$A$12,RANDBETWEEN(1,5))</f>
        <v>Mastercard Debit</v>
      </c>
      <c r="N838" s="7">
        <f>IFERROR(SUMIF(Holiday!$A$8:$A$11,B838,Holiday!$C$8:$C$11),0)</f>
        <v>0</v>
      </c>
      <c r="O838" s="7">
        <f t="shared" ca="1" si="164"/>
        <v>29</v>
      </c>
      <c r="P838" s="19">
        <f t="shared" ca="1" si="165"/>
        <v>28.42</v>
      </c>
      <c r="Q838" s="7">
        <f t="shared" ca="1" si="166"/>
        <v>0</v>
      </c>
      <c r="R838" s="8">
        <f ca="1">VLOOKUP(M838,'Payment Method'!$A$8:$B$12,2,0)</f>
        <v>0.02</v>
      </c>
      <c r="S838" s="9">
        <f t="shared" ca="1" si="156"/>
        <v>0.57999999999999829</v>
      </c>
      <c r="T838" s="8">
        <v>0.01</v>
      </c>
      <c r="U838" s="9">
        <f t="shared" ca="1" si="157"/>
        <v>0.28419999999999845</v>
      </c>
      <c r="V838" s="7">
        <f t="shared" ca="1" si="158"/>
        <v>0</v>
      </c>
      <c r="W838" s="7">
        <f t="shared" ca="1" si="159"/>
        <v>28.135800000000003</v>
      </c>
      <c r="X838" s="5" t="str">
        <f t="shared" ca="1" si="167"/>
        <v>Instagram</v>
      </c>
      <c r="Y838" s="78" t="str">
        <f>IF(COUNTIF($C$1:C837,B837)=1,10,"")</f>
        <v/>
      </c>
    </row>
    <row r="839" spans="1:25" x14ac:dyDescent="0.3">
      <c r="A839" s="76">
        <v>838</v>
      </c>
      <c r="B839" s="6">
        <v>46117</v>
      </c>
      <c r="C839" s="6">
        <v>46120</v>
      </c>
      <c r="D839" s="17" t="str">
        <f t="shared" si="160"/>
        <v>April</v>
      </c>
      <c r="E839" s="5" t="str">
        <f t="shared" ca="1" si="161"/>
        <v>STU-974</v>
      </c>
      <c r="F839" s="5" t="str">
        <f ca="1">IF(COUNTIF($E$2:E839,E839)=1,"New Customer","Returning Customer")</f>
        <v>New Customer</v>
      </c>
      <c r="G839" s="5" t="str">
        <f t="shared" ca="1" si="162"/>
        <v>Not specified</v>
      </c>
      <c r="H839" s="5" t="s">
        <v>138</v>
      </c>
      <c r="I839" s="5" t="str" cm="1">
        <f t="array" aca="1" ref="I839" ca="1">INDEX(Courses!$B$9:$B$16,RANDBETWEEN(1,8))</f>
        <v>Tax Code</v>
      </c>
      <c r="J839" s="5" t="str">
        <f ca="1">VLOOKUP(I839,Courses!$B$9:$C$16,2,0)</f>
        <v>Finance &amp; Taxation</v>
      </c>
      <c r="K839" s="7">
        <f ca="1">VLOOKUP(I839,Courses!$B$9:$D$16,3,0)</f>
        <v>59</v>
      </c>
      <c r="L839" s="5" t="str">
        <f t="shared" ca="1" si="163"/>
        <v>Paid</v>
      </c>
      <c r="M839" s="8" t="str" cm="1">
        <f t="array" aca="1" ref="M839" ca="1">INDEX('Payment Method'!$A$8:$A$12,RANDBETWEEN(1,5))</f>
        <v>Mastercard Debit</v>
      </c>
      <c r="N839" s="7">
        <f>IFERROR(SUMIF(Holiday!$A$8:$A$11,B839,Holiday!$C$8:$C$11),0)</f>
        <v>0</v>
      </c>
      <c r="O839" s="7">
        <f t="shared" ca="1" si="164"/>
        <v>59</v>
      </c>
      <c r="P839" s="19">
        <f t="shared" ca="1" si="165"/>
        <v>57.82</v>
      </c>
      <c r="Q839" s="7">
        <f t="shared" ca="1" si="166"/>
        <v>0</v>
      </c>
      <c r="R839" s="8">
        <f ca="1">VLOOKUP(M839,'Payment Method'!$A$8:$B$12,2,0)</f>
        <v>0.02</v>
      </c>
      <c r="S839" s="9">
        <f t="shared" ca="1" si="156"/>
        <v>1.1799999999999997</v>
      </c>
      <c r="T839" s="8">
        <v>0.01</v>
      </c>
      <c r="U839" s="9">
        <f t="shared" ca="1" si="157"/>
        <v>0.57820000000000249</v>
      </c>
      <c r="V839" s="7">
        <f t="shared" ca="1" si="158"/>
        <v>0</v>
      </c>
      <c r="W839" s="7">
        <f t="shared" ca="1" si="159"/>
        <v>57.241799999999998</v>
      </c>
      <c r="X839" s="5" t="str">
        <f t="shared" ca="1" si="167"/>
        <v>Instagram</v>
      </c>
      <c r="Y839" s="78" t="str">
        <f>IF(COUNTIF($C$1:C838,B838)=1,10,"")</f>
        <v/>
      </c>
    </row>
    <row r="840" spans="1:25" x14ac:dyDescent="0.3">
      <c r="A840" s="75">
        <v>839</v>
      </c>
      <c r="B840" s="6">
        <v>46147</v>
      </c>
      <c r="C840" s="6">
        <v>46150</v>
      </c>
      <c r="D840" s="17" t="str">
        <f t="shared" si="160"/>
        <v>May</v>
      </c>
      <c r="E840" s="5" t="str">
        <f t="shared" ca="1" si="161"/>
        <v>STU-671</v>
      </c>
      <c r="F840" s="5" t="str">
        <f ca="1">IF(COUNTIF($E$2:E840,E840)=1,"New Customer","Returning Customer")</f>
        <v>Returning Customer</v>
      </c>
      <c r="G840" s="5" t="str">
        <f t="shared" ca="1" si="162"/>
        <v>Not specified</v>
      </c>
      <c r="H840" s="5" t="s">
        <v>138</v>
      </c>
      <c r="I840" s="5" t="str" cm="1">
        <f t="array" aca="1" ref="I840" ca="1">INDEX(Courses!$B$9:$B$16,RANDBETWEEN(1,8))</f>
        <v>Microsoft Word</v>
      </c>
      <c r="J840" s="5" t="str">
        <f ca="1">VLOOKUP(I840,Courses!$B$9:$C$16,2,0)</f>
        <v>Microsoft Office</v>
      </c>
      <c r="K840" s="7">
        <f ca="1">VLOOKUP(I840,Courses!$B$9:$D$16,3,0)</f>
        <v>29</v>
      </c>
      <c r="L840" s="5" t="str">
        <f t="shared" ca="1" si="163"/>
        <v>Pending</v>
      </c>
      <c r="M840" s="8" t="str" cm="1">
        <f t="array" aca="1" ref="M840" ca="1">INDEX('Payment Method'!$A$8:$A$12,RANDBETWEEN(1,5))</f>
        <v>Bank Transfer</v>
      </c>
      <c r="N840" s="7">
        <f>IFERROR(SUMIF(Holiday!$A$8:$A$11,B840,Holiday!$C$8:$C$11),0)</f>
        <v>0</v>
      </c>
      <c r="O840" s="7">
        <f t="shared" ca="1" si="164"/>
        <v>29</v>
      </c>
      <c r="P840" s="19">
        <f t="shared" ca="1" si="165"/>
        <v>29</v>
      </c>
      <c r="Q840" s="7">
        <f t="shared" ca="1" si="166"/>
        <v>28.71</v>
      </c>
      <c r="R840" s="8">
        <f ca="1">VLOOKUP(M840,'Payment Method'!$A$8:$B$12,2,0)</f>
        <v>0</v>
      </c>
      <c r="S840" s="9">
        <f t="shared" ca="1" si="156"/>
        <v>0</v>
      </c>
      <c r="T840" s="8">
        <v>0.01</v>
      </c>
      <c r="U840" s="9">
        <f t="shared" ca="1" si="157"/>
        <v>0.28999999999999915</v>
      </c>
      <c r="V840" s="7">
        <f t="shared" ca="1" si="158"/>
        <v>0</v>
      </c>
      <c r="W840" s="7">
        <f t="shared" ca="1" si="159"/>
        <v>0</v>
      </c>
      <c r="X840" s="5" t="str">
        <f t="shared" ca="1" si="167"/>
        <v>Tiktok</v>
      </c>
      <c r="Y840" s="78" t="str">
        <f>IF(COUNTIF($C$1:C839,B839)=1,10,"")</f>
        <v/>
      </c>
    </row>
    <row r="841" spans="1:25" x14ac:dyDescent="0.3">
      <c r="A841" s="76">
        <v>840</v>
      </c>
      <c r="B841" s="6">
        <v>46063</v>
      </c>
      <c r="C841" s="6">
        <v>46065</v>
      </c>
      <c r="D841" s="17" t="str">
        <f t="shared" si="160"/>
        <v>February</v>
      </c>
      <c r="E841" s="5" t="str">
        <f t="shared" ca="1" si="161"/>
        <v>STU-351</v>
      </c>
      <c r="F841" s="5" t="str">
        <f ca="1">IF(COUNTIF($E$2:E841,E841)=1,"New Customer","Returning Customer")</f>
        <v>Returning Customer</v>
      </c>
      <c r="G841" s="5" t="str">
        <f t="shared" ca="1" si="162"/>
        <v>Not specified</v>
      </c>
      <c r="H841" s="5" t="s">
        <v>137</v>
      </c>
      <c r="I841" s="5" t="str" cm="1">
        <f t="array" aca="1" ref="I841" ca="1">INDEX(Courses!$B$9:$B$16,RANDBETWEEN(1,8))</f>
        <v>Microsoft Word</v>
      </c>
      <c r="J841" s="5" t="str">
        <f ca="1">VLOOKUP(I841,Courses!$B$9:$C$16,2,0)</f>
        <v>Microsoft Office</v>
      </c>
      <c r="K841" s="7">
        <f ca="1">VLOOKUP(I841,Courses!$B$9:$D$16,3,0)</f>
        <v>29</v>
      </c>
      <c r="L841" s="5" t="str">
        <f t="shared" ca="1" si="163"/>
        <v>Pending</v>
      </c>
      <c r="M841" s="8" t="str" cm="1">
        <f t="array" aca="1" ref="M841" ca="1">INDEX('Payment Method'!$A$8:$A$12,RANDBETWEEN(1,5))</f>
        <v>Visa Credit</v>
      </c>
      <c r="N841" s="7">
        <f>IFERROR(SUMIF(Holiday!$A$8:$A$11,B841,Holiday!$C$8:$C$11),0)</f>
        <v>0</v>
      </c>
      <c r="O841" s="7">
        <f t="shared" ca="1" si="164"/>
        <v>29</v>
      </c>
      <c r="P841" s="19">
        <f t="shared" ca="1" si="165"/>
        <v>27.984999999999999</v>
      </c>
      <c r="Q841" s="7">
        <f t="shared" ca="1" si="166"/>
        <v>27.70515</v>
      </c>
      <c r="R841" s="8">
        <f ca="1">VLOOKUP(M841,'Payment Method'!$A$8:$B$12,2,0)</f>
        <v>3.5000000000000003E-2</v>
      </c>
      <c r="S841" s="9">
        <f t="shared" ca="1" si="156"/>
        <v>1.0150000000000006</v>
      </c>
      <c r="T841" s="8">
        <v>0.01</v>
      </c>
      <c r="U841" s="9">
        <f t="shared" ca="1" si="157"/>
        <v>0.27984999999999971</v>
      </c>
      <c r="V841" s="7">
        <f t="shared" ca="1" si="158"/>
        <v>0</v>
      </c>
      <c r="W841" s="7">
        <f t="shared" ca="1" si="159"/>
        <v>0</v>
      </c>
      <c r="X841" s="5" t="str">
        <f t="shared" ca="1" si="167"/>
        <v>Tiktok</v>
      </c>
      <c r="Y841" s="78" t="str">
        <f>IF(COUNTIF($C$1:C840,B840)=1,10,"")</f>
        <v/>
      </c>
    </row>
    <row r="842" spans="1:25" x14ac:dyDescent="0.3">
      <c r="A842" s="75">
        <v>841</v>
      </c>
      <c r="B842" s="6">
        <v>46110</v>
      </c>
      <c r="C842" s="6">
        <v>46110</v>
      </c>
      <c r="D842" s="17" t="str">
        <f t="shared" si="160"/>
        <v>March</v>
      </c>
      <c r="E842" s="5" t="str">
        <f t="shared" ca="1" si="161"/>
        <v>STU-361</v>
      </c>
      <c r="F842" s="5" t="str">
        <f ca="1">IF(COUNTIF($E$2:E842,E842)=1,"New Customer","Returning Customer")</f>
        <v>Returning Customer</v>
      </c>
      <c r="G842" s="5" t="str">
        <f t="shared" ca="1" si="162"/>
        <v>Not specified</v>
      </c>
      <c r="H842" s="5" t="s">
        <v>138</v>
      </c>
      <c r="I842" s="5" t="str" cm="1">
        <f t="array" aca="1" ref="I842" ca="1">INDEX(Courses!$B$9:$B$16,RANDBETWEEN(1,8))</f>
        <v>Tax Code</v>
      </c>
      <c r="J842" s="5" t="str">
        <f ca="1">VLOOKUP(I842,Courses!$B$9:$C$16,2,0)</f>
        <v>Finance &amp; Taxation</v>
      </c>
      <c r="K842" s="7">
        <f ca="1">VLOOKUP(I842,Courses!$B$9:$D$16,3,0)</f>
        <v>59</v>
      </c>
      <c r="L842" s="5" t="str">
        <f t="shared" ca="1" si="163"/>
        <v>Paid</v>
      </c>
      <c r="M842" s="8" t="str" cm="1">
        <f t="array" aca="1" ref="M842" ca="1">INDEX('Payment Method'!$A$8:$A$12,RANDBETWEEN(1,5))</f>
        <v>Visa Credit</v>
      </c>
      <c r="N842" s="7">
        <f>IFERROR(SUMIF(Holiday!$A$8:$A$11,B842,Holiday!$C$8:$C$11),0)</f>
        <v>0</v>
      </c>
      <c r="O842" s="7">
        <f t="shared" ca="1" si="164"/>
        <v>59</v>
      </c>
      <c r="P842" s="19">
        <f t="shared" ca="1" si="165"/>
        <v>56.935000000000002</v>
      </c>
      <c r="Q842" s="7">
        <f t="shared" ca="1" si="166"/>
        <v>0</v>
      </c>
      <c r="R842" s="8">
        <f ca="1">VLOOKUP(M842,'Payment Method'!$A$8:$B$12,2,0)</f>
        <v>3.5000000000000003E-2</v>
      </c>
      <c r="S842" s="9">
        <f t="shared" ca="1" si="156"/>
        <v>2.0649999999999977</v>
      </c>
      <c r="T842" s="8">
        <v>0.01</v>
      </c>
      <c r="U842" s="9">
        <f t="shared" ca="1" si="157"/>
        <v>0.56935000000000002</v>
      </c>
      <c r="V842" s="7">
        <f t="shared" ca="1" si="158"/>
        <v>0</v>
      </c>
      <c r="W842" s="7">
        <f t="shared" ca="1" si="159"/>
        <v>56.365650000000002</v>
      </c>
      <c r="X842" s="5" t="str">
        <f t="shared" ca="1" si="167"/>
        <v>Instagram</v>
      </c>
      <c r="Y842" s="78" t="str">
        <f>IF(COUNTIF($C$1:C841,B841)=1,10,"")</f>
        <v/>
      </c>
    </row>
    <row r="843" spans="1:25" x14ac:dyDescent="0.3">
      <c r="A843" s="76">
        <v>842</v>
      </c>
      <c r="B843" s="6">
        <v>46051</v>
      </c>
      <c r="C843" s="6">
        <v>46056</v>
      </c>
      <c r="D843" s="17" t="str">
        <f t="shared" si="160"/>
        <v>February</v>
      </c>
      <c r="E843" s="5" t="str">
        <f t="shared" ca="1" si="161"/>
        <v>STU-180</v>
      </c>
      <c r="F843" s="5" t="str">
        <f ca="1">IF(COUNTIF($E$2:E843,E843)=1,"New Customer","Returning Customer")</f>
        <v>Returning Customer</v>
      </c>
      <c r="G843" s="5" t="str">
        <f t="shared" ca="1" si="162"/>
        <v>Female</v>
      </c>
      <c r="H843" s="5" t="s">
        <v>135</v>
      </c>
      <c r="I843" s="5" t="str" cm="1">
        <f t="array" aca="1" ref="I843" ca="1">INDEX(Courses!$B$9:$B$16,RANDBETWEEN(1,8))</f>
        <v>Tax Code</v>
      </c>
      <c r="J843" s="5" t="str">
        <f ca="1">VLOOKUP(I843,Courses!$B$9:$C$16,2,0)</f>
        <v>Finance &amp; Taxation</v>
      </c>
      <c r="K843" s="7">
        <f ca="1">VLOOKUP(I843,Courses!$B$9:$D$16,3,0)</f>
        <v>59</v>
      </c>
      <c r="L843" s="5" t="str">
        <f t="shared" ca="1" si="163"/>
        <v>Paid</v>
      </c>
      <c r="M843" s="8" t="str" cm="1">
        <f t="array" aca="1" ref="M843" ca="1">INDEX('Payment Method'!$A$8:$A$12,RANDBETWEEN(1,5))</f>
        <v>Mastercard Debit</v>
      </c>
      <c r="N843" s="7">
        <f>IFERROR(SUMIF(Holiday!$A$8:$A$11,B843,Holiday!$C$8:$C$11),0)</f>
        <v>0</v>
      </c>
      <c r="O843" s="7">
        <f t="shared" ca="1" si="164"/>
        <v>59</v>
      </c>
      <c r="P843" s="19">
        <f t="shared" ca="1" si="165"/>
        <v>57.82</v>
      </c>
      <c r="Q843" s="7">
        <f t="shared" ca="1" si="166"/>
        <v>0</v>
      </c>
      <c r="R843" s="8">
        <f ca="1">VLOOKUP(M843,'Payment Method'!$A$8:$B$12,2,0)</f>
        <v>0.02</v>
      </c>
      <c r="S843" s="9">
        <f t="shared" ca="1" si="156"/>
        <v>1.1799999999999997</v>
      </c>
      <c r="T843" s="8">
        <v>0.01</v>
      </c>
      <c r="U843" s="9">
        <f t="shared" ca="1" si="157"/>
        <v>0.57820000000000249</v>
      </c>
      <c r="V843" s="7">
        <f t="shared" ca="1" si="158"/>
        <v>0</v>
      </c>
      <c r="W843" s="7">
        <f t="shared" ca="1" si="159"/>
        <v>57.241799999999998</v>
      </c>
      <c r="X843" s="5" t="str">
        <f t="shared" ca="1" si="167"/>
        <v>Instagram</v>
      </c>
      <c r="Y843" s="78" t="str">
        <f>IF(COUNTIF($C$1:C842,B842)=1,10,"")</f>
        <v/>
      </c>
    </row>
    <row r="844" spans="1:25" x14ac:dyDescent="0.3">
      <c r="A844" s="75">
        <v>843</v>
      </c>
      <c r="B844" s="6">
        <v>46030</v>
      </c>
      <c r="C844" s="6">
        <v>46030</v>
      </c>
      <c r="D844" s="17" t="str">
        <f t="shared" si="160"/>
        <v>January</v>
      </c>
      <c r="E844" s="5" t="str">
        <f t="shared" ca="1" si="161"/>
        <v>STU-581</v>
      </c>
      <c r="F844" s="5" t="str">
        <f ca="1">IF(COUNTIF($E$2:E844,E844)=1,"New Customer","Returning Customer")</f>
        <v>New Customer</v>
      </c>
      <c r="G844" s="5" t="str">
        <f t="shared" ca="1" si="162"/>
        <v>Female</v>
      </c>
      <c r="H844" s="5" t="s">
        <v>140</v>
      </c>
      <c r="I844" s="5" t="str" cm="1">
        <f t="array" aca="1" ref="I844" ca="1">INDEX(Courses!$B$9:$B$16,RANDBETWEEN(1,8))</f>
        <v>SQL</v>
      </c>
      <c r="J844" s="5" t="str">
        <f ca="1">VLOOKUP(I844,Courses!$B$9:$C$16,2,0)</f>
        <v>Data Analytics</v>
      </c>
      <c r="K844" s="7">
        <f ca="1">VLOOKUP(I844,Courses!$B$9:$D$16,3,0)</f>
        <v>99</v>
      </c>
      <c r="L844" s="5" t="str">
        <f t="shared" ca="1" si="163"/>
        <v>Pending</v>
      </c>
      <c r="M844" s="8" t="str" cm="1">
        <f t="array" aca="1" ref="M844" ca="1">INDEX('Payment Method'!$A$8:$A$12,RANDBETWEEN(1,5))</f>
        <v>Mastercard Debit</v>
      </c>
      <c r="N844" s="7">
        <f>IFERROR(SUMIF(Holiday!$A$8:$A$11,B844,Holiday!$C$8:$C$11),0)</f>
        <v>0</v>
      </c>
      <c r="O844" s="7">
        <f t="shared" ca="1" si="164"/>
        <v>99</v>
      </c>
      <c r="P844" s="19">
        <f t="shared" ca="1" si="165"/>
        <v>97.02</v>
      </c>
      <c r="Q844" s="7">
        <f t="shared" ca="1" si="166"/>
        <v>96.049799999999991</v>
      </c>
      <c r="R844" s="8">
        <f ca="1">VLOOKUP(M844,'Payment Method'!$A$8:$B$12,2,0)</f>
        <v>0.02</v>
      </c>
      <c r="S844" s="9">
        <f t="shared" ca="1" si="156"/>
        <v>1.980000000000004</v>
      </c>
      <c r="T844" s="8">
        <v>0.01</v>
      </c>
      <c r="U844" s="9">
        <f t="shared" ca="1" si="157"/>
        <v>0.9702000000000055</v>
      </c>
      <c r="V844" s="7">
        <f t="shared" ca="1" si="158"/>
        <v>0</v>
      </c>
      <c r="W844" s="7">
        <f t="shared" ca="1" si="159"/>
        <v>0</v>
      </c>
      <c r="X844" s="5" t="str">
        <f t="shared" ca="1" si="167"/>
        <v>Tiktok</v>
      </c>
      <c r="Y844" s="78" t="str">
        <f>IF(COUNTIF($C$1:C843,B843)=1,10,"")</f>
        <v/>
      </c>
    </row>
    <row r="845" spans="1:25" x14ac:dyDescent="0.3">
      <c r="A845" s="76">
        <v>844</v>
      </c>
      <c r="B845" s="6">
        <v>46129</v>
      </c>
      <c r="C845" s="6">
        <v>46130</v>
      </c>
      <c r="D845" s="17" t="str">
        <f t="shared" si="160"/>
        <v>April</v>
      </c>
      <c r="E845" s="5" t="str">
        <f t="shared" ca="1" si="161"/>
        <v>STU-920</v>
      </c>
      <c r="F845" s="5" t="str">
        <f ca="1">IF(COUNTIF($E$2:E845,E845)=1,"New Customer","Returning Customer")</f>
        <v>Returning Customer</v>
      </c>
      <c r="G845" s="5" t="str">
        <f t="shared" ca="1" si="162"/>
        <v>Not specified</v>
      </c>
      <c r="H845" s="5" t="s">
        <v>138</v>
      </c>
      <c r="I845" s="5" t="str" cm="1">
        <f t="array" aca="1" ref="I845" ca="1">INDEX(Courses!$B$9:$B$16,RANDBETWEEN(1,8))</f>
        <v>Tax Code</v>
      </c>
      <c r="J845" s="5" t="str">
        <f ca="1">VLOOKUP(I845,Courses!$B$9:$C$16,2,0)</f>
        <v>Finance &amp; Taxation</v>
      </c>
      <c r="K845" s="7">
        <f ca="1">VLOOKUP(I845,Courses!$B$9:$D$16,3,0)</f>
        <v>59</v>
      </c>
      <c r="L845" s="5" t="str">
        <f t="shared" ca="1" si="163"/>
        <v>Refunded</v>
      </c>
      <c r="M845" s="8" t="str" cm="1">
        <f t="array" aca="1" ref="M845" ca="1">INDEX('Payment Method'!$A$8:$A$12,RANDBETWEEN(1,5))</f>
        <v>Bank Transfer</v>
      </c>
      <c r="N845" s="7">
        <f>IFERROR(SUMIF(Holiday!$A$8:$A$11,B845,Holiday!$C$8:$C$11),0)</f>
        <v>0</v>
      </c>
      <c r="O845" s="7">
        <f t="shared" ca="1" si="164"/>
        <v>59</v>
      </c>
      <c r="P845" s="19">
        <f t="shared" ca="1" si="165"/>
        <v>59</v>
      </c>
      <c r="Q845" s="7">
        <f t="shared" ca="1" si="166"/>
        <v>0</v>
      </c>
      <c r="R845" s="8">
        <f ca="1">VLOOKUP(M845,'Payment Method'!$A$8:$B$12,2,0)</f>
        <v>0</v>
      </c>
      <c r="S845" s="9">
        <f t="shared" ca="1" si="156"/>
        <v>0</v>
      </c>
      <c r="T845" s="8">
        <v>0.01</v>
      </c>
      <c r="U845" s="9">
        <f t="shared" ca="1" si="157"/>
        <v>0.59000000000000341</v>
      </c>
      <c r="V845" s="7">
        <f t="shared" ca="1" si="158"/>
        <v>58.41</v>
      </c>
      <c r="W845" s="7">
        <f t="shared" ca="1" si="159"/>
        <v>0</v>
      </c>
      <c r="X845" s="5" t="str">
        <f t="shared" ca="1" si="167"/>
        <v>Facebook</v>
      </c>
      <c r="Y845" s="78" t="str">
        <f>IF(COUNTIF($C$1:C844,B844)=1,10,"")</f>
        <v/>
      </c>
    </row>
    <row r="846" spans="1:25" x14ac:dyDescent="0.3">
      <c r="A846" s="75">
        <v>845</v>
      </c>
      <c r="B846" s="6">
        <v>46066</v>
      </c>
      <c r="C846" s="6">
        <v>46067</v>
      </c>
      <c r="D846" s="17" t="str">
        <f t="shared" si="160"/>
        <v>February</v>
      </c>
      <c r="E846" s="5" t="str">
        <f t="shared" ca="1" si="161"/>
        <v>STU-56</v>
      </c>
      <c r="F846" s="5" t="str">
        <f ca="1">IF(COUNTIF($E$2:E846,E846)=1,"New Customer","Returning Customer")</f>
        <v>Returning Customer</v>
      </c>
      <c r="G846" s="5" t="str">
        <f t="shared" ca="1" si="162"/>
        <v>Female</v>
      </c>
      <c r="H846" s="5" t="s">
        <v>135</v>
      </c>
      <c r="I846" s="5" t="str" cm="1">
        <f t="array" aca="1" ref="I846" ca="1">INDEX(Courses!$B$9:$B$16,RANDBETWEEN(1,8))</f>
        <v>Tax Code</v>
      </c>
      <c r="J846" s="5" t="str">
        <f ca="1">VLOOKUP(I846,Courses!$B$9:$C$16,2,0)</f>
        <v>Finance &amp; Taxation</v>
      </c>
      <c r="K846" s="7">
        <f ca="1">VLOOKUP(I846,Courses!$B$9:$D$16,3,0)</f>
        <v>59</v>
      </c>
      <c r="L846" s="5" t="str">
        <f t="shared" ca="1" si="163"/>
        <v>Paid</v>
      </c>
      <c r="M846" s="8" t="str" cm="1">
        <f t="array" aca="1" ref="M846" ca="1">INDEX('Payment Method'!$A$8:$A$12,RANDBETWEEN(1,5))</f>
        <v>Mastercard Debit</v>
      </c>
      <c r="N846" s="7">
        <f>IFERROR(SUMIF(Holiday!$A$8:$A$11,B846,Holiday!$C$8:$C$11),0)</f>
        <v>0</v>
      </c>
      <c r="O846" s="7">
        <f t="shared" ca="1" si="164"/>
        <v>59</v>
      </c>
      <c r="P846" s="19">
        <f t="shared" ca="1" si="165"/>
        <v>57.82</v>
      </c>
      <c r="Q846" s="7">
        <f t="shared" ca="1" si="166"/>
        <v>0</v>
      </c>
      <c r="R846" s="8">
        <f ca="1">VLOOKUP(M846,'Payment Method'!$A$8:$B$12,2,0)</f>
        <v>0.02</v>
      </c>
      <c r="S846" s="9">
        <f t="shared" ca="1" si="156"/>
        <v>1.1799999999999997</v>
      </c>
      <c r="T846" s="8">
        <v>0.01</v>
      </c>
      <c r="U846" s="9">
        <f t="shared" ca="1" si="157"/>
        <v>0.57820000000000249</v>
      </c>
      <c r="V846" s="7">
        <f t="shared" ca="1" si="158"/>
        <v>0</v>
      </c>
      <c r="W846" s="7">
        <f t="shared" ca="1" si="159"/>
        <v>57.241799999999998</v>
      </c>
      <c r="X846" s="5" t="str">
        <f t="shared" ca="1" si="167"/>
        <v>Instagram</v>
      </c>
      <c r="Y846" s="78" t="str">
        <f>IF(COUNTIF($C$1:C845,B845)=1,10,"")</f>
        <v/>
      </c>
    </row>
    <row r="847" spans="1:25" x14ac:dyDescent="0.3">
      <c r="A847" s="76">
        <v>846</v>
      </c>
      <c r="B847" s="6">
        <v>46073</v>
      </c>
      <c r="C847" s="6">
        <v>46077</v>
      </c>
      <c r="D847" s="17" t="str">
        <f t="shared" si="160"/>
        <v>February</v>
      </c>
      <c r="E847" s="5" t="str">
        <f t="shared" ca="1" si="161"/>
        <v>STU-850</v>
      </c>
      <c r="F847" s="5" t="str">
        <f ca="1">IF(COUNTIF($E$2:E847,E847)=1,"New Customer","Returning Customer")</f>
        <v>Returning Customer</v>
      </c>
      <c r="G847" s="5" t="str">
        <f t="shared" ca="1" si="162"/>
        <v>Not specified</v>
      </c>
      <c r="H847" s="5" t="s">
        <v>138</v>
      </c>
      <c r="I847" s="5" t="str" cm="1">
        <f t="array" aca="1" ref="I847" ca="1">INDEX(Courses!$B$9:$B$16,RANDBETWEEN(1,8))</f>
        <v>PowerPoint</v>
      </c>
      <c r="J847" s="5" t="str">
        <f ca="1">VLOOKUP(I847,Courses!$B$9:$C$16,2,0)</f>
        <v>Microsoft Office</v>
      </c>
      <c r="K847" s="7">
        <f ca="1">VLOOKUP(I847,Courses!$B$9:$D$16,3,0)</f>
        <v>29</v>
      </c>
      <c r="L847" s="5" t="str">
        <f t="shared" ca="1" si="163"/>
        <v>Paid</v>
      </c>
      <c r="M847" s="8" t="str" cm="1">
        <f t="array" aca="1" ref="M847" ca="1">INDEX('Payment Method'!$A$8:$A$12,RANDBETWEEN(1,5))</f>
        <v>Mastercard Credit</v>
      </c>
      <c r="N847" s="7">
        <f>IFERROR(SUMIF(Holiday!$A$8:$A$11,B847,Holiday!$C$8:$C$11),0)</f>
        <v>0</v>
      </c>
      <c r="O847" s="7">
        <f t="shared" ca="1" si="164"/>
        <v>29</v>
      </c>
      <c r="P847" s="19">
        <f t="shared" ca="1" si="165"/>
        <v>27.984999999999999</v>
      </c>
      <c r="Q847" s="7">
        <f t="shared" ca="1" si="166"/>
        <v>0</v>
      </c>
      <c r="R847" s="8">
        <f ca="1">VLOOKUP(M847,'Payment Method'!$A$8:$B$12,2,0)</f>
        <v>3.5000000000000003E-2</v>
      </c>
      <c r="S847" s="9">
        <f t="shared" ca="1" si="156"/>
        <v>1.0150000000000006</v>
      </c>
      <c r="T847" s="8">
        <v>0.01</v>
      </c>
      <c r="U847" s="9">
        <f t="shared" ca="1" si="157"/>
        <v>0.27984999999999971</v>
      </c>
      <c r="V847" s="7">
        <f t="shared" ca="1" si="158"/>
        <v>0</v>
      </c>
      <c r="W847" s="7">
        <f t="shared" ca="1" si="159"/>
        <v>27.70515</v>
      </c>
      <c r="X847" s="5" t="str">
        <f t="shared" ca="1" si="167"/>
        <v>Facebook</v>
      </c>
      <c r="Y847" s="78" t="str">
        <f>IF(COUNTIF($C$1:C846,B846)=1,10,"")</f>
        <v/>
      </c>
    </row>
    <row r="848" spans="1:25" x14ac:dyDescent="0.3">
      <c r="A848" s="75">
        <v>847</v>
      </c>
      <c r="B848" s="6">
        <v>46131</v>
      </c>
      <c r="C848" s="6">
        <v>46134</v>
      </c>
      <c r="D848" s="17" t="str">
        <f t="shared" si="160"/>
        <v>April</v>
      </c>
      <c r="E848" s="5" t="str">
        <f t="shared" ca="1" si="161"/>
        <v>STU-686</v>
      </c>
      <c r="F848" s="5" t="str">
        <f ca="1">IF(COUNTIF($E$2:E848,E848)=1,"New Customer","Returning Customer")</f>
        <v>Returning Customer</v>
      </c>
      <c r="G848" s="5" t="str">
        <f t="shared" ca="1" si="162"/>
        <v>Male</v>
      </c>
      <c r="H848" s="5" t="s">
        <v>135</v>
      </c>
      <c r="I848" s="5" t="str" cm="1">
        <f t="array" aca="1" ref="I848" ca="1">INDEX(Courses!$B$9:$B$16,RANDBETWEEN(1,8))</f>
        <v>Power BI</v>
      </c>
      <c r="J848" s="5" t="str">
        <f ca="1">VLOOKUP(I848,Courses!$B$9:$C$16,2,0)</f>
        <v>Data Analytics</v>
      </c>
      <c r="K848" s="7">
        <f ca="1">VLOOKUP(I848,Courses!$B$9:$D$16,3,0)</f>
        <v>59</v>
      </c>
      <c r="L848" s="5" t="str">
        <f t="shared" ca="1" si="163"/>
        <v>Paid</v>
      </c>
      <c r="M848" s="8" t="str" cm="1">
        <f t="array" aca="1" ref="M848" ca="1">INDEX('Payment Method'!$A$8:$A$12,RANDBETWEEN(1,5))</f>
        <v>Mastercard Credit</v>
      </c>
      <c r="N848" s="7">
        <f>IFERROR(SUMIF(Holiday!$A$8:$A$11,B848,Holiday!$C$8:$C$11),0)</f>
        <v>0</v>
      </c>
      <c r="O848" s="7">
        <f t="shared" ca="1" si="164"/>
        <v>59</v>
      </c>
      <c r="P848" s="19">
        <f t="shared" ca="1" si="165"/>
        <v>56.935000000000002</v>
      </c>
      <c r="Q848" s="7">
        <f t="shared" ca="1" si="166"/>
        <v>0</v>
      </c>
      <c r="R848" s="8">
        <f ca="1">VLOOKUP(M848,'Payment Method'!$A$8:$B$12,2,0)</f>
        <v>3.5000000000000003E-2</v>
      </c>
      <c r="S848" s="9">
        <f t="shared" ca="1" si="156"/>
        <v>2.0649999999999977</v>
      </c>
      <c r="T848" s="8">
        <v>0.01</v>
      </c>
      <c r="U848" s="9">
        <f t="shared" ca="1" si="157"/>
        <v>0.56935000000000002</v>
      </c>
      <c r="V848" s="7">
        <f t="shared" ca="1" si="158"/>
        <v>0</v>
      </c>
      <c r="W848" s="7">
        <f t="shared" ca="1" si="159"/>
        <v>56.365650000000002</v>
      </c>
      <c r="X848" s="5" t="str">
        <f t="shared" ca="1" si="167"/>
        <v>Instagram</v>
      </c>
      <c r="Y848" s="78" t="str">
        <f>IF(COUNTIF($C$1:C847,B847)=1,10,"")</f>
        <v/>
      </c>
    </row>
    <row r="849" spans="1:25" x14ac:dyDescent="0.3">
      <c r="A849" s="76">
        <v>848</v>
      </c>
      <c r="B849" s="6">
        <v>46222</v>
      </c>
      <c r="C849" s="6">
        <v>46227</v>
      </c>
      <c r="D849" s="17" t="str">
        <f t="shared" si="160"/>
        <v>July</v>
      </c>
      <c r="E849" s="5" t="str">
        <f t="shared" ca="1" si="161"/>
        <v>STU-506</v>
      </c>
      <c r="F849" s="5" t="str">
        <f ca="1">IF(COUNTIF($E$2:E849,E849)=1,"New Customer","Returning Customer")</f>
        <v>New Customer</v>
      </c>
      <c r="G849" s="5" t="str">
        <f t="shared" ca="1" si="162"/>
        <v>Female</v>
      </c>
      <c r="H849" s="5" t="s">
        <v>141</v>
      </c>
      <c r="I849" s="5" t="str" cm="1">
        <f t="array" aca="1" ref="I849" ca="1">INDEX(Courses!$B$9:$B$16,RANDBETWEEN(1,8))</f>
        <v>SQL</v>
      </c>
      <c r="J849" s="5" t="str">
        <f ca="1">VLOOKUP(I849,Courses!$B$9:$C$16,2,0)</f>
        <v>Data Analytics</v>
      </c>
      <c r="K849" s="7">
        <f ca="1">VLOOKUP(I849,Courses!$B$9:$D$16,3,0)</f>
        <v>99</v>
      </c>
      <c r="L849" s="5" t="str">
        <f t="shared" ca="1" si="163"/>
        <v>Pending</v>
      </c>
      <c r="M849" s="8" t="str" cm="1">
        <f t="array" aca="1" ref="M849" ca="1">INDEX('Payment Method'!$A$8:$A$12,RANDBETWEEN(1,5))</f>
        <v>Visa Credit</v>
      </c>
      <c r="N849" s="7">
        <f>IFERROR(SUMIF(Holiday!$A$8:$A$11,B849,Holiday!$C$8:$C$11),0)</f>
        <v>0</v>
      </c>
      <c r="O849" s="7">
        <f t="shared" ca="1" si="164"/>
        <v>99</v>
      </c>
      <c r="P849" s="19">
        <f t="shared" ca="1" si="165"/>
        <v>95.534999999999997</v>
      </c>
      <c r="Q849" s="7">
        <f t="shared" ca="1" si="166"/>
        <v>94.579650000000001</v>
      </c>
      <c r="R849" s="8">
        <f ca="1">VLOOKUP(M849,'Payment Method'!$A$8:$B$12,2,0)</f>
        <v>3.5000000000000003E-2</v>
      </c>
      <c r="S849" s="9">
        <f t="shared" ca="1" si="156"/>
        <v>3.4650000000000034</v>
      </c>
      <c r="T849" s="8">
        <v>0.01</v>
      </c>
      <c r="U849" s="9">
        <f t="shared" ca="1" si="157"/>
        <v>0.9553499999999957</v>
      </c>
      <c r="V849" s="7">
        <f t="shared" ca="1" si="158"/>
        <v>0</v>
      </c>
      <c r="W849" s="7">
        <f t="shared" ca="1" si="159"/>
        <v>0</v>
      </c>
      <c r="X849" s="5" t="str">
        <f t="shared" ca="1" si="167"/>
        <v>Tiktok</v>
      </c>
      <c r="Y849" s="78">
        <f>IF(COUNTIF($C$1:C848,B848)=1,10,"")</f>
        <v>10</v>
      </c>
    </row>
    <row r="850" spans="1:25" x14ac:dyDescent="0.3">
      <c r="A850" s="75">
        <v>849</v>
      </c>
      <c r="B850" s="6">
        <v>46165</v>
      </c>
      <c r="C850" s="6">
        <v>46165</v>
      </c>
      <c r="D850" s="17" t="str">
        <f t="shared" si="160"/>
        <v>May</v>
      </c>
      <c r="E850" s="5" t="str">
        <f t="shared" ca="1" si="161"/>
        <v>STU-587</v>
      </c>
      <c r="F850" s="5" t="str">
        <f ca="1">IF(COUNTIF($E$2:E850,E850)=1,"New Customer","Returning Customer")</f>
        <v>New Customer</v>
      </c>
      <c r="G850" s="5" t="str">
        <f t="shared" ca="1" si="162"/>
        <v>Female</v>
      </c>
      <c r="H850" s="5" t="s">
        <v>136</v>
      </c>
      <c r="I850" s="5" t="str" cm="1">
        <f t="array" aca="1" ref="I850" ca="1">INDEX(Courses!$B$9:$B$16,RANDBETWEEN(1,8))</f>
        <v>SQL</v>
      </c>
      <c r="J850" s="5" t="str">
        <f ca="1">VLOOKUP(I850,Courses!$B$9:$C$16,2,0)</f>
        <v>Data Analytics</v>
      </c>
      <c r="K850" s="7">
        <f ca="1">VLOOKUP(I850,Courses!$B$9:$D$16,3,0)</f>
        <v>99</v>
      </c>
      <c r="L850" s="5" t="str">
        <f t="shared" ca="1" si="163"/>
        <v>Paid</v>
      </c>
      <c r="M850" s="8" t="str" cm="1">
        <f t="array" aca="1" ref="M850" ca="1">INDEX('Payment Method'!$A$8:$A$12,RANDBETWEEN(1,5))</f>
        <v>Mastercard Debit</v>
      </c>
      <c r="N850" s="7">
        <f>IFERROR(SUMIF(Holiday!$A$8:$A$11,B850,Holiday!$C$8:$C$11),0)</f>
        <v>0</v>
      </c>
      <c r="O850" s="7">
        <f t="shared" ca="1" si="164"/>
        <v>99</v>
      </c>
      <c r="P850" s="19">
        <f t="shared" ca="1" si="165"/>
        <v>97.02</v>
      </c>
      <c r="Q850" s="7">
        <f t="shared" ca="1" si="166"/>
        <v>0</v>
      </c>
      <c r="R850" s="8">
        <f ca="1">VLOOKUP(M850,'Payment Method'!$A$8:$B$12,2,0)</f>
        <v>0.02</v>
      </c>
      <c r="S850" s="9">
        <f t="shared" ca="1" si="156"/>
        <v>1.980000000000004</v>
      </c>
      <c r="T850" s="8">
        <v>0.01</v>
      </c>
      <c r="U850" s="9">
        <f t="shared" ca="1" si="157"/>
        <v>0.9702000000000055</v>
      </c>
      <c r="V850" s="7">
        <f t="shared" ca="1" si="158"/>
        <v>0</v>
      </c>
      <c r="W850" s="7">
        <f t="shared" ca="1" si="159"/>
        <v>96.049799999999991</v>
      </c>
      <c r="X850" s="5" t="str">
        <f t="shared" ca="1" si="167"/>
        <v>Tiktok</v>
      </c>
      <c r="Y850" s="78" t="str">
        <f>IF(COUNTIF($C$1:C849,B849)=1,10,"")</f>
        <v/>
      </c>
    </row>
    <row r="851" spans="1:25" x14ac:dyDescent="0.3">
      <c r="A851" s="76">
        <v>850</v>
      </c>
      <c r="B851" s="6">
        <v>46029</v>
      </c>
      <c r="C851" s="6">
        <v>46030</v>
      </c>
      <c r="D851" s="17" t="str">
        <f t="shared" si="160"/>
        <v>January</v>
      </c>
      <c r="E851" s="5" t="str">
        <f t="shared" ca="1" si="161"/>
        <v>STU-145</v>
      </c>
      <c r="F851" s="5" t="str">
        <f ca="1">IF(COUNTIF($E$2:E851,E851)=1,"New Customer","Returning Customer")</f>
        <v>New Customer</v>
      </c>
      <c r="G851" s="5" t="str">
        <f t="shared" ca="1" si="162"/>
        <v>Male</v>
      </c>
      <c r="H851" s="5" t="s">
        <v>136</v>
      </c>
      <c r="I851" s="5" t="str" cm="1">
        <f t="array" aca="1" ref="I851" ca="1">INDEX(Courses!$B$9:$B$16,RANDBETWEEN(1,8))</f>
        <v>Power BI</v>
      </c>
      <c r="J851" s="5" t="str">
        <f ca="1">VLOOKUP(I851,Courses!$B$9:$C$16,2,0)</f>
        <v>Data Analytics</v>
      </c>
      <c r="K851" s="7">
        <f ca="1">VLOOKUP(I851,Courses!$B$9:$D$16,3,0)</f>
        <v>59</v>
      </c>
      <c r="L851" s="5" t="str">
        <f t="shared" ca="1" si="163"/>
        <v>Paid</v>
      </c>
      <c r="M851" s="8" t="str" cm="1">
        <f t="array" aca="1" ref="M851" ca="1">INDEX('Payment Method'!$A$8:$A$12,RANDBETWEEN(1,5))</f>
        <v>Mastercard Debit</v>
      </c>
      <c r="N851" s="7">
        <f>IFERROR(SUMIF(Holiday!$A$8:$A$11,B851,Holiday!$C$8:$C$11),0)</f>
        <v>0</v>
      </c>
      <c r="O851" s="7">
        <f t="shared" ca="1" si="164"/>
        <v>59</v>
      </c>
      <c r="P851" s="19">
        <f t="shared" ca="1" si="165"/>
        <v>57.82</v>
      </c>
      <c r="Q851" s="7">
        <f t="shared" ca="1" si="166"/>
        <v>0</v>
      </c>
      <c r="R851" s="8">
        <f ca="1">VLOOKUP(M851,'Payment Method'!$A$8:$B$12,2,0)</f>
        <v>0.02</v>
      </c>
      <c r="S851" s="9">
        <f t="shared" ca="1" si="156"/>
        <v>1.1799999999999997</v>
      </c>
      <c r="T851" s="8">
        <v>0.01</v>
      </c>
      <c r="U851" s="9">
        <f t="shared" ca="1" si="157"/>
        <v>0.57820000000000249</v>
      </c>
      <c r="V851" s="7">
        <f t="shared" ca="1" si="158"/>
        <v>0</v>
      </c>
      <c r="W851" s="7">
        <f t="shared" ca="1" si="159"/>
        <v>57.241799999999998</v>
      </c>
      <c r="X851" s="5" t="str">
        <f t="shared" ca="1" si="167"/>
        <v>Instagram</v>
      </c>
      <c r="Y851" s="78" t="str">
        <f>IF(COUNTIF($C$1:C850,B850)=1,10,"")</f>
        <v/>
      </c>
    </row>
    <row r="852" spans="1:25" x14ac:dyDescent="0.3">
      <c r="A852" s="75">
        <v>851</v>
      </c>
      <c r="B852" s="6">
        <v>46180</v>
      </c>
      <c r="C852" s="6">
        <v>46184</v>
      </c>
      <c r="D852" s="17" t="str">
        <f t="shared" si="160"/>
        <v>June</v>
      </c>
      <c r="E852" s="5" t="str">
        <f t="shared" ca="1" si="161"/>
        <v>STU-38</v>
      </c>
      <c r="F852" s="5" t="str">
        <f ca="1">IF(COUNTIF($E$2:E852,E852)=1,"New Customer","Returning Customer")</f>
        <v>New Customer</v>
      </c>
      <c r="G852" s="5" t="str">
        <f t="shared" ca="1" si="162"/>
        <v>Male</v>
      </c>
      <c r="H852" s="5" t="s">
        <v>141</v>
      </c>
      <c r="I852" s="5" t="str" cm="1">
        <f t="array" aca="1" ref="I852" ca="1">INDEX(Courses!$B$9:$B$16,RANDBETWEEN(1,8))</f>
        <v>Power BI</v>
      </c>
      <c r="J852" s="5" t="str">
        <f ca="1">VLOOKUP(I852,Courses!$B$9:$C$16,2,0)</f>
        <v>Data Analytics</v>
      </c>
      <c r="K852" s="7">
        <f ca="1">VLOOKUP(I852,Courses!$B$9:$D$16,3,0)</f>
        <v>59</v>
      </c>
      <c r="L852" s="5" t="str">
        <f t="shared" ca="1" si="163"/>
        <v>Paid</v>
      </c>
      <c r="M852" s="8" t="str" cm="1">
        <f t="array" aca="1" ref="M852" ca="1">INDEX('Payment Method'!$A$8:$A$12,RANDBETWEEN(1,5))</f>
        <v>Mastercard Debit</v>
      </c>
      <c r="N852" s="7">
        <f>IFERROR(SUMIF(Holiday!$A$8:$A$11,B852,Holiday!$C$8:$C$11),0)</f>
        <v>0</v>
      </c>
      <c r="O852" s="7">
        <f t="shared" ca="1" si="164"/>
        <v>59</v>
      </c>
      <c r="P852" s="19">
        <f t="shared" ca="1" si="165"/>
        <v>57.82</v>
      </c>
      <c r="Q852" s="7">
        <f t="shared" ca="1" si="166"/>
        <v>0</v>
      </c>
      <c r="R852" s="8">
        <f ca="1">VLOOKUP(M852,'Payment Method'!$A$8:$B$12,2,0)</f>
        <v>0.02</v>
      </c>
      <c r="S852" s="9">
        <f t="shared" ca="1" si="156"/>
        <v>1.1799999999999997</v>
      </c>
      <c r="T852" s="8">
        <v>0.01</v>
      </c>
      <c r="U852" s="9">
        <f t="shared" ca="1" si="157"/>
        <v>0.57820000000000249</v>
      </c>
      <c r="V852" s="7">
        <f t="shared" ca="1" si="158"/>
        <v>0</v>
      </c>
      <c r="W852" s="7">
        <f t="shared" ca="1" si="159"/>
        <v>57.241799999999998</v>
      </c>
      <c r="X852" s="5" t="str">
        <f t="shared" ca="1" si="167"/>
        <v>Facebook</v>
      </c>
      <c r="Y852" s="78" t="str">
        <f>IF(COUNTIF($C$1:C851,B851)=1,10,"")</f>
        <v/>
      </c>
    </row>
    <row r="853" spans="1:25" x14ac:dyDescent="0.3">
      <c r="A853" s="76">
        <v>852</v>
      </c>
      <c r="B853" s="6">
        <v>46133</v>
      </c>
      <c r="C853" s="6">
        <v>46137</v>
      </c>
      <c r="D853" s="17" t="str">
        <f t="shared" si="160"/>
        <v>April</v>
      </c>
      <c r="E853" s="5" t="str">
        <f t="shared" ca="1" si="161"/>
        <v>STU-539</v>
      </c>
      <c r="F853" s="5" t="str">
        <f ca="1">IF(COUNTIF($E$2:E853,E853)=1,"New Customer","Returning Customer")</f>
        <v>Returning Customer</v>
      </c>
      <c r="G853" s="5" t="str">
        <f t="shared" ca="1" si="162"/>
        <v>Not specified</v>
      </c>
      <c r="H853" s="5" t="s">
        <v>135</v>
      </c>
      <c r="I853" s="5" t="str" cm="1">
        <f t="array" aca="1" ref="I853" ca="1">INDEX(Courses!$B$9:$B$16,RANDBETWEEN(1,8))</f>
        <v>Adolescent Psychology</v>
      </c>
      <c r="J853" s="5" t="str">
        <f ca="1">VLOOKUP(I853,Courses!$B$9:$C$16,2,0)</f>
        <v>Psychology</v>
      </c>
      <c r="K853" s="7">
        <f ca="1">VLOOKUP(I853,Courses!$B$9:$D$16,3,0)</f>
        <v>29</v>
      </c>
      <c r="L853" s="5" t="str">
        <f t="shared" ca="1" si="163"/>
        <v>Paid</v>
      </c>
      <c r="M853" s="8" t="str" cm="1">
        <f t="array" aca="1" ref="M853" ca="1">INDEX('Payment Method'!$A$8:$A$12,RANDBETWEEN(1,5))</f>
        <v>Bank Transfer</v>
      </c>
      <c r="N853" s="7">
        <f>IFERROR(SUMIF(Holiday!$A$8:$A$11,B853,Holiday!$C$8:$C$11),0)</f>
        <v>0</v>
      </c>
      <c r="O853" s="7">
        <f t="shared" ca="1" si="164"/>
        <v>29</v>
      </c>
      <c r="P853" s="19">
        <f t="shared" ca="1" si="165"/>
        <v>29</v>
      </c>
      <c r="Q853" s="7">
        <f t="shared" ca="1" si="166"/>
        <v>0</v>
      </c>
      <c r="R853" s="8">
        <f ca="1">VLOOKUP(M853,'Payment Method'!$A$8:$B$12,2,0)</f>
        <v>0</v>
      </c>
      <c r="S853" s="9">
        <f t="shared" ca="1" si="156"/>
        <v>0</v>
      </c>
      <c r="T853" s="8">
        <v>0.01</v>
      </c>
      <c r="U853" s="9">
        <f t="shared" ca="1" si="157"/>
        <v>0.28999999999999915</v>
      </c>
      <c r="V853" s="7">
        <f t="shared" ca="1" si="158"/>
        <v>0</v>
      </c>
      <c r="W853" s="7">
        <f t="shared" ca="1" si="159"/>
        <v>28.71</v>
      </c>
      <c r="X853" s="5" t="str">
        <f t="shared" ca="1" si="167"/>
        <v>Tiktok</v>
      </c>
      <c r="Y853" s="78" t="str">
        <f>IF(COUNTIF($C$1:C852,B852)=1,10,"")</f>
        <v/>
      </c>
    </row>
    <row r="854" spans="1:25" x14ac:dyDescent="0.3">
      <c r="A854" s="75">
        <v>853</v>
      </c>
      <c r="B854" s="6">
        <v>46089</v>
      </c>
      <c r="C854" s="6">
        <v>46093</v>
      </c>
      <c r="D854" s="17" t="str">
        <f t="shared" si="160"/>
        <v>March</v>
      </c>
      <c r="E854" s="5" t="str">
        <f t="shared" ca="1" si="161"/>
        <v>STU-919</v>
      </c>
      <c r="F854" s="5" t="str">
        <f ca="1">IF(COUNTIF($E$2:E854,E854)=1,"New Customer","Returning Customer")</f>
        <v>New Customer</v>
      </c>
      <c r="G854" s="5" t="str">
        <f t="shared" ca="1" si="162"/>
        <v>Female</v>
      </c>
      <c r="H854" s="5" t="s">
        <v>137</v>
      </c>
      <c r="I854" s="5" t="str" cm="1">
        <f t="array" aca="1" ref="I854" ca="1">INDEX(Courses!$B$9:$B$16,RANDBETWEEN(1,8))</f>
        <v>Microsoft Word</v>
      </c>
      <c r="J854" s="5" t="str">
        <f ca="1">VLOOKUP(I854,Courses!$B$9:$C$16,2,0)</f>
        <v>Microsoft Office</v>
      </c>
      <c r="K854" s="7">
        <f ca="1">VLOOKUP(I854,Courses!$B$9:$D$16,3,0)</f>
        <v>29</v>
      </c>
      <c r="L854" s="5" t="str">
        <f t="shared" ca="1" si="163"/>
        <v>Pending</v>
      </c>
      <c r="M854" s="8" t="str" cm="1">
        <f t="array" aca="1" ref="M854" ca="1">INDEX('Payment Method'!$A$8:$A$12,RANDBETWEEN(1,5))</f>
        <v>Visa Debit</v>
      </c>
      <c r="N854" s="7">
        <f>IFERROR(SUMIF(Holiday!$A$8:$A$11,B854,Holiday!$C$8:$C$11),0)</f>
        <v>0</v>
      </c>
      <c r="O854" s="7">
        <f t="shared" ca="1" si="164"/>
        <v>29</v>
      </c>
      <c r="P854" s="19">
        <f t="shared" ca="1" si="165"/>
        <v>28.42</v>
      </c>
      <c r="Q854" s="7">
        <f t="shared" ca="1" si="166"/>
        <v>28.135800000000003</v>
      </c>
      <c r="R854" s="8">
        <f ca="1">VLOOKUP(M854,'Payment Method'!$A$8:$B$12,2,0)</f>
        <v>0.02</v>
      </c>
      <c r="S854" s="9">
        <f t="shared" ca="1" si="156"/>
        <v>0.57999999999999829</v>
      </c>
      <c r="T854" s="8">
        <v>0.01</v>
      </c>
      <c r="U854" s="9">
        <f t="shared" ca="1" si="157"/>
        <v>0.28419999999999845</v>
      </c>
      <c r="V854" s="7">
        <f t="shared" ca="1" si="158"/>
        <v>0</v>
      </c>
      <c r="W854" s="7">
        <f t="shared" ca="1" si="159"/>
        <v>0</v>
      </c>
      <c r="X854" s="5" t="str">
        <f t="shared" ca="1" si="167"/>
        <v>Facebook</v>
      </c>
      <c r="Y854" s="78" t="str">
        <f>IF(COUNTIF($C$1:C853,B853)=1,10,"")</f>
        <v/>
      </c>
    </row>
    <row r="855" spans="1:25" x14ac:dyDescent="0.3">
      <c r="A855" s="76">
        <v>854</v>
      </c>
      <c r="B855" s="6">
        <v>46110</v>
      </c>
      <c r="C855" s="6">
        <v>46115</v>
      </c>
      <c r="D855" s="17" t="str">
        <f t="shared" si="160"/>
        <v>April</v>
      </c>
      <c r="E855" s="5" t="str">
        <f t="shared" ca="1" si="161"/>
        <v>STU-822</v>
      </c>
      <c r="F855" s="5" t="str">
        <f ca="1">IF(COUNTIF($E$2:E855,E855)=1,"New Customer","Returning Customer")</f>
        <v>Returning Customer</v>
      </c>
      <c r="G855" s="5" t="str">
        <f t="shared" ca="1" si="162"/>
        <v>Not specified</v>
      </c>
      <c r="H855" s="5" t="s">
        <v>136</v>
      </c>
      <c r="I855" s="5" t="str" cm="1">
        <f t="array" aca="1" ref="I855" ca="1">INDEX(Courses!$B$9:$B$16,RANDBETWEEN(1,8))</f>
        <v>Tax Code</v>
      </c>
      <c r="J855" s="5" t="str">
        <f ca="1">VLOOKUP(I855,Courses!$B$9:$C$16,2,0)</f>
        <v>Finance &amp; Taxation</v>
      </c>
      <c r="K855" s="7">
        <f ca="1">VLOOKUP(I855,Courses!$B$9:$D$16,3,0)</f>
        <v>59</v>
      </c>
      <c r="L855" s="5" t="str">
        <f t="shared" ca="1" si="163"/>
        <v>Paid</v>
      </c>
      <c r="M855" s="8" t="str" cm="1">
        <f t="array" aca="1" ref="M855" ca="1">INDEX('Payment Method'!$A$8:$A$12,RANDBETWEEN(1,5))</f>
        <v>Visa Credit</v>
      </c>
      <c r="N855" s="7">
        <f>IFERROR(SUMIF(Holiday!$A$8:$A$11,B855,Holiday!$C$8:$C$11),0)</f>
        <v>0</v>
      </c>
      <c r="O855" s="7">
        <f t="shared" ca="1" si="164"/>
        <v>59</v>
      </c>
      <c r="P855" s="19">
        <f t="shared" ca="1" si="165"/>
        <v>56.935000000000002</v>
      </c>
      <c r="Q855" s="7">
        <f t="shared" ca="1" si="166"/>
        <v>0</v>
      </c>
      <c r="R855" s="8">
        <f ca="1">VLOOKUP(M855,'Payment Method'!$A$8:$B$12,2,0)</f>
        <v>3.5000000000000003E-2</v>
      </c>
      <c r="S855" s="9">
        <f t="shared" ca="1" si="156"/>
        <v>2.0649999999999977</v>
      </c>
      <c r="T855" s="8">
        <v>0.01</v>
      </c>
      <c r="U855" s="9">
        <f t="shared" ca="1" si="157"/>
        <v>0.56935000000000002</v>
      </c>
      <c r="V855" s="7">
        <f t="shared" ca="1" si="158"/>
        <v>0</v>
      </c>
      <c r="W855" s="7">
        <f t="shared" ca="1" si="159"/>
        <v>56.365650000000002</v>
      </c>
      <c r="X855" s="5" t="str">
        <f t="shared" ca="1" si="167"/>
        <v>Tiktok</v>
      </c>
      <c r="Y855" s="78" t="str">
        <f>IF(COUNTIF($C$1:C854,B854)=1,10,"")</f>
        <v/>
      </c>
    </row>
    <row r="856" spans="1:25" x14ac:dyDescent="0.3">
      <c r="A856" s="75">
        <v>855</v>
      </c>
      <c r="B856" s="6">
        <v>46166</v>
      </c>
      <c r="C856" s="6">
        <v>46169</v>
      </c>
      <c r="D856" s="17" t="str">
        <f t="shared" si="160"/>
        <v>May</v>
      </c>
      <c r="E856" s="5" t="str">
        <f t="shared" ca="1" si="161"/>
        <v>STU-404</v>
      </c>
      <c r="F856" s="5" t="str">
        <f ca="1">IF(COUNTIF($E$2:E856,E856)=1,"New Customer","Returning Customer")</f>
        <v>New Customer</v>
      </c>
      <c r="G856" s="5" t="str">
        <f t="shared" ca="1" si="162"/>
        <v>Female</v>
      </c>
      <c r="H856" s="5" t="s">
        <v>137</v>
      </c>
      <c r="I856" s="5" t="str" cm="1">
        <f t="array" aca="1" ref="I856" ca="1">INDEX(Courses!$B$9:$B$16,RANDBETWEEN(1,8))</f>
        <v>Power BI</v>
      </c>
      <c r="J856" s="5" t="str">
        <f ca="1">VLOOKUP(I856,Courses!$B$9:$C$16,2,0)</f>
        <v>Data Analytics</v>
      </c>
      <c r="K856" s="7">
        <f ca="1">VLOOKUP(I856,Courses!$B$9:$D$16,3,0)</f>
        <v>59</v>
      </c>
      <c r="L856" s="5" t="str">
        <f t="shared" ca="1" si="163"/>
        <v>Paid</v>
      </c>
      <c r="M856" s="8" t="str" cm="1">
        <f t="array" aca="1" ref="M856" ca="1">INDEX('Payment Method'!$A$8:$A$12,RANDBETWEEN(1,5))</f>
        <v>Mastercard Debit</v>
      </c>
      <c r="N856" s="7">
        <f>IFERROR(SUMIF(Holiday!$A$8:$A$11,B856,Holiday!$C$8:$C$11),0)</f>
        <v>0</v>
      </c>
      <c r="O856" s="7">
        <f t="shared" ca="1" si="164"/>
        <v>59</v>
      </c>
      <c r="P856" s="19">
        <f t="shared" ca="1" si="165"/>
        <v>57.82</v>
      </c>
      <c r="Q856" s="7">
        <f t="shared" ca="1" si="166"/>
        <v>0</v>
      </c>
      <c r="R856" s="8">
        <f ca="1">VLOOKUP(M856,'Payment Method'!$A$8:$B$12,2,0)</f>
        <v>0.02</v>
      </c>
      <c r="S856" s="9">
        <f t="shared" ca="1" si="156"/>
        <v>1.1799999999999997</v>
      </c>
      <c r="T856" s="8">
        <v>0.01</v>
      </c>
      <c r="U856" s="9">
        <f t="shared" ca="1" si="157"/>
        <v>0.57820000000000249</v>
      </c>
      <c r="V856" s="7">
        <f t="shared" ca="1" si="158"/>
        <v>0</v>
      </c>
      <c r="W856" s="7">
        <f t="shared" ca="1" si="159"/>
        <v>57.241799999999998</v>
      </c>
      <c r="X856" s="5" t="str">
        <f t="shared" ca="1" si="167"/>
        <v>Facebook</v>
      </c>
      <c r="Y856" s="78" t="str">
        <f>IF(COUNTIF($C$1:C855,B855)=1,10,"")</f>
        <v/>
      </c>
    </row>
    <row r="857" spans="1:25" x14ac:dyDescent="0.3">
      <c r="A857" s="76">
        <v>856</v>
      </c>
      <c r="B857" s="6">
        <v>46064</v>
      </c>
      <c r="C857" s="6">
        <v>46068</v>
      </c>
      <c r="D857" s="17" t="str">
        <f t="shared" si="160"/>
        <v>February</v>
      </c>
      <c r="E857" s="5" t="str">
        <f t="shared" ca="1" si="161"/>
        <v>STU-409</v>
      </c>
      <c r="F857" s="5" t="str">
        <f ca="1">IF(COUNTIF($E$2:E857,E857)=1,"New Customer","Returning Customer")</f>
        <v>Returning Customer</v>
      </c>
      <c r="G857" s="5" t="str">
        <f t="shared" ca="1" si="162"/>
        <v>Female</v>
      </c>
      <c r="H857" s="5" t="s">
        <v>137</v>
      </c>
      <c r="I857" s="5" t="str" cm="1">
        <f t="array" aca="1" ref="I857" ca="1">INDEX(Courses!$B$9:$B$16,RANDBETWEEN(1,8))</f>
        <v>Microsoft Word</v>
      </c>
      <c r="J857" s="5" t="str">
        <f ca="1">VLOOKUP(I857,Courses!$B$9:$C$16,2,0)</f>
        <v>Microsoft Office</v>
      </c>
      <c r="K857" s="7">
        <f ca="1">VLOOKUP(I857,Courses!$B$9:$D$16,3,0)</f>
        <v>29</v>
      </c>
      <c r="L857" s="5" t="str">
        <f t="shared" ca="1" si="163"/>
        <v>Pending</v>
      </c>
      <c r="M857" s="8" t="str" cm="1">
        <f t="array" aca="1" ref="M857" ca="1">INDEX('Payment Method'!$A$8:$A$12,RANDBETWEEN(1,5))</f>
        <v>Mastercard Debit</v>
      </c>
      <c r="N857" s="7">
        <f>IFERROR(SUMIF(Holiday!$A$8:$A$11,B857,Holiday!$C$8:$C$11),0)</f>
        <v>0</v>
      </c>
      <c r="O857" s="7">
        <f t="shared" ca="1" si="164"/>
        <v>29</v>
      </c>
      <c r="P857" s="19">
        <f t="shared" ca="1" si="165"/>
        <v>28.42</v>
      </c>
      <c r="Q857" s="7">
        <f t="shared" ca="1" si="166"/>
        <v>28.135800000000003</v>
      </c>
      <c r="R857" s="8">
        <f ca="1">VLOOKUP(M857,'Payment Method'!$A$8:$B$12,2,0)</f>
        <v>0.02</v>
      </c>
      <c r="S857" s="9">
        <f t="shared" ca="1" si="156"/>
        <v>0.57999999999999829</v>
      </c>
      <c r="T857" s="8">
        <v>0.01</v>
      </c>
      <c r="U857" s="9">
        <f t="shared" ca="1" si="157"/>
        <v>0.28419999999999845</v>
      </c>
      <c r="V857" s="7">
        <f t="shared" ca="1" si="158"/>
        <v>0</v>
      </c>
      <c r="W857" s="7">
        <f t="shared" ca="1" si="159"/>
        <v>0</v>
      </c>
      <c r="X857" s="5" t="str">
        <f t="shared" ca="1" si="167"/>
        <v>Tiktok</v>
      </c>
      <c r="Y857" s="78" t="str">
        <f>IF(COUNTIF($C$1:C856,B856)=1,10,"")</f>
        <v/>
      </c>
    </row>
    <row r="858" spans="1:25" x14ac:dyDescent="0.3">
      <c r="A858" s="75">
        <v>857</v>
      </c>
      <c r="B858" s="6">
        <v>46135</v>
      </c>
      <c r="C858" s="6">
        <v>46140</v>
      </c>
      <c r="D858" s="17" t="str">
        <f t="shared" si="160"/>
        <v>April</v>
      </c>
      <c r="E858" s="5" t="str">
        <f t="shared" ca="1" si="161"/>
        <v>STU-680</v>
      </c>
      <c r="F858" s="5" t="str">
        <f ca="1">IF(COUNTIF($E$2:E858,E858)=1,"New Customer","Returning Customer")</f>
        <v>Returning Customer</v>
      </c>
      <c r="G858" s="5" t="str">
        <f t="shared" ca="1" si="162"/>
        <v>Male</v>
      </c>
      <c r="H858" s="5" t="s">
        <v>141</v>
      </c>
      <c r="I858" s="5" t="str" cm="1">
        <f t="array" aca="1" ref="I858" ca="1">INDEX(Courses!$B$9:$B$16,RANDBETWEEN(1,8))</f>
        <v>Adolescent Psychology</v>
      </c>
      <c r="J858" s="5" t="str">
        <f ca="1">VLOOKUP(I858,Courses!$B$9:$C$16,2,0)</f>
        <v>Psychology</v>
      </c>
      <c r="K858" s="7">
        <f ca="1">VLOOKUP(I858,Courses!$B$9:$D$16,3,0)</f>
        <v>29</v>
      </c>
      <c r="L858" s="5" t="str">
        <f t="shared" ca="1" si="163"/>
        <v>Pending</v>
      </c>
      <c r="M858" s="8" t="str" cm="1">
        <f t="array" aca="1" ref="M858" ca="1">INDEX('Payment Method'!$A$8:$A$12,RANDBETWEEN(1,5))</f>
        <v>Bank Transfer</v>
      </c>
      <c r="N858" s="7">
        <f>IFERROR(SUMIF(Holiday!$A$8:$A$11,B858,Holiday!$C$8:$C$11),0)</f>
        <v>0</v>
      </c>
      <c r="O858" s="7">
        <f t="shared" ca="1" si="164"/>
        <v>29</v>
      </c>
      <c r="P858" s="19">
        <f t="shared" ca="1" si="165"/>
        <v>29</v>
      </c>
      <c r="Q858" s="7">
        <f t="shared" ca="1" si="166"/>
        <v>28.71</v>
      </c>
      <c r="R858" s="8">
        <f ca="1">VLOOKUP(M858,'Payment Method'!$A$8:$B$12,2,0)</f>
        <v>0</v>
      </c>
      <c r="S858" s="9">
        <f t="shared" ca="1" si="156"/>
        <v>0</v>
      </c>
      <c r="T858" s="8">
        <v>0.01</v>
      </c>
      <c r="U858" s="9">
        <f t="shared" ca="1" si="157"/>
        <v>0.28999999999999915</v>
      </c>
      <c r="V858" s="7">
        <f t="shared" ca="1" si="158"/>
        <v>0</v>
      </c>
      <c r="W858" s="7">
        <f t="shared" ca="1" si="159"/>
        <v>0</v>
      </c>
      <c r="X858" s="5" t="str">
        <f t="shared" ca="1" si="167"/>
        <v>Tiktok</v>
      </c>
      <c r="Y858" s="78" t="str">
        <f>IF(COUNTIF($C$1:C857,B857)=1,10,"")</f>
        <v/>
      </c>
    </row>
    <row r="859" spans="1:25" x14ac:dyDescent="0.3">
      <c r="A859" s="76">
        <v>858</v>
      </c>
      <c r="B859" s="6">
        <v>46101</v>
      </c>
      <c r="C859" s="6">
        <v>46106</v>
      </c>
      <c r="D859" s="17" t="str">
        <f t="shared" si="160"/>
        <v>March</v>
      </c>
      <c r="E859" s="5" t="str">
        <f t="shared" ca="1" si="161"/>
        <v>STU-442</v>
      </c>
      <c r="F859" s="5" t="str">
        <f ca="1">IF(COUNTIF($E$2:E859,E859)=1,"New Customer","Returning Customer")</f>
        <v>Returning Customer</v>
      </c>
      <c r="G859" s="5" t="str">
        <f t="shared" ca="1" si="162"/>
        <v>Not specified</v>
      </c>
      <c r="H859" s="5" t="s">
        <v>142</v>
      </c>
      <c r="I859" s="5" t="str" cm="1">
        <f t="array" aca="1" ref="I859" ca="1">INDEX(Courses!$B$9:$B$16,RANDBETWEEN(1,8))</f>
        <v>Tax Code</v>
      </c>
      <c r="J859" s="5" t="str">
        <f ca="1">VLOOKUP(I859,Courses!$B$9:$C$16,2,0)</f>
        <v>Finance &amp; Taxation</v>
      </c>
      <c r="K859" s="7">
        <f ca="1">VLOOKUP(I859,Courses!$B$9:$D$16,3,0)</f>
        <v>59</v>
      </c>
      <c r="L859" s="5" t="str">
        <f t="shared" ca="1" si="163"/>
        <v>Pending</v>
      </c>
      <c r="M859" s="8" t="str" cm="1">
        <f t="array" aca="1" ref="M859" ca="1">INDEX('Payment Method'!$A$8:$A$12,RANDBETWEEN(1,5))</f>
        <v>Visa Credit</v>
      </c>
      <c r="N859" s="7">
        <f>IFERROR(SUMIF(Holiday!$A$8:$A$11,B859,Holiday!$C$8:$C$11),0)</f>
        <v>0</v>
      </c>
      <c r="O859" s="7">
        <f t="shared" ca="1" si="164"/>
        <v>59</v>
      </c>
      <c r="P859" s="19">
        <f t="shared" ca="1" si="165"/>
        <v>56.935000000000002</v>
      </c>
      <c r="Q859" s="7">
        <f t="shared" ca="1" si="166"/>
        <v>56.365650000000002</v>
      </c>
      <c r="R859" s="8">
        <f ca="1">VLOOKUP(M859,'Payment Method'!$A$8:$B$12,2,0)</f>
        <v>3.5000000000000003E-2</v>
      </c>
      <c r="S859" s="9">
        <f t="shared" ca="1" si="156"/>
        <v>2.0649999999999977</v>
      </c>
      <c r="T859" s="8">
        <v>0.01</v>
      </c>
      <c r="U859" s="9">
        <f t="shared" ca="1" si="157"/>
        <v>0.56935000000000002</v>
      </c>
      <c r="V859" s="7">
        <f t="shared" ca="1" si="158"/>
        <v>0</v>
      </c>
      <c r="W859" s="7">
        <f t="shared" ca="1" si="159"/>
        <v>0</v>
      </c>
      <c r="X859" s="5" t="str">
        <f t="shared" ca="1" si="167"/>
        <v>Tiktok</v>
      </c>
      <c r="Y859" s="78" t="str">
        <f>IF(COUNTIF($C$1:C858,B858)=1,10,"")</f>
        <v/>
      </c>
    </row>
    <row r="860" spans="1:25" x14ac:dyDescent="0.3">
      <c r="A860" s="75">
        <v>859</v>
      </c>
      <c r="B860" s="6">
        <v>46170</v>
      </c>
      <c r="C860" s="6">
        <v>46170</v>
      </c>
      <c r="D860" s="17" t="str">
        <f t="shared" si="160"/>
        <v>May</v>
      </c>
      <c r="E860" s="5" t="str">
        <f t="shared" ca="1" si="161"/>
        <v>STU-109</v>
      </c>
      <c r="F860" s="5" t="str">
        <f ca="1">IF(COUNTIF($E$2:E860,E860)=1,"New Customer","Returning Customer")</f>
        <v>New Customer</v>
      </c>
      <c r="G860" s="5" t="str">
        <f t="shared" ca="1" si="162"/>
        <v>Female</v>
      </c>
      <c r="H860" s="5" t="s">
        <v>139</v>
      </c>
      <c r="I860" s="5" t="str" cm="1">
        <f t="array" aca="1" ref="I860" ca="1">INDEX(Courses!$B$9:$B$16,RANDBETWEEN(1,8))</f>
        <v>Adolescent Psychology</v>
      </c>
      <c r="J860" s="5" t="str">
        <f ca="1">VLOOKUP(I860,Courses!$B$9:$C$16,2,0)</f>
        <v>Psychology</v>
      </c>
      <c r="K860" s="7">
        <f ca="1">VLOOKUP(I860,Courses!$B$9:$D$16,3,0)</f>
        <v>29</v>
      </c>
      <c r="L860" s="5" t="str">
        <f t="shared" ca="1" si="163"/>
        <v>Refunded</v>
      </c>
      <c r="M860" s="8" t="str" cm="1">
        <f t="array" aca="1" ref="M860" ca="1">INDEX('Payment Method'!$A$8:$A$12,RANDBETWEEN(1,5))</f>
        <v>Visa Credit</v>
      </c>
      <c r="N860" s="7">
        <f>IFERROR(SUMIF(Holiday!$A$8:$A$11,B860,Holiday!$C$8:$C$11),0)</f>
        <v>0</v>
      </c>
      <c r="O860" s="7">
        <f t="shared" ca="1" si="164"/>
        <v>29</v>
      </c>
      <c r="P860" s="19">
        <f t="shared" ca="1" si="165"/>
        <v>27.984999999999999</v>
      </c>
      <c r="Q860" s="7">
        <f t="shared" ca="1" si="166"/>
        <v>0</v>
      </c>
      <c r="R860" s="8">
        <f ca="1">VLOOKUP(M860,'Payment Method'!$A$8:$B$12,2,0)</f>
        <v>3.5000000000000003E-2</v>
      </c>
      <c r="S860" s="9">
        <f t="shared" ca="1" si="156"/>
        <v>1.0150000000000006</v>
      </c>
      <c r="T860" s="8">
        <v>0.01</v>
      </c>
      <c r="U860" s="9">
        <f t="shared" ca="1" si="157"/>
        <v>0.27984999999999971</v>
      </c>
      <c r="V860" s="7">
        <f t="shared" ca="1" si="158"/>
        <v>27.70515</v>
      </c>
      <c r="W860" s="7">
        <f t="shared" ca="1" si="159"/>
        <v>0</v>
      </c>
      <c r="X860" s="5" t="str">
        <f t="shared" ca="1" si="167"/>
        <v>Facebook</v>
      </c>
      <c r="Y860" s="78" t="str">
        <f>IF(COUNTIF($C$1:C859,B859)=1,10,"")</f>
        <v/>
      </c>
    </row>
    <row r="861" spans="1:25" x14ac:dyDescent="0.3">
      <c r="A861" s="76">
        <v>860</v>
      </c>
      <c r="B861" s="6">
        <v>46027</v>
      </c>
      <c r="C861" s="6">
        <v>46028</v>
      </c>
      <c r="D861" s="17" t="str">
        <f t="shared" si="160"/>
        <v>January</v>
      </c>
      <c r="E861" s="5" t="str">
        <f t="shared" ca="1" si="161"/>
        <v>STU-323</v>
      </c>
      <c r="F861" s="5" t="str">
        <f ca="1">IF(COUNTIF($E$2:E861,E861)=1,"New Customer","Returning Customer")</f>
        <v>New Customer</v>
      </c>
      <c r="G861" s="5" t="str">
        <f t="shared" ca="1" si="162"/>
        <v>Not specified</v>
      </c>
      <c r="H861" s="5" t="s">
        <v>137</v>
      </c>
      <c r="I861" s="5" t="str" cm="1">
        <f t="array" aca="1" ref="I861" ca="1">INDEX(Courses!$B$9:$B$16,RANDBETWEEN(1,8))</f>
        <v>Microsoft Word</v>
      </c>
      <c r="J861" s="5" t="str">
        <f ca="1">VLOOKUP(I861,Courses!$B$9:$C$16,2,0)</f>
        <v>Microsoft Office</v>
      </c>
      <c r="K861" s="7">
        <f ca="1">VLOOKUP(I861,Courses!$B$9:$D$16,3,0)</f>
        <v>29</v>
      </c>
      <c r="L861" s="5" t="str">
        <f t="shared" ca="1" si="163"/>
        <v>Paid</v>
      </c>
      <c r="M861" s="8" t="str" cm="1">
        <f t="array" aca="1" ref="M861" ca="1">INDEX('Payment Method'!$A$8:$A$12,RANDBETWEEN(1,5))</f>
        <v>Visa Debit</v>
      </c>
      <c r="N861" s="7">
        <f>IFERROR(SUMIF(Holiday!$A$8:$A$11,B861,Holiday!$C$8:$C$11),0)</f>
        <v>0</v>
      </c>
      <c r="O861" s="7">
        <f t="shared" ca="1" si="164"/>
        <v>29</v>
      </c>
      <c r="P861" s="19">
        <f t="shared" ca="1" si="165"/>
        <v>28.42</v>
      </c>
      <c r="Q861" s="7">
        <f t="shared" ca="1" si="166"/>
        <v>0</v>
      </c>
      <c r="R861" s="8">
        <f ca="1">VLOOKUP(M861,'Payment Method'!$A$8:$B$12,2,0)</f>
        <v>0.02</v>
      </c>
      <c r="S861" s="9">
        <f t="shared" ca="1" si="156"/>
        <v>0.57999999999999829</v>
      </c>
      <c r="T861" s="8">
        <v>0.01</v>
      </c>
      <c r="U861" s="9">
        <f t="shared" ca="1" si="157"/>
        <v>0.28419999999999845</v>
      </c>
      <c r="V861" s="7">
        <f t="shared" ca="1" si="158"/>
        <v>0</v>
      </c>
      <c r="W861" s="7">
        <f t="shared" ca="1" si="159"/>
        <v>28.135800000000003</v>
      </c>
      <c r="X861" s="5" t="str">
        <f t="shared" ca="1" si="167"/>
        <v>Instagram</v>
      </c>
      <c r="Y861" s="78" t="str">
        <f>IF(COUNTIF($C$1:C860,B860)=1,10,"")</f>
        <v/>
      </c>
    </row>
    <row r="862" spans="1:25" x14ac:dyDescent="0.3">
      <c r="A862" s="75">
        <v>861</v>
      </c>
      <c r="B862" s="6">
        <v>46209</v>
      </c>
      <c r="C862" s="6">
        <v>46213</v>
      </c>
      <c r="D862" s="17" t="str">
        <f t="shared" si="160"/>
        <v>July</v>
      </c>
      <c r="E862" s="5" t="str">
        <f t="shared" ca="1" si="161"/>
        <v>STU-60</v>
      </c>
      <c r="F862" s="5" t="str">
        <f ca="1">IF(COUNTIF($E$2:E862,E862)=1,"New Customer","Returning Customer")</f>
        <v>Returning Customer</v>
      </c>
      <c r="G862" s="5" t="str">
        <f t="shared" ca="1" si="162"/>
        <v>Male</v>
      </c>
      <c r="H862" s="5" t="s">
        <v>136</v>
      </c>
      <c r="I862" s="5" t="str" cm="1">
        <f t="array" aca="1" ref="I862" ca="1">INDEX(Courses!$B$9:$B$16,RANDBETWEEN(1,8))</f>
        <v>Excel Basics</v>
      </c>
      <c r="J862" s="5" t="str">
        <f ca="1">VLOOKUP(I862,Courses!$B$9:$C$16,2,0)</f>
        <v>Microsoft Office</v>
      </c>
      <c r="K862" s="7">
        <f ca="1">VLOOKUP(I862,Courses!$B$9:$D$16,3,0)</f>
        <v>29</v>
      </c>
      <c r="L862" s="5" t="str">
        <f t="shared" ca="1" si="163"/>
        <v>Paid</v>
      </c>
      <c r="M862" s="8" t="str" cm="1">
        <f t="array" aca="1" ref="M862" ca="1">INDEX('Payment Method'!$A$8:$A$12,RANDBETWEEN(1,5))</f>
        <v>Mastercard Credit</v>
      </c>
      <c r="N862" s="7">
        <f>IFERROR(SUMIF(Holiday!$A$8:$A$11,B862,Holiday!$C$8:$C$11),0)</f>
        <v>0</v>
      </c>
      <c r="O862" s="7">
        <f t="shared" ca="1" si="164"/>
        <v>29</v>
      </c>
      <c r="P862" s="19">
        <f t="shared" ca="1" si="165"/>
        <v>27.984999999999999</v>
      </c>
      <c r="Q862" s="7">
        <f t="shared" ca="1" si="166"/>
        <v>0</v>
      </c>
      <c r="R862" s="8">
        <f ca="1">VLOOKUP(M862,'Payment Method'!$A$8:$B$12,2,0)</f>
        <v>3.5000000000000003E-2</v>
      </c>
      <c r="S862" s="9">
        <f t="shared" ca="1" si="156"/>
        <v>1.0150000000000006</v>
      </c>
      <c r="T862" s="8">
        <v>0.01</v>
      </c>
      <c r="U862" s="9">
        <f t="shared" ca="1" si="157"/>
        <v>0.27984999999999971</v>
      </c>
      <c r="V862" s="7">
        <f t="shared" ca="1" si="158"/>
        <v>0</v>
      </c>
      <c r="W862" s="7">
        <f t="shared" ca="1" si="159"/>
        <v>27.70515</v>
      </c>
      <c r="X862" s="5" t="str">
        <f t="shared" ca="1" si="167"/>
        <v>Instagram</v>
      </c>
      <c r="Y862" s="78" t="str">
        <f>IF(COUNTIF($C$1:C861,B861)=1,10,"")</f>
        <v/>
      </c>
    </row>
    <row r="863" spans="1:25" x14ac:dyDescent="0.3">
      <c r="A863" s="76">
        <v>862</v>
      </c>
      <c r="B863" s="6">
        <v>46174</v>
      </c>
      <c r="C863" s="6">
        <v>46175</v>
      </c>
      <c r="D863" s="17" t="str">
        <f t="shared" si="160"/>
        <v>June</v>
      </c>
      <c r="E863" s="5" t="str">
        <f t="shared" ca="1" si="161"/>
        <v>STU-303</v>
      </c>
      <c r="F863" s="5" t="str">
        <f ca="1">IF(COUNTIF($E$2:E863,E863)=1,"New Customer","Returning Customer")</f>
        <v>New Customer</v>
      </c>
      <c r="G863" s="5" t="str">
        <f t="shared" ca="1" si="162"/>
        <v>Not specified</v>
      </c>
      <c r="H863" s="5" t="s">
        <v>138</v>
      </c>
      <c r="I863" s="5" t="str" cm="1">
        <f t="array" aca="1" ref="I863" ca="1">INDEX(Courses!$B$9:$B$16,RANDBETWEEN(1,8))</f>
        <v>Power BI</v>
      </c>
      <c r="J863" s="5" t="str">
        <f ca="1">VLOOKUP(I863,Courses!$B$9:$C$16,2,0)</f>
        <v>Data Analytics</v>
      </c>
      <c r="K863" s="7">
        <f ca="1">VLOOKUP(I863,Courses!$B$9:$D$16,3,0)</f>
        <v>59</v>
      </c>
      <c r="L863" s="5" t="str">
        <f t="shared" ca="1" si="163"/>
        <v>Paid</v>
      </c>
      <c r="M863" s="8" t="str" cm="1">
        <f t="array" aca="1" ref="M863" ca="1">INDEX('Payment Method'!$A$8:$A$12,RANDBETWEEN(1,5))</f>
        <v>Bank Transfer</v>
      </c>
      <c r="N863" s="7">
        <f>IFERROR(SUMIF(Holiday!$A$8:$A$11,B863,Holiday!$C$8:$C$11),0)</f>
        <v>0</v>
      </c>
      <c r="O863" s="7">
        <f t="shared" ca="1" si="164"/>
        <v>59</v>
      </c>
      <c r="P863" s="19">
        <f t="shared" ca="1" si="165"/>
        <v>59</v>
      </c>
      <c r="Q863" s="7">
        <f t="shared" ca="1" si="166"/>
        <v>0</v>
      </c>
      <c r="R863" s="8">
        <f ca="1">VLOOKUP(M863,'Payment Method'!$A$8:$B$12,2,0)</f>
        <v>0</v>
      </c>
      <c r="S863" s="9">
        <f t="shared" ca="1" si="156"/>
        <v>0</v>
      </c>
      <c r="T863" s="8">
        <v>0.01</v>
      </c>
      <c r="U863" s="9">
        <f t="shared" ca="1" si="157"/>
        <v>0.59000000000000341</v>
      </c>
      <c r="V863" s="7">
        <f t="shared" ca="1" si="158"/>
        <v>0</v>
      </c>
      <c r="W863" s="7">
        <f t="shared" ca="1" si="159"/>
        <v>58.41</v>
      </c>
      <c r="X863" s="5" t="str">
        <f t="shared" ca="1" si="167"/>
        <v>Facebook</v>
      </c>
      <c r="Y863" s="78" t="str">
        <f>IF(COUNTIF($C$1:C862,B862)=1,10,"")</f>
        <v/>
      </c>
    </row>
    <row r="864" spans="1:25" x14ac:dyDescent="0.3">
      <c r="A864" s="75">
        <v>863</v>
      </c>
      <c r="B864" s="6">
        <v>46163</v>
      </c>
      <c r="C864" s="6">
        <v>46168</v>
      </c>
      <c r="D864" s="17" t="str">
        <f t="shared" si="160"/>
        <v>May</v>
      </c>
      <c r="E864" s="5" t="str">
        <f t="shared" ca="1" si="161"/>
        <v>STU-769</v>
      </c>
      <c r="F864" s="5" t="str">
        <f ca="1">IF(COUNTIF($E$2:E864,E864)=1,"New Customer","Returning Customer")</f>
        <v>New Customer</v>
      </c>
      <c r="G864" s="5" t="str">
        <f t="shared" ca="1" si="162"/>
        <v>Female</v>
      </c>
      <c r="H864" s="5" t="s">
        <v>141</v>
      </c>
      <c r="I864" s="5" t="str" cm="1">
        <f t="array" aca="1" ref="I864" ca="1">INDEX(Courses!$B$9:$B$16,RANDBETWEEN(1,8))</f>
        <v>Tax Code</v>
      </c>
      <c r="J864" s="5" t="str">
        <f ca="1">VLOOKUP(I864,Courses!$B$9:$C$16,2,0)</f>
        <v>Finance &amp; Taxation</v>
      </c>
      <c r="K864" s="7">
        <f ca="1">VLOOKUP(I864,Courses!$B$9:$D$16,3,0)</f>
        <v>59</v>
      </c>
      <c r="L864" s="5" t="str">
        <f t="shared" ca="1" si="163"/>
        <v>Paid</v>
      </c>
      <c r="M864" s="8" t="str" cm="1">
        <f t="array" aca="1" ref="M864" ca="1">INDEX('Payment Method'!$A$8:$A$12,RANDBETWEEN(1,5))</f>
        <v>Mastercard Debit</v>
      </c>
      <c r="N864" s="7">
        <f>IFERROR(SUMIF(Holiday!$A$8:$A$11,B864,Holiday!$C$8:$C$11),0)</f>
        <v>0</v>
      </c>
      <c r="O864" s="7">
        <f t="shared" ca="1" si="164"/>
        <v>59</v>
      </c>
      <c r="P864" s="19">
        <f t="shared" ca="1" si="165"/>
        <v>57.82</v>
      </c>
      <c r="Q864" s="7">
        <f t="shared" ca="1" si="166"/>
        <v>0</v>
      </c>
      <c r="R864" s="8">
        <f ca="1">VLOOKUP(M864,'Payment Method'!$A$8:$B$12,2,0)</f>
        <v>0.02</v>
      </c>
      <c r="S864" s="9">
        <f t="shared" ca="1" si="156"/>
        <v>1.1799999999999997</v>
      </c>
      <c r="T864" s="8">
        <v>0.01</v>
      </c>
      <c r="U864" s="9">
        <f t="shared" ca="1" si="157"/>
        <v>0.57820000000000249</v>
      </c>
      <c r="V864" s="7">
        <f t="shared" ca="1" si="158"/>
        <v>0</v>
      </c>
      <c r="W864" s="7">
        <f t="shared" ca="1" si="159"/>
        <v>57.241799999999998</v>
      </c>
      <c r="X864" s="5" t="str">
        <f t="shared" ca="1" si="167"/>
        <v>Facebook</v>
      </c>
      <c r="Y864" s="78" t="str">
        <f>IF(COUNTIF($C$1:C863,B863)=1,10,"")</f>
        <v/>
      </c>
    </row>
    <row r="865" spans="1:25" x14ac:dyDescent="0.3">
      <c r="A865" s="76">
        <v>864</v>
      </c>
      <c r="B865" s="6">
        <v>46213</v>
      </c>
      <c r="C865" s="6">
        <v>46216</v>
      </c>
      <c r="D865" s="17" t="str">
        <f t="shared" si="160"/>
        <v>July</v>
      </c>
      <c r="E865" s="5" t="str">
        <f t="shared" ca="1" si="161"/>
        <v>STU-157</v>
      </c>
      <c r="F865" s="5" t="str">
        <f ca="1">IF(COUNTIF($E$2:E865,E865)=1,"New Customer","Returning Customer")</f>
        <v>Returning Customer</v>
      </c>
      <c r="G865" s="5" t="str">
        <f t="shared" ca="1" si="162"/>
        <v>Male</v>
      </c>
      <c r="H865" s="5" t="s">
        <v>138</v>
      </c>
      <c r="I865" s="5" t="str" cm="1">
        <f t="array" aca="1" ref="I865" ca="1">INDEX(Courses!$B$9:$B$16,RANDBETWEEN(1,8))</f>
        <v>Adolescent Psychology</v>
      </c>
      <c r="J865" s="5" t="str">
        <f ca="1">VLOOKUP(I865,Courses!$B$9:$C$16,2,0)</f>
        <v>Psychology</v>
      </c>
      <c r="K865" s="7">
        <f ca="1">VLOOKUP(I865,Courses!$B$9:$D$16,3,0)</f>
        <v>29</v>
      </c>
      <c r="L865" s="5" t="str">
        <f t="shared" ca="1" si="163"/>
        <v>Refunded</v>
      </c>
      <c r="M865" s="8" t="str" cm="1">
        <f t="array" aca="1" ref="M865" ca="1">INDEX('Payment Method'!$A$8:$A$12,RANDBETWEEN(1,5))</f>
        <v>Bank Transfer</v>
      </c>
      <c r="N865" s="7">
        <f>IFERROR(SUMIF(Holiday!$A$8:$A$11,B865,Holiday!$C$8:$C$11),0)</f>
        <v>0</v>
      </c>
      <c r="O865" s="7">
        <f t="shared" ca="1" si="164"/>
        <v>29</v>
      </c>
      <c r="P865" s="19">
        <f t="shared" ca="1" si="165"/>
        <v>29</v>
      </c>
      <c r="Q865" s="7">
        <f t="shared" ca="1" si="166"/>
        <v>0</v>
      </c>
      <c r="R865" s="8">
        <f ca="1">VLOOKUP(M865,'Payment Method'!$A$8:$B$12,2,0)</f>
        <v>0</v>
      </c>
      <c r="S865" s="9">
        <f t="shared" ca="1" si="156"/>
        <v>0</v>
      </c>
      <c r="T865" s="8">
        <v>0.01</v>
      </c>
      <c r="U865" s="9">
        <f t="shared" ca="1" si="157"/>
        <v>0.28999999999999915</v>
      </c>
      <c r="V865" s="7">
        <f t="shared" ca="1" si="158"/>
        <v>28.71</v>
      </c>
      <c r="W865" s="7">
        <f t="shared" ca="1" si="159"/>
        <v>0</v>
      </c>
      <c r="X865" s="5" t="str">
        <f t="shared" ca="1" si="167"/>
        <v>Facebook</v>
      </c>
      <c r="Y865" s="78" t="str">
        <f>IF(COUNTIF($C$1:C864,B864)=1,10,"")</f>
        <v/>
      </c>
    </row>
    <row r="866" spans="1:25" x14ac:dyDescent="0.3">
      <c r="A866" s="75">
        <v>865</v>
      </c>
      <c r="B866" s="6">
        <v>46036</v>
      </c>
      <c r="C866" s="6">
        <v>46038</v>
      </c>
      <c r="D866" s="17" t="str">
        <f t="shared" si="160"/>
        <v>January</v>
      </c>
      <c r="E866" s="5" t="str">
        <f t="shared" ca="1" si="161"/>
        <v>STU-410</v>
      </c>
      <c r="F866" s="5" t="str">
        <f ca="1">IF(COUNTIF($E$2:E866,E866)=1,"New Customer","Returning Customer")</f>
        <v>New Customer</v>
      </c>
      <c r="G866" s="5" t="str">
        <f t="shared" ca="1" si="162"/>
        <v>Female</v>
      </c>
      <c r="H866" s="5" t="s">
        <v>142</v>
      </c>
      <c r="I866" s="5" t="str" cm="1">
        <f t="array" aca="1" ref="I866" ca="1">INDEX(Courses!$B$9:$B$16,RANDBETWEEN(1,8))</f>
        <v>SQL</v>
      </c>
      <c r="J866" s="5" t="str">
        <f ca="1">VLOOKUP(I866,Courses!$B$9:$C$16,2,0)</f>
        <v>Data Analytics</v>
      </c>
      <c r="K866" s="7">
        <f ca="1">VLOOKUP(I866,Courses!$B$9:$D$16,3,0)</f>
        <v>99</v>
      </c>
      <c r="L866" s="5" t="str">
        <f t="shared" ca="1" si="163"/>
        <v>Paid</v>
      </c>
      <c r="M866" s="8" t="str" cm="1">
        <f t="array" aca="1" ref="M866" ca="1">INDEX('Payment Method'!$A$8:$A$12,RANDBETWEEN(1,5))</f>
        <v>Bank Transfer</v>
      </c>
      <c r="N866" s="7">
        <f>IFERROR(SUMIF(Holiday!$A$8:$A$11,B866,Holiday!$C$8:$C$11),0)</f>
        <v>0</v>
      </c>
      <c r="O866" s="7">
        <f t="shared" ca="1" si="164"/>
        <v>99</v>
      </c>
      <c r="P866" s="19">
        <f t="shared" ca="1" si="165"/>
        <v>99</v>
      </c>
      <c r="Q866" s="7">
        <f t="shared" ca="1" si="166"/>
        <v>0</v>
      </c>
      <c r="R866" s="8">
        <f ca="1">VLOOKUP(M866,'Payment Method'!$A$8:$B$12,2,0)</f>
        <v>0</v>
      </c>
      <c r="S866" s="9">
        <f t="shared" ca="1" si="156"/>
        <v>0</v>
      </c>
      <c r="T866" s="8">
        <v>0.01</v>
      </c>
      <c r="U866" s="9">
        <f t="shared" ca="1" si="157"/>
        <v>0.98999999999999488</v>
      </c>
      <c r="V866" s="7">
        <f t="shared" ca="1" si="158"/>
        <v>0</v>
      </c>
      <c r="W866" s="7">
        <f t="shared" ca="1" si="159"/>
        <v>98.01</v>
      </c>
      <c r="X866" s="5" t="str">
        <f t="shared" ca="1" si="167"/>
        <v>Tiktok</v>
      </c>
      <c r="Y866" s="78" t="str">
        <f>IF(COUNTIF($C$1:C865,B865)=1,10,"")</f>
        <v/>
      </c>
    </row>
    <row r="867" spans="1:25" x14ac:dyDescent="0.3">
      <c r="A867" s="76">
        <v>866</v>
      </c>
      <c r="B867" s="6">
        <v>46029</v>
      </c>
      <c r="C867" s="6">
        <v>46031</v>
      </c>
      <c r="D867" s="17" t="str">
        <f t="shared" si="160"/>
        <v>January</v>
      </c>
      <c r="E867" s="5" t="str">
        <f t="shared" ca="1" si="161"/>
        <v>STU-764</v>
      </c>
      <c r="F867" s="5" t="str">
        <f ca="1">IF(COUNTIF($E$2:E867,E867)=1,"New Customer","Returning Customer")</f>
        <v>New Customer</v>
      </c>
      <c r="G867" s="5" t="str">
        <f t="shared" ca="1" si="162"/>
        <v>Not specified</v>
      </c>
      <c r="H867" s="5" t="s">
        <v>139</v>
      </c>
      <c r="I867" s="5" t="str" cm="1">
        <f t="array" aca="1" ref="I867" ca="1">INDEX(Courses!$B$9:$B$16,RANDBETWEEN(1,8))</f>
        <v>Tax Code</v>
      </c>
      <c r="J867" s="5" t="str">
        <f ca="1">VLOOKUP(I867,Courses!$B$9:$C$16,2,0)</f>
        <v>Finance &amp; Taxation</v>
      </c>
      <c r="K867" s="7">
        <f ca="1">VLOOKUP(I867,Courses!$B$9:$D$16,3,0)</f>
        <v>59</v>
      </c>
      <c r="L867" s="5" t="str">
        <f t="shared" ca="1" si="163"/>
        <v>Paid</v>
      </c>
      <c r="M867" s="8" t="str" cm="1">
        <f t="array" aca="1" ref="M867" ca="1">INDEX('Payment Method'!$A$8:$A$12,RANDBETWEEN(1,5))</f>
        <v>Bank Transfer</v>
      </c>
      <c r="N867" s="7">
        <f>IFERROR(SUMIF(Holiday!$A$8:$A$11,B867,Holiday!$C$8:$C$11),0)</f>
        <v>0</v>
      </c>
      <c r="O867" s="7">
        <f t="shared" ca="1" si="164"/>
        <v>59</v>
      </c>
      <c r="P867" s="19">
        <f t="shared" ca="1" si="165"/>
        <v>59</v>
      </c>
      <c r="Q867" s="7">
        <f t="shared" ca="1" si="166"/>
        <v>0</v>
      </c>
      <c r="R867" s="8">
        <f ca="1">VLOOKUP(M867,'Payment Method'!$A$8:$B$12,2,0)</f>
        <v>0</v>
      </c>
      <c r="S867" s="9">
        <f t="shared" ca="1" si="156"/>
        <v>0</v>
      </c>
      <c r="T867" s="8">
        <v>0.01</v>
      </c>
      <c r="U867" s="9">
        <f t="shared" ca="1" si="157"/>
        <v>0.59000000000000341</v>
      </c>
      <c r="V867" s="7">
        <f t="shared" ca="1" si="158"/>
        <v>0</v>
      </c>
      <c r="W867" s="7">
        <f t="shared" ca="1" si="159"/>
        <v>58.41</v>
      </c>
      <c r="X867" s="5" t="str">
        <f t="shared" ca="1" si="167"/>
        <v>Tiktok</v>
      </c>
      <c r="Y867" s="78" t="str">
        <f>IF(COUNTIF($C$1:C866,B866)=1,10,"")</f>
        <v/>
      </c>
    </row>
    <row r="868" spans="1:25" x14ac:dyDescent="0.3">
      <c r="A868" s="75">
        <v>867</v>
      </c>
      <c r="B868" s="6">
        <v>46065</v>
      </c>
      <c r="C868" s="6">
        <v>46070</v>
      </c>
      <c r="D868" s="17" t="str">
        <f t="shared" si="160"/>
        <v>February</v>
      </c>
      <c r="E868" s="5" t="str">
        <f t="shared" ca="1" si="161"/>
        <v>STU-372</v>
      </c>
      <c r="F868" s="5" t="str">
        <f ca="1">IF(COUNTIF($E$2:E868,E868)=1,"New Customer","Returning Customer")</f>
        <v>New Customer</v>
      </c>
      <c r="G868" s="5" t="str">
        <f t="shared" ca="1" si="162"/>
        <v>Not specified</v>
      </c>
      <c r="H868" s="5" t="s">
        <v>135</v>
      </c>
      <c r="I868" s="5" t="str" cm="1">
        <f t="array" aca="1" ref="I868" ca="1">INDEX(Courses!$B$9:$B$16,RANDBETWEEN(1,8))</f>
        <v>SQL</v>
      </c>
      <c r="J868" s="5" t="str">
        <f ca="1">VLOOKUP(I868,Courses!$B$9:$C$16,2,0)</f>
        <v>Data Analytics</v>
      </c>
      <c r="K868" s="7">
        <f ca="1">VLOOKUP(I868,Courses!$B$9:$D$16,3,0)</f>
        <v>99</v>
      </c>
      <c r="L868" s="5" t="str">
        <f t="shared" ca="1" si="163"/>
        <v>Paid</v>
      </c>
      <c r="M868" s="8" t="str" cm="1">
        <f t="array" aca="1" ref="M868" ca="1">INDEX('Payment Method'!$A$8:$A$12,RANDBETWEEN(1,5))</f>
        <v>Mastercard Credit</v>
      </c>
      <c r="N868" s="7">
        <f>IFERROR(SUMIF(Holiday!$A$8:$A$11,B868,Holiday!$C$8:$C$11),0)</f>
        <v>0</v>
      </c>
      <c r="O868" s="7">
        <f t="shared" ca="1" si="164"/>
        <v>99</v>
      </c>
      <c r="P868" s="19">
        <f t="shared" ca="1" si="165"/>
        <v>95.534999999999997</v>
      </c>
      <c r="Q868" s="7">
        <f t="shared" ca="1" si="166"/>
        <v>0</v>
      </c>
      <c r="R868" s="8">
        <f ca="1">VLOOKUP(M868,'Payment Method'!$A$8:$B$12,2,0)</f>
        <v>3.5000000000000003E-2</v>
      </c>
      <c r="S868" s="9">
        <f t="shared" ca="1" si="156"/>
        <v>3.4650000000000034</v>
      </c>
      <c r="T868" s="8">
        <v>0.01</v>
      </c>
      <c r="U868" s="9">
        <f t="shared" ca="1" si="157"/>
        <v>0.9553499999999957</v>
      </c>
      <c r="V868" s="7">
        <f t="shared" ca="1" si="158"/>
        <v>0</v>
      </c>
      <c r="W868" s="7">
        <f t="shared" ca="1" si="159"/>
        <v>94.579650000000001</v>
      </c>
      <c r="X868" s="5" t="str">
        <f t="shared" ca="1" si="167"/>
        <v>Instagram</v>
      </c>
      <c r="Y868" s="78" t="str">
        <f>IF(COUNTIF($C$1:C867,B867)=1,10,"")</f>
        <v/>
      </c>
    </row>
    <row r="869" spans="1:25" x14ac:dyDescent="0.3">
      <c r="A869" s="76">
        <v>868</v>
      </c>
      <c r="B869" s="6">
        <v>46204</v>
      </c>
      <c r="C869" s="6">
        <v>46209</v>
      </c>
      <c r="D869" s="17" t="str">
        <f t="shared" si="160"/>
        <v>July</v>
      </c>
      <c r="E869" s="5" t="str">
        <f t="shared" ca="1" si="161"/>
        <v>STU-341</v>
      </c>
      <c r="F869" s="5" t="str">
        <f ca="1">IF(COUNTIF($E$2:E869,E869)=1,"New Customer","Returning Customer")</f>
        <v>New Customer</v>
      </c>
      <c r="G869" s="5" t="str">
        <f t="shared" ca="1" si="162"/>
        <v>Male</v>
      </c>
      <c r="H869" s="5" t="s">
        <v>142</v>
      </c>
      <c r="I869" s="5" t="str" cm="1">
        <f t="array" aca="1" ref="I869" ca="1">INDEX(Courses!$B$9:$B$16,RANDBETWEEN(1,8))</f>
        <v>Microsoft Word</v>
      </c>
      <c r="J869" s="5" t="str">
        <f ca="1">VLOOKUP(I869,Courses!$B$9:$C$16,2,0)</f>
        <v>Microsoft Office</v>
      </c>
      <c r="K869" s="7">
        <f ca="1">VLOOKUP(I869,Courses!$B$9:$D$16,3,0)</f>
        <v>29</v>
      </c>
      <c r="L869" s="5" t="str">
        <f t="shared" ca="1" si="163"/>
        <v>Paid</v>
      </c>
      <c r="M869" s="8" t="str" cm="1">
        <f t="array" aca="1" ref="M869" ca="1">INDEX('Payment Method'!$A$8:$A$12,RANDBETWEEN(1,5))</f>
        <v>Visa Debit</v>
      </c>
      <c r="N869" s="7">
        <f>IFERROR(SUMIF(Holiday!$A$8:$A$11,B869,Holiday!$C$8:$C$11),0)</f>
        <v>0</v>
      </c>
      <c r="O869" s="7">
        <f t="shared" ca="1" si="164"/>
        <v>29</v>
      </c>
      <c r="P869" s="19">
        <f t="shared" ca="1" si="165"/>
        <v>28.42</v>
      </c>
      <c r="Q869" s="7">
        <f t="shared" ca="1" si="166"/>
        <v>0</v>
      </c>
      <c r="R869" s="8">
        <f ca="1">VLOOKUP(M869,'Payment Method'!$A$8:$B$12,2,0)</f>
        <v>0.02</v>
      </c>
      <c r="S869" s="9">
        <f t="shared" ca="1" si="156"/>
        <v>0.57999999999999829</v>
      </c>
      <c r="T869" s="8">
        <v>0.01</v>
      </c>
      <c r="U869" s="9">
        <f t="shared" ca="1" si="157"/>
        <v>0.28419999999999845</v>
      </c>
      <c r="V869" s="7">
        <f t="shared" ca="1" si="158"/>
        <v>0</v>
      </c>
      <c r="W869" s="7">
        <f t="shared" ca="1" si="159"/>
        <v>28.135800000000003</v>
      </c>
      <c r="X869" s="5" t="str">
        <f t="shared" ca="1" si="167"/>
        <v>Instagram</v>
      </c>
      <c r="Y869" s="78" t="str">
        <f>IF(COUNTIF($C$1:C868,B868)=1,10,"")</f>
        <v/>
      </c>
    </row>
    <row r="870" spans="1:25" x14ac:dyDescent="0.3">
      <c r="A870" s="75">
        <v>869</v>
      </c>
      <c r="B870" s="6">
        <v>46084</v>
      </c>
      <c r="C870" s="6">
        <v>46088</v>
      </c>
      <c r="D870" s="17" t="str">
        <f t="shared" si="160"/>
        <v>March</v>
      </c>
      <c r="E870" s="5" t="str">
        <f t="shared" ca="1" si="161"/>
        <v>STU-455</v>
      </c>
      <c r="F870" s="5" t="str">
        <f ca="1">IF(COUNTIF($E$2:E870,E870)=1,"New Customer","Returning Customer")</f>
        <v>New Customer</v>
      </c>
      <c r="G870" s="5" t="str">
        <f t="shared" ca="1" si="162"/>
        <v>Female</v>
      </c>
      <c r="H870" s="5" t="s">
        <v>135</v>
      </c>
      <c r="I870" s="5" t="str" cm="1">
        <f t="array" aca="1" ref="I870" ca="1">INDEX(Courses!$B$9:$B$16,RANDBETWEEN(1,8))</f>
        <v>Adolescent Psychology</v>
      </c>
      <c r="J870" s="5" t="str">
        <f ca="1">VLOOKUP(I870,Courses!$B$9:$C$16,2,0)</f>
        <v>Psychology</v>
      </c>
      <c r="K870" s="7">
        <f ca="1">VLOOKUP(I870,Courses!$B$9:$D$16,3,0)</f>
        <v>29</v>
      </c>
      <c r="L870" s="5" t="str">
        <f t="shared" ca="1" si="163"/>
        <v>Pending</v>
      </c>
      <c r="M870" s="8" t="str" cm="1">
        <f t="array" aca="1" ref="M870" ca="1">INDEX('Payment Method'!$A$8:$A$12,RANDBETWEEN(1,5))</f>
        <v>Mastercard Credit</v>
      </c>
      <c r="N870" s="7">
        <f>IFERROR(SUMIF(Holiday!$A$8:$A$11,B870,Holiday!$C$8:$C$11),0)</f>
        <v>20</v>
      </c>
      <c r="O870" s="7">
        <f t="shared" ca="1" si="164"/>
        <v>-551</v>
      </c>
      <c r="P870" s="19">
        <f t="shared" ca="1" si="165"/>
        <v>-531.71500000000003</v>
      </c>
      <c r="Q870" s="7">
        <f t="shared" ca="1" si="166"/>
        <v>-526.39785000000006</v>
      </c>
      <c r="R870" s="8">
        <f ca="1">VLOOKUP(M870,'Payment Method'!$A$8:$B$12,2,0)</f>
        <v>3.5000000000000003E-2</v>
      </c>
      <c r="S870" s="9">
        <f t="shared" ca="1" si="156"/>
        <v>-19.284999999999968</v>
      </c>
      <c r="T870" s="8">
        <v>0.01</v>
      </c>
      <c r="U870" s="9">
        <f t="shared" ca="1" si="157"/>
        <v>-5.3171499999999696</v>
      </c>
      <c r="V870" s="7">
        <f t="shared" ca="1" si="158"/>
        <v>0</v>
      </c>
      <c r="W870" s="7">
        <f t="shared" ca="1" si="159"/>
        <v>0</v>
      </c>
      <c r="X870" s="5" t="str">
        <f t="shared" ca="1" si="167"/>
        <v>Facebook</v>
      </c>
      <c r="Y870" s="78" t="str">
        <f>IF(COUNTIF($C$1:C869,B869)=1,10,"")</f>
        <v/>
      </c>
    </row>
    <row r="871" spans="1:25" x14ac:dyDescent="0.3">
      <c r="A871" s="76">
        <v>870</v>
      </c>
      <c r="B871" s="6">
        <v>46176</v>
      </c>
      <c r="C871" s="6">
        <v>46181</v>
      </c>
      <c r="D871" s="17" t="str">
        <f t="shared" si="160"/>
        <v>June</v>
      </c>
      <c r="E871" s="5" t="str">
        <f t="shared" ca="1" si="161"/>
        <v>STU-665</v>
      </c>
      <c r="F871" s="5" t="str">
        <f ca="1">IF(COUNTIF($E$2:E871,E871)=1,"New Customer","Returning Customer")</f>
        <v>Returning Customer</v>
      </c>
      <c r="G871" s="5" t="str">
        <f t="shared" ca="1" si="162"/>
        <v>Female</v>
      </c>
      <c r="H871" s="5" t="s">
        <v>135</v>
      </c>
      <c r="I871" s="5" t="str" cm="1">
        <f t="array" aca="1" ref="I871" ca="1">INDEX(Courses!$B$9:$B$16,RANDBETWEEN(1,8))</f>
        <v>Microsoft Word</v>
      </c>
      <c r="J871" s="5" t="str">
        <f ca="1">VLOOKUP(I871,Courses!$B$9:$C$16,2,0)</f>
        <v>Microsoft Office</v>
      </c>
      <c r="K871" s="7">
        <f ca="1">VLOOKUP(I871,Courses!$B$9:$D$16,3,0)</f>
        <v>29</v>
      </c>
      <c r="L871" s="5" t="str">
        <f t="shared" ca="1" si="163"/>
        <v>Paid</v>
      </c>
      <c r="M871" s="8" t="str" cm="1">
        <f t="array" aca="1" ref="M871" ca="1">INDEX('Payment Method'!$A$8:$A$12,RANDBETWEEN(1,5))</f>
        <v>Bank Transfer</v>
      </c>
      <c r="N871" s="7">
        <f>IFERROR(SUMIF(Holiday!$A$8:$A$11,B871,Holiday!$C$8:$C$11),0)</f>
        <v>0</v>
      </c>
      <c r="O871" s="7">
        <f t="shared" ca="1" si="164"/>
        <v>29</v>
      </c>
      <c r="P871" s="19">
        <f t="shared" ca="1" si="165"/>
        <v>29</v>
      </c>
      <c r="Q871" s="7">
        <f t="shared" ca="1" si="166"/>
        <v>0</v>
      </c>
      <c r="R871" s="8">
        <f ca="1">VLOOKUP(M871,'Payment Method'!$A$8:$B$12,2,0)</f>
        <v>0</v>
      </c>
      <c r="S871" s="9">
        <f t="shared" ca="1" si="156"/>
        <v>0</v>
      </c>
      <c r="T871" s="8">
        <v>0.01</v>
      </c>
      <c r="U871" s="9">
        <f t="shared" ca="1" si="157"/>
        <v>0.28999999999999915</v>
      </c>
      <c r="V871" s="7">
        <f t="shared" ca="1" si="158"/>
        <v>0</v>
      </c>
      <c r="W871" s="7">
        <f t="shared" ca="1" si="159"/>
        <v>28.71</v>
      </c>
      <c r="X871" s="5" t="str">
        <f t="shared" ca="1" si="167"/>
        <v>Facebook</v>
      </c>
      <c r="Y871" s="78" t="str">
        <f>IF(COUNTIF($C$1:C870,B870)=1,10,"")</f>
        <v/>
      </c>
    </row>
    <row r="872" spans="1:25" x14ac:dyDescent="0.3">
      <c r="A872" s="75">
        <v>871</v>
      </c>
      <c r="B872" s="6">
        <v>46158</v>
      </c>
      <c r="C872" s="6">
        <v>46162</v>
      </c>
      <c r="D872" s="17" t="str">
        <f t="shared" si="160"/>
        <v>May</v>
      </c>
      <c r="E872" s="5" t="str">
        <f t="shared" ca="1" si="161"/>
        <v>STU-812</v>
      </c>
      <c r="F872" s="5" t="str">
        <f ca="1">IF(COUNTIF($E$2:E872,E872)=1,"New Customer","Returning Customer")</f>
        <v>New Customer</v>
      </c>
      <c r="G872" s="5" t="str">
        <f t="shared" ca="1" si="162"/>
        <v>Female</v>
      </c>
      <c r="H872" s="5" t="s">
        <v>135</v>
      </c>
      <c r="I872" s="5" t="str" cm="1">
        <f t="array" aca="1" ref="I872" ca="1">INDEX(Courses!$B$9:$B$16,RANDBETWEEN(1,8))</f>
        <v>PowerPoint</v>
      </c>
      <c r="J872" s="5" t="str">
        <f ca="1">VLOOKUP(I872,Courses!$B$9:$C$16,2,0)</f>
        <v>Microsoft Office</v>
      </c>
      <c r="K872" s="7">
        <f ca="1">VLOOKUP(I872,Courses!$B$9:$D$16,3,0)</f>
        <v>29</v>
      </c>
      <c r="L872" s="5" t="str">
        <f t="shared" ca="1" si="163"/>
        <v>Paid</v>
      </c>
      <c r="M872" s="8" t="str" cm="1">
        <f t="array" aca="1" ref="M872" ca="1">INDEX('Payment Method'!$A$8:$A$12,RANDBETWEEN(1,5))</f>
        <v>Visa Debit</v>
      </c>
      <c r="N872" s="7">
        <f>IFERROR(SUMIF(Holiday!$A$8:$A$11,B872,Holiday!$C$8:$C$11),0)</f>
        <v>0</v>
      </c>
      <c r="O872" s="7">
        <f t="shared" ca="1" si="164"/>
        <v>29</v>
      </c>
      <c r="P872" s="19">
        <f t="shared" ca="1" si="165"/>
        <v>28.42</v>
      </c>
      <c r="Q872" s="7">
        <f t="shared" ca="1" si="166"/>
        <v>0</v>
      </c>
      <c r="R872" s="8">
        <f ca="1">VLOOKUP(M872,'Payment Method'!$A$8:$B$12,2,0)</f>
        <v>0.02</v>
      </c>
      <c r="S872" s="9">
        <f t="shared" ca="1" si="156"/>
        <v>0.57999999999999829</v>
      </c>
      <c r="T872" s="8">
        <v>0.01</v>
      </c>
      <c r="U872" s="9">
        <f t="shared" ca="1" si="157"/>
        <v>0.28419999999999845</v>
      </c>
      <c r="V872" s="7">
        <f t="shared" ca="1" si="158"/>
        <v>0</v>
      </c>
      <c r="W872" s="7">
        <f t="shared" ca="1" si="159"/>
        <v>28.135800000000003</v>
      </c>
      <c r="X872" s="5" t="str">
        <f t="shared" ca="1" si="167"/>
        <v>Facebook</v>
      </c>
      <c r="Y872" s="78" t="str">
        <f>IF(COUNTIF($C$1:C871,B871)=1,10,"")</f>
        <v/>
      </c>
    </row>
    <row r="873" spans="1:25" x14ac:dyDescent="0.3">
      <c r="A873" s="76">
        <v>872</v>
      </c>
      <c r="B873" s="6">
        <v>46142</v>
      </c>
      <c r="C873" s="6">
        <v>46147</v>
      </c>
      <c r="D873" s="17" t="str">
        <f t="shared" si="160"/>
        <v>May</v>
      </c>
      <c r="E873" s="5" t="str">
        <f t="shared" ca="1" si="161"/>
        <v>STU-480</v>
      </c>
      <c r="F873" s="5" t="str">
        <f ca="1">IF(COUNTIF($E$2:E873,E873)=1,"New Customer","Returning Customer")</f>
        <v>New Customer</v>
      </c>
      <c r="G873" s="5" t="str">
        <f t="shared" ca="1" si="162"/>
        <v>Female</v>
      </c>
      <c r="H873" s="5" t="s">
        <v>140</v>
      </c>
      <c r="I873" s="5" t="str" cm="1">
        <f t="array" aca="1" ref="I873" ca="1">INDEX(Courses!$B$9:$B$16,RANDBETWEEN(1,8))</f>
        <v>Complete Excel Course</v>
      </c>
      <c r="J873" s="5" t="str">
        <f ca="1">VLOOKUP(I873,Courses!$B$9:$C$16,2,0)</f>
        <v>Microsoft Office</v>
      </c>
      <c r="K873" s="7">
        <f ca="1">VLOOKUP(I873,Courses!$B$9:$D$16,3,0)</f>
        <v>59</v>
      </c>
      <c r="L873" s="5" t="str">
        <f t="shared" ca="1" si="163"/>
        <v>Paid</v>
      </c>
      <c r="M873" s="8" t="str" cm="1">
        <f t="array" aca="1" ref="M873" ca="1">INDEX('Payment Method'!$A$8:$A$12,RANDBETWEEN(1,5))</f>
        <v>Visa Debit</v>
      </c>
      <c r="N873" s="7">
        <f>IFERROR(SUMIF(Holiday!$A$8:$A$11,B873,Holiday!$C$8:$C$11),0)</f>
        <v>0</v>
      </c>
      <c r="O873" s="7">
        <f t="shared" ca="1" si="164"/>
        <v>59</v>
      </c>
      <c r="P873" s="19">
        <f t="shared" ca="1" si="165"/>
        <v>57.82</v>
      </c>
      <c r="Q873" s="7">
        <f t="shared" ca="1" si="166"/>
        <v>0</v>
      </c>
      <c r="R873" s="8">
        <f ca="1">VLOOKUP(M873,'Payment Method'!$A$8:$B$12,2,0)</f>
        <v>0.02</v>
      </c>
      <c r="S873" s="9">
        <f t="shared" ca="1" si="156"/>
        <v>1.1799999999999997</v>
      </c>
      <c r="T873" s="8">
        <v>0.01</v>
      </c>
      <c r="U873" s="9">
        <f t="shared" ca="1" si="157"/>
        <v>0.57820000000000249</v>
      </c>
      <c r="V873" s="7">
        <f t="shared" ca="1" si="158"/>
        <v>0</v>
      </c>
      <c r="W873" s="7">
        <f t="shared" ca="1" si="159"/>
        <v>57.241799999999998</v>
      </c>
      <c r="X873" s="5" t="str">
        <f t="shared" ca="1" si="167"/>
        <v>Instagram</v>
      </c>
      <c r="Y873" s="78" t="str">
        <f>IF(COUNTIF($C$1:C872,B872)=1,10,"")</f>
        <v/>
      </c>
    </row>
    <row r="874" spans="1:25" x14ac:dyDescent="0.3">
      <c r="A874" s="75">
        <v>873</v>
      </c>
      <c r="B874" s="6">
        <v>46037</v>
      </c>
      <c r="C874" s="6">
        <v>46042</v>
      </c>
      <c r="D874" s="17" t="str">
        <f t="shared" si="160"/>
        <v>January</v>
      </c>
      <c r="E874" s="5" t="str">
        <f t="shared" ca="1" si="161"/>
        <v>STU-289</v>
      </c>
      <c r="F874" s="5" t="str">
        <f ca="1">IF(COUNTIF($E$2:E874,E874)=1,"New Customer","Returning Customer")</f>
        <v>Returning Customer</v>
      </c>
      <c r="G874" s="5" t="str">
        <f t="shared" ca="1" si="162"/>
        <v>Male</v>
      </c>
      <c r="H874" s="5" t="s">
        <v>136</v>
      </c>
      <c r="I874" s="5" t="str" cm="1">
        <f t="array" aca="1" ref="I874" ca="1">INDEX(Courses!$B$9:$B$16,RANDBETWEEN(1,8))</f>
        <v>Adolescent Psychology</v>
      </c>
      <c r="J874" s="5" t="str">
        <f ca="1">VLOOKUP(I874,Courses!$B$9:$C$16,2,0)</f>
        <v>Psychology</v>
      </c>
      <c r="K874" s="7">
        <f ca="1">VLOOKUP(I874,Courses!$B$9:$D$16,3,0)</f>
        <v>29</v>
      </c>
      <c r="L874" s="5" t="str">
        <f t="shared" ca="1" si="163"/>
        <v>Paid</v>
      </c>
      <c r="M874" s="8" t="str" cm="1">
        <f t="array" aca="1" ref="M874" ca="1">INDEX('Payment Method'!$A$8:$A$12,RANDBETWEEN(1,5))</f>
        <v>Bank Transfer</v>
      </c>
      <c r="N874" s="7">
        <f>IFERROR(SUMIF(Holiday!$A$8:$A$11,B874,Holiday!$C$8:$C$11),0)</f>
        <v>0</v>
      </c>
      <c r="O874" s="7">
        <f t="shared" ca="1" si="164"/>
        <v>29</v>
      </c>
      <c r="P874" s="19">
        <f t="shared" ca="1" si="165"/>
        <v>29</v>
      </c>
      <c r="Q874" s="7">
        <f t="shared" ca="1" si="166"/>
        <v>0</v>
      </c>
      <c r="R874" s="8">
        <f ca="1">VLOOKUP(M874,'Payment Method'!$A$8:$B$12,2,0)</f>
        <v>0</v>
      </c>
      <c r="S874" s="9">
        <f t="shared" ca="1" si="156"/>
        <v>0</v>
      </c>
      <c r="T874" s="8">
        <v>0.01</v>
      </c>
      <c r="U874" s="9">
        <f t="shared" ca="1" si="157"/>
        <v>0.28999999999999915</v>
      </c>
      <c r="V874" s="7">
        <f t="shared" ca="1" si="158"/>
        <v>0</v>
      </c>
      <c r="W874" s="7">
        <f t="shared" ca="1" si="159"/>
        <v>28.71</v>
      </c>
      <c r="X874" s="5" t="str">
        <f t="shared" ca="1" si="167"/>
        <v>Instagram</v>
      </c>
      <c r="Y874" s="78" t="str">
        <f>IF(COUNTIF($C$1:C873,B873)=1,10,"")</f>
        <v/>
      </c>
    </row>
    <row r="875" spans="1:25" x14ac:dyDescent="0.3">
      <c r="A875" s="76">
        <v>874</v>
      </c>
      <c r="B875" s="6">
        <v>46174</v>
      </c>
      <c r="C875" s="6">
        <v>46175</v>
      </c>
      <c r="D875" s="17" t="str">
        <f t="shared" si="160"/>
        <v>June</v>
      </c>
      <c r="E875" s="5" t="str">
        <f t="shared" ca="1" si="161"/>
        <v>STU-717</v>
      </c>
      <c r="F875" s="5" t="str">
        <f ca="1">IF(COUNTIF($E$2:E875,E875)=1,"New Customer","Returning Customer")</f>
        <v>Returning Customer</v>
      </c>
      <c r="G875" s="5" t="str">
        <f t="shared" ca="1" si="162"/>
        <v>Female</v>
      </c>
      <c r="H875" s="5" t="s">
        <v>142</v>
      </c>
      <c r="I875" s="5" t="str" cm="1">
        <f t="array" aca="1" ref="I875" ca="1">INDEX(Courses!$B$9:$B$16,RANDBETWEEN(1,8))</f>
        <v>Power BI</v>
      </c>
      <c r="J875" s="5" t="str">
        <f ca="1">VLOOKUP(I875,Courses!$B$9:$C$16,2,0)</f>
        <v>Data Analytics</v>
      </c>
      <c r="K875" s="7">
        <f ca="1">VLOOKUP(I875,Courses!$B$9:$D$16,3,0)</f>
        <v>59</v>
      </c>
      <c r="L875" s="5" t="str">
        <f t="shared" ca="1" si="163"/>
        <v>Paid</v>
      </c>
      <c r="M875" s="8" t="str" cm="1">
        <f t="array" aca="1" ref="M875" ca="1">INDEX('Payment Method'!$A$8:$A$12,RANDBETWEEN(1,5))</f>
        <v>Bank Transfer</v>
      </c>
      <c r="N875" s="7">
        <f>IFERROR(SUMIF(Holiday!$A$8:$A$11,B875,Holiday!$C$8:$C$11),0)</f>
        <v>0</v>
      </c>
      <c r="O875" s="7">
        <f t="shared" ca="1" si="164"/>
        <v>59</v>
      </c>
      <c r="P875" s="19">
        <f t="shared" ca="1" si="165"/>
        <v>59</v>
      </c>
      <c r="Q875" s="7">
        <f t="shared" ca="1" si="166"/>
        <v>0</v>
      </c>
      <c r="R875" s="8">
        <f ca="1">VLOOKUP(M875,'Payment Method'!$A$8:$B$12,2,0)</f>
        <v>0</v>
      </c>
      <c r="S875" s="9">
        <f t="shared" ca="1" si="156"/>
        <v>0</v>
      </c>
      <c r="T875" s="8">
        <v>0.01</v>
      </c>
      <c r="U875" s="9">
        <f t="shared" ca="1" si="157"/>
        <v>0.59000000000000341</v>
      </c>
      <c r="V875" s="7">
        <f t="shared" ca="1" si="158"/>
        <v>0</v>
      </c>
      <c r="W875" s="7">
        <f t="shared" ca="1" si="159"/>
        <v>58.41</v>
      </c>
      <c r="X875" s="5" t="str">
        <f t="shared" ca="1" si="167"/>
        <v>Tiktok</v>
      </c>
      <c r="Y875" s="78" t="str">
        <f>IF(COUNTIF($C$1:C874,B874)=1,10,"")</f>
        <v/>
      </c>
    </row>
    <row r="876" spans="1:25" x14ac:dyDescent="0.3">
      <c r="A876" s="75">
        <v>875</v>
      </c>
      <c r="B876" s="6">
        <v>46073</v>
      </c>
      <c r="C876" s="6">
        <v>46074</v>
      </c>
      <c r="D876" s="17" t="str">
        <f t="shared" si="160"/>
        <v>February</v>
      </c>
      <c r="E876" s="5" t="str">
        <f t="shared" ca="1" si="161"/>
        <v>STU-822</v>
      </c>
      <c r="F876" s="5" t="str">
        <f ca="1">IF(COUNTIF($E$2:E876,E876)=1,"New Customer","Returning Customer")</f>
        <v>Returning Customer</v>
      </c>
      <c r="G876" s="5" t="str">
        <f t="shared" ca="1" si="162"/>
        <v>Female</v>
      </c>
      <c r="H876" s="5" t="s">
        <v>136</v>
      </c>
      <c r="I876" s="5" t="str" cm="1">
        <f t="array" aca="1" ref="I876" ca="1">INDEX(Courses!$B$9:$B$16,RANDBETWEEN(1,8))</f>
        <v>Complete Excel Course</v>
      </c>
      <c r="J876" s="5" t="str">
        <f ca="1">VLOOKUP(I876,Courses!$B$9:$C$16,2,0)</f>
        <v>Microsoft Office</v>
      </c>
      <c r="K876" s="7">
        <f ca="1">VLOOKUP(I876,Courses!$B$9:$D$16,3,0)</f>
        <v>59</v>
      </c>
      <c r="L876" s="5" t="str">
        <f t="shared" ca="1" si="163"/>
        <v>Paid</v>
      </c>
      <c r="M876" s="8" t="str" cm="1">
        <f t="array" aca="1" ref="M876" ca="1">INDEX('Payment Method'!$A$8:$A$12,RANDBETWEEN(1,5))</f>
        <v>Visa Credit</v>
      </c>
      <c r="N876" s="7">
        <f>IFERROR(SUMIF(Holiday!$A$8:$A$11,B876,Holiday!$C$8:$C$11),0)</f>
        <v>0</v>
      </c>
      <c r="O876" s="7">
        <f t="shared" ca="1" si="164"/>
        <v>59</v>
      </c>
      <c r="P876" s="19">
        <f t="shared" ca="1" si="165"/>
        <v>56.935000000000002</v>
      </c>
      <c r="Q876" s="7">
        <f t="shared" ca="1" si="166"/>
        <v>0</v>
      </c>
      <c r="R876" s="8">
        <f ca="1">VLOOKUP(M876,'Payment Method'!$A$8:$B$12,2,0)</f>
        <v>3.5000000000000003E-2</v>
      </c>
      <c r="S876" s="9">
        <f t="shared" ca="1" si="156"/>
        <v>2.0649999999999977</v>
      </c>
      <c r="T876" s="8">
        <v>0.01</v>
      </c>
      <c r="U876" s="9">
        <f t="shared" ca="1" si="157"/>
        <v>0.56935000000000002</v>
      </c>
      <c r="V876" s="7">
        <f t="shared" ca="1" si="158"/>
        <v>0</v>
      </c>
      <c r="W876" s="7">
        <f t="shared" ca="1" si="159"/>
        <v>56.365650000000002</v>
      </c>
      <c r="X876" s="5" t="str">
        <f t="shared" ca="1" si="167"/>
        <v>Facebook</v>
      </c>
      <c r="Y876" s="78" t="str">
        <f>IF(COUNTIF($C$1:C875,B875)=1,10,"")</f>
        <v/>
      </c>
    </row>
    <row r="877" spans="1:25" x14ac:dyDescent="0.3">
      <c r="A877" s="76">
        <v>876</v>
      </c>
      <c r="B877" s="6">
        <v>46047</v>
      </c>
      <c r="C877" s="6">
        <v>46050</v>
      </c>
      <c r="D877" s="17" t="str">
        <f t="shared" si="160"/>
        <v>January</v>
      </c>
      <c r="E877" s="5" t="str">
        <f t="shared" ca="1" si="161"/>
        <v>STU-943</v>
      </c>
      <c r="F877" s="5" t="str">
        <f ca="1">IF(COUNTIF($E$2:E877,E877)=1,"New Customer","Returning Customer")</f>
        <v>New Customer</v>
      </c>
      <c r="G877" s="5" t="str">
        <f t="shared" ca="1" si="162"/>
        <v>Female</v>
      </c>
      <c r="H877" s="5" t="s">
        <v>139</v>
      </c>
      <c r="I877" s="5" t="str" cm="1">
        <f t="array" aca="1" ref="I877" ca="1">INDEX(Courses!$B$9:$B$16,RANDBETWEEN(1,8))</f>
        <v>Complete Excel Course</v>
      </c>
      <c r="J877" s="5" t="str">
        <f ca="1">VLOOKUP(I877,Courses!$B$9:$C$16,2,0)</f>
        <v>Microsoft Office</v>
      </c>
      <c r="K877" s="7">
        <f ca="1">VLOOKUP(I877,Courses!$B$9:$D$16,3,0)</f>
        <v>59</v>
      </c>
      <c r="L877" s="5" t="str">
        <f t="shared" ca="1" si="163"/>
        <v>Pending</v>
      </c>
      <c r="M877" s="8" t="str" cm="1">
        <f t="array" aca="1" ref="M877" ca="1">INDEX('Payment Method'!$A$8:$A$12,RANDBETWEEN(1,5))</f>
        <v>Bank Transfer</v>
      </c>
      <c r="N877" s="7">
        <f>IFERROR(SUMIF(Holiday!$A$8:$A$11,B877,Holiday!$C$8:$C$11),0)</f>
        <v>0</v>
      </c>
      <c r="O877" s="7">
        <f t="shared" ca="1" si="164"/>
        <v>59</v>
      </c>
      <c r="P877" s="19">
        <f t="shared" ca="1" si="165"/>
        <v>59</v>
      </c>
      <c r="Q877" s="7">
        <f t="shared" ca="1" si="166"/>
        <v>58.41</v>
      </c>
      <c r="R877" s="8">
        <f ca="1">VLOOKUP(M877,'Payment Method'!$A$8:$B$12,2,0)</f>
        <v>0</v>
      </c>
      <c r="S877" s="9">
        <f t="shared" ca="1" si="156"/>
        <v>0</v>
      </c>
      <c r="T877" s="8">
        <v>0.01</v>
      </c>
      <c r="U877" s="9">
        <f t="shared" ca="1" si="157"/>
        <v>0.59000000000000341</v>
      </c>
      <c r="V877" s="7">
        <f t="shared" ca="1" si="158"/>
        <v>0</v>
      </c>
      <c r="W877" s="7">
        <f t="shared" ca="1" si="159"/>
        <v>0</v>
      </c>
      <c r="X877" s="5" t="str">
        <f t="shared" ca="1" si="167"/>
        <v>Facebook</v>
      </c>
      <c r="Y877" s="78" t="str">
        <f>IF(COUNTIF($C$1:C876,B876)=1,10,"")</f>
        <v/>
      </c>
    </row>
    <row r="878" spans="1:25" x14ac:dyDescent="0.3">
      <c r="A878" s="75">
        <v>877</v>
      </c>
      <c r="B878" s="6">
        <v>46147</v>
      </c>
      <c r="C878" s="6">
        <v>46151</v>
      </c>
      <c r="D878" s="17" t="str">
        <f t="shared" si="160"/>
        <v>May</v>
      </c>
      <c r="E878" s="5" t="str">
        <f t="shared" ca="1" si="161"/>
        <v>STU-137</v>
      </c>
      <c r="F878" s="5" t="str">
        <f ca="1">IF(COUNTIF($E$2:E878,E878)=1,"New Customer","Returning Customer")</f>
        <v>Returning Customer</v>
      </c>
      <c r="G878" s="5" t="str">
        <f t="shared" ca="1" si="162"/>
        <v>Not specified</v>
      </c>
      <c r="H878" s="5" t="s">
        <v>140</v>
      </c>
      <c r="I878" s="5" t="str" cm="1">
        <f t="array" aca="1" ref="I878" ca="1">INDEX(Courses!$B$9:$B$16,RANDBETWEEN(1,8))</f>
        <v>Power BI</v>
      </c>
      <c r="J878" s="5" t="str">
        <f ca="1">VLOOKUP(I878,Courses!$B$9:$C$16,2,0)</f>
        <v>Data Analytics</v>
      </c>
      <c r="K878" s="7">
        <f ca="1">VLOOKUP(I878,Courses!$B$9:$D$16,3,0)</f>
        <v>59</v>
      </c>
      <c r="L878" s="5" t="str">
        <f t="shared" ca="1" si="163"/>
        <v>Paid</v>
      </c>
      <c r="M878" s="8" t="str" cm="1">
        <f t="array" aca="1" ref="M878" ca="1">INDEX('Payment Method'!$A$8:$A$12,RANDBETWEEN(1,5))</f>
        <v>Visa Debit</v>
      </c>
      <c r="N878" s="7">
        <f>IFERROR(SUMIF(Holiday!$A$8:$A$11,B878,Holiday!$C$8:$C$11),0)</f>
        <v>0</v>
      </c>
      <c r="O878" s="7">
        <f t="shared" ca="1" si="164"/>
        <v>59</v>
      </c>
      <c r="P878" s="19">
        <f t="shared" ca="1" si="165"/>
        <v>57.82</v>
      </c>
      <c r="Q878" s="7">
        <f t="shared" ca="1" si="166"/>
        <v>0</v>
      </c>
      <c r="R878" s="8">
        <f ca="1">VLOOKUP(M878,'Payment Method'!$A$8:$B$12,2,0)</f>
        <v>0.02</v>
      </c>
      <c r="S878" s="9">
        <f t="shared" ca="1" si="156"/>
        <v>1.1799999999999997</v>
      </c>
      <c r="T878" s="8">
        <v>0.01</v>
      </c>
      <c r="U878" s="9">
        <f t="shared" ca="1" si="157"/>
        <v>0.57820000000000249</v>
      </c>
      <c r="V878" s="7">
        <f t="shared" ca="1" si="158"/>
        <v>0</v>
      </c>
      <c r="W878" s="7">
        <f t="shared" ca="1" si="159"/>
        <v>57.241799999999998</v>
      </c>
      <c r="X878" s="5" t="str">
        <f t="shared" ca="1" si="167"/>
        <v>Facebook</v>
      </c>
      <c r="Y878" s="78" t="str">
        <f>IF(COUNTIF($C$1:C877,B877)=1,10,"")</f>
        <v/>
      </c>
    </row>
    <row r="879" spans="1:25" x14ac:dyDescent="0.3">
      <c r="A879" s="76">
        <v>878</v>
      </c>
      <c r="B879" s="6">
        <v>46167</v>
      </c>
      <c r="C879" s="6">
        <v>46172</v>
      </c>
      <c r="D879" s="17" t="str">
        <f t="shared" si="160"/>
        <v>May</v>
      </c>
      <c r="E879" s="5" t="str">
        <f t="shared" ca="1" si="161"/>
        <v>STU-869</v>
      </c>
      <c r="F879" s="5" t="str">
        <f ca="1">IF(COUNTIF($E$2:E879,E879)=1,"New Customer","Returning Customer")</f>
        <v>New Customer</v>
      </c>
      <c r="G879" s="5" t="str">
        <f t="shared" ca="1" si="162"/>
        <v>Not specified</v>
      </c>
      <c r="H879" s="5" t="s">
        <v>141</v>
      </c>
      <c r="I879" s="5" t="str" cm="1">
        <f t="array" aca="1" ref="I879" ca="1">INDEX(Courses!$B$9:$B$16,RANDBETWEEN(1,8))</f>
        <v>Tax Code</v>
      </c>
      <c r="J879" s="5" t="str">
        <f ca="1">VLOOKUP(I879,Courses!$B$9:$C$16,2,0)</f>
        <v>Finance &amp; Taxation</v>
      </c>
      <c r="K879" s="7">
        <f ca="1">VLOOKUP(I879,Courses!$B$9:$D$16,3,0)</f>
        <v>59</v>
      </c>
      <c r="L879" s="5" t="str">
        <f t="shared" ca="1" si="163"/>
        <v>Paid</v>
      </c>
      <c r="M879" s="8" t="str" cm="1">
        <f t="array" aca="1" ref="M879" ca="1">INDEX('Payment Method'!$A$8:$A$12,RANDBETWEEN(1,5))</f>
        <v>Mastercard Credit</v>
      </c>
      <c r="N879" s="7">
        <f>IFERROR(SUMIF(Holiday!$A$8:$A$11,B879,Holiday!$C$8:$C$11),0)</f>
        <v>0</v>
      </c>
      <c r="O879" s="7">
        <f t="shared" ca="1" si="164"/>
        <v>59</v>
      </c>
      <c r="P879" s="19">
        <f t="shared" ca="1" si="165"/>
        <v>56.935000000000002</v>
      </c>
      <c r="Q879" s="7">
        <f t="shared" ca="1" si="166"/>
        <v>0</v>
      </c>
      <c r="R879" s="8">
        <f ca="1">VLOOKUP(M879,'Payment Method'!$A$8:$B$12,2,0)</f>
        <v>3.5000000000000003E-2</v>
      </c>
      <c r="S879" s="9">
        <f t="shared" ca="1" si="156"/>
        <v>2.0649999999999977</v>
      </c>
      <c r="T879" s="8">
        <v>0.01</v>
      </c>
      <c r="U879" s="9">
        <f t="shared" ca="1" si="157"/>
        <v>0.56935000000000002</v>
      </c>
      <c r="V879" s="7">
        <f t="shared" ca="1" si="158"/>
        <v>0</v>
      </c>
      <c r="W879" s="7">
        <f t="shared" ca="1" si="159"/>
        <v>56.365650000000002</v>
      </c>
      <c r="X879" s="5" t="str">
        <f t="shared" ca="1" si="167"/>
        <v>Tiktok</v>
      </c>
      <c r="Y879" s="78" t="str">
        <f>IF(COUNTIF($C$1:C878,B878)=1,10,"")</f>
        <v/>
      </c>
    </row>
    <row r="880" spans="1:25" x14ac:dyDescent="0.3">
      <c r="A880" s="75">
        <v>879</v>
      </c>
      <c r="B880" s="6">
        <v>46131</v>
      </c>
      <c r="C880" s="6">
        <v>46131</v>
      </c>
      <c r="D880" s="17" t="str">
        <f t="shared" si="160"/>
        <v>April</v>
      </c>
      <c r="E880" s="5" t="str">
        <f t="shared" ca="1" si="161"/>
        <v>STU-949</v>
      </c>
      <c r="F880" s="5" t="str">
        <f ca="1">IF(COUNTIF($E$2:E880,E880)=1,"New Customer","Returning Customer")</f>
        <v>Returning Customer</v>
      </c>
      <c r="G880" s="5" t="str">
        <f t="shared" ca="1" si="162"/>
        <v>Male</v>
      </c>
      <c r="H880" s="5" t="s">
        <v>137</v>
      </c>
      <c r="I880" s="5" t="str" cm="1">
        <f t="array" aca="1" ref="I880" ca="1">INDEX(Courses!$B$9:$B$16,RANDBETWEEN(1,8))</f>
        <v>Power BI</v>
      </c>
      <c r="J880" s="5" t="str">
        <f ca="1">VLOOKUP(I880,Courses!$B$9:$C$16,2,0)</f>
        <v>Data Analytics</v>
      </c>
      <c r="K880" s="7">
        <f ca="1">VLOOKUP(I880,Courses!$B$9:$D$16,3,0)</f>
        <v>59</v>
      </c>
      <c r="L880" s="5" t="str">
        <f t="shared" ca="1" si="163"/>
        <v>Paid</v>
      </c>
      <c r="M880" s="8" t="str" cm="1">
        <f t="array" aca="1" ref="M880" ca="1">INDEX('Payment Method'!$A$8:$A$12,RANDBETWEEN(1,5))</f>
        <v>Visa Debit</v>
      </c>
      <c r="N880" s="7">
        <f>IFERROR(SUMIF(Holiday!$A$8:$A$11,B880,Holiday!$C$8:$C$11),0)</f>
        <v>0</v>
      </c>
      <c r="O880" s="7">
        <f t="shared" ca="1" si="164"/>
        <v>59</v>
      </c>
      <c r="P880" s="19">
        <f t="shared" ca="1" si="165"/>
        <v>57.82</v>
      </c>
      <c r="Q880" s="7">
        <f t="shared" ca="1" si="166"/>
        <v>0</v>
      </c>
      <c r="R880" s="8">
        <f ca="1">VLOOKUP(M880,'Payment Method'!$A$8:$B$12,2,0)</f>
        <v>0.02</v>
      </c>
      <c r="S880" s="9">
        <f t="shared" ca="1" si="156"/>
        <v>1.1799999999999997</v>
      </c>
      <c r="T880" s="8">
        <v>0.01</v>
      </c>
      <c r="U880" s="9">
        <f t="shared" ca="1" si="157"/>
        <v>0.57820000000000249</v>
      </c>
      <c r="V880" s="7">
        <f t="shared" ca="1" si="158"/>
        <v>0</v>
      </c>
      <c r="W880" s="7">
        <f t="shared" ca="1" si="159"/>
        <v>57.241799999999998</v>
      </c>
      <c r="X880" s="5" t="str">
        <f t="shared" ca="1" si="167"/>
        <v>Instagram</v>
      </c>
      <c r="Y880" s="78" t="str">
        <f>IF(COUNTIF($C$1:C879,B879)=1,10,"")</f>
        <v/>
      </c>
    </row>
    <row r="881" spans="1:25" x14ac:dyDescent="0.3">
      <c r="A881" s="76">
        <v>880</v>
      </c>
      <c r="B881" s="6">
        <v>46078</v>
      </c>
      <c r="C881" s="6">
        <v>46079</v>
      </c>
      <c r="D881" s="17" t="str">
        <f t="shared" si="160"/>
        <v>February</v>
      </c>
      <c r="E881" s="5" t="str">
        <f t="shared" ca="1" si="161"/>
        <v>STU-921</v>
      </c>
      <c r="F881" s="5" t="str">
        <f ca="1">IF(COUNTIF($E$2:E881,E881)=1,"New Customer","Returning Customer")</f>
        <v>New Customer</v>
      </c>
      <c r="G881" s="5" t="str">
        <f t="shared" ca="1" si="162"/>
        <v>Not specified</v>
      </c>
      <c r="H881" s="5" t="s">
        <v>140</v>
      </c>
      <c r="I881" s="5" t="str" cm="1">
        <f t="array" aca="1" ref="I881" ca="1">INDEX(Courses!$B$9:$B$16,RANDBETWEEN(1,8))</f>
        <v>Excel Basics</v>
      </c>
      <c r="J881" s="5" t="str">
        <f ca="1">VLOOKUP(I881,Courses!$B$9:$C$16,2,0)</f>
        <v>Microsoft Office</v>
      </c>
      <c r="K881" s="7">
        <f ca="1">VLOOKUP(I881,Courses!$B$9:$D$16,3,0)</f>
        <v>29</v>
      </c>
      <c r="L881" s="5" t="str">
        <f t="shared" ca="1" si="163"/>
        <v>Refunded</v>
      </c>
      <c r="M881" s="8" t="str" cm="1">
        <f t="array" aca="1" ref="M881" ca="1">INDEX('Payment Method'!$A$8:$A$12,RANDBETWEEN(1,5))</f>
        <v>Visa Debit</v>
      </c>
      <c r="N881" s="7">
        <f>IFERROR(SUMIF(Holiday!$A$8:$A$11,B881,Holiday!$C$8:$C$11),0)</f>
        <v>0</v>
      </c>
      <c r="O881" s="7">
        <f t="shared" ca="1" si="164"/>
        <v>29</v>
      </c>
      <c r="P881" s="19">
        <f t="shared" ca="1" si="165"/>
        <v>28.42</v>
      </c>
      <c r="Q881" s="7">
        <f t="shared" ca="1" si="166"/>
        <v>0</v>
      </c>
      <c r="R881" s="8">
        <f ca="1">VLOOKUP(M881,'Payment Method'!$A$8:$B$12,2,0)</f>
        <v>0.02</v>
      </c>
      <c r="S881" s="9">
        <f t="shared" ca="1" si="156"/>
        <v>0.57999999999999829</v>
      </c>
      <c r="T881" s="8">
        <v>0.01</v>
      </c>
      <c r="U881" s="9">
        <f t="shared" ca="1" si="157"/>
        <v>0.28419999999999845</v>
      </c>
      <c r="V881" s="7">
        <f t="shared" ca="1" si="158"/>
        <v>28.135800000000003</v>
      </c>
      <c r="W881" s="7">
        <f t="shared" ca="1" si="159"/>
        <v>0</v>
      </c>
      <c r="X881" s="5" t="str">
        <f t="shared" ca="1" si="167"/>
        <v>Facebook</v>
      </c>
      <c r="Y881" s="78" t="str">
        <f>IF(COUNTIF($C$1:C880,B880)=1,10,"")</f>
        <v/>
      </c>
    </row>
    <row r="882" spans="1:25" x14ac:dyDescent="0.3">
      <c r="A882" s="75">
        <v>881</v>
      </c>
      <c r="B882" s="6">
        <v>46178</v>
      </c>
      <c r="C882" s="6">
        <v>46178</v>
      </c>
      <c r="D882" s="17" t="str">
        <f t="shared" si="160"/>
        <v>June</v>
      </c>
      <c r="E882" s="5" t="str">
        <f t="shared" ca="1" si="161"/>
        <v>STU-599</v>
      </c>
      <c r="F882" s="5" t="str">
        <f ca="1">IF(COUNTIF($E$2:E882,E882)=1,"New Customer","Returning Customer")</f>
        <v>New Customer</v>
      </c>
      <c r="G882" s="5" t="str">
        <f t="shared" ca="1" si="162"/>
        <v>Female</v>
      </c>
      <c r="H882" s="5" t="s">
        <v>135</v>
      </c>
      <c r="I882" s="5" t="str" cm="1">
        <f t="array" aca="1" ref="I882" ca="1">INDEX(Courses!$B$9:$B$16,RANDBETWEEN(1,8))</f>
        <v>SQL</v>
      </c>
      <c r="J882" s="5" t="str">
        <f ca="1">VLOOKUP(I882,Courses!$B$9:$C$16,2,0)</f>
        <v>Data Analytics</v>
      </c>
      <c r="K882" s="7">
        <f ca="1">VLOOKUP(I882,Courses!$B$9:$D$16,3,0)</f>
        <v>99</v>
      </c>
      <c r="L882" s="5" t="str">
        <f t="shared" ca="1" si="163"/>
        <v>Paid</v>
      </c>
      <c r="M882" s="8" t="str" cm="1">
        <f t="array" aca="1" ref="M882" ca="1">INDEX('Payment Method'!$A$8:$A$12,RANDBETWEEN(1,5))</f>
        <v>Bank Transfer</v>
      </c>
      <c r="N882" s="7">
        <f>IFERROR(SUMIF(Holiday!$A$8:$A$11,B882,Holiday!$C$8:$C$11),0)</f>
        <v>0</v>
      </c>
      <c r="O882" s="7">
        <f t="shared" ca="1" si="164"/>
        <v>99</v>
      </c>
      <c r="P882" s="19">
        <f t="shared" ca="1" si="165"/>
        <v>99</v>
      </c>
      <c r="Q882" s="7">
        <f t="shared" ca="1" si="166"/>
        <v>0</v>
      </c>
      <c r="R882" s="8">
        <f ca="1">VLOOKUP(M882,'Payment Method'!$A$8:$B$12,2,0)</f>
        <v>0</v>
      </c>
      <c r="S882" s="9">
        <f t="shared" ca="1" si="156"/>
        <v>0</v>
      </c>
      <c r="T882" s="8">
        <v>0.01</v>
      </c>
      <c r="U882" s="9">
        <f t="shared" ca="1" si="157"/>
        <v>0.98999999999999488</v>
      </c>
      <c r="V882" s="7">
        <f t="shared" ca="1" si="158"/>
        <v>0</v>
      </c>
      <c r="W882" s="7">
        <f t="shared" ca="1" si="159"/>
        <v>98.01</v>
      </c>
      <c r="X882" s="5" t="str">
        <f t="shared" ca="1" si="167"/>
        <v>Tiktok</v>
      </c>
      <c r="Y882" s="78" t="str">
        <f>IF(COUNTIF($C$1:C881,B881)=1,10,"")</f>
        <v/>
      </c>
    </row>
    <row r="883" spans="1:25" x14ac:dyDescent="0.3">
      <c r="A883" s="76">
        <v>882</v>
      </c>
      <c r="B883" s="6">
        <v>46192</v>
      </c>
      <c r="C883" s="6">
        <v>46197</v>
      </c>
      <c r="D883" s="17" t="str">
        <f t="shared" si="160"/>
        <v>June</v>
      </c>
      <c r="E883" s="5" t="str">
        <f t="shared" ca="1" si="161"/>
        <v>STU-896</v>
      </c>
      <c r="F883" s="5" t="str">
        <f ca="1">IF(COUNTIF($E$2:E883,E883)=1,"New Customer","Returning Customer")</f>
        <v>New Customer</v>
      </c>
      <c r="G883" s="5" t="str">
        <f t="shared" ca="1" si="162"/>
        <v>Not specified</v>
      </c>
      <c r="H883" s="5" t="s">
        <v>138</v>
      </c>
      <c r="I883" s="5" t="str" cm="1">
        <f t="array" aca="1" ref="I883" ca="1">INDEX(Courses!$B$9:$B$16,RANDBETWEEN(1,8))</f>
        <v>Excel Basics</v>
      </c>
      <c r="J883" s="5" t="str">
        <f ca="1">VLOOKUP(I883,Courses!$B$9:$C$16,2,0)</f>
        <v>Microsoft Office</v>
      </c>
      <c r="K883" s="7">
        <f ca="1">VLOOKUP(I883,Courses!$B$9:$D$16,3,0)</f>
        <v>29</v>
      </c>
      <c r="L883" s="5" t="str">
        <f t="shared" ca="1" si="163"/>
        <v>Paid</v>
      </c>
      <c r="M883" s="8" t="str" cm="1">
        <f t="array" aca="1" ref="M883" ca="1">INDEX('Payment Method'!$A$8:$A$12,RANDBETWEEN(1,5))</f>
        <v>Mastercard Debit</v>
      </c>
      <c r="N883" s="7">
        <f>IFERROR(SUMIF(Holiday!$A$8:$A$11,B883,Holiday!$C$8:$C$11),0)</f>
        <v>0</v>
      </c>
      <c r="O883" s="7">
        <f t="shared" ca="1" si="164"/>
        <v>29</v>
      </c>
      <c r="P883" s="19">
        <f t="shared" ca="1" si="165"/>
        <v>28.42</v>
      </c>
      <c r="Q883" s="7">
        <f t="shared" ca="1" si="166"/>
        <v>0</v>
      </c>
      <c r="R883" s="8">
        <f ca="1">VLOOKUP(M883,'Payment Method'!$A$8:$B$12,2,0)</f>
        <v>0.02</v>
      </c>
      <c r="S883" s="9">
        <f t="shared" ca="1" si="156"/>
        <v>0.57999999999999829</v>
      </c>
      <c r="T883" s="8">
        <v>0.01</v>
      </c>
      <c r="U883" s="9">
        <f t="shared" ca="1" si="157"/>
        <v>0.28419999999999845</v>
      </c>
      <c r="V883" s="7">
        <f t="shared" ca="1" si="158"/>
        <v>0</v>
      </c>
      <c r="W883" s="7">
        <f t="shared" ca="1" si="159"/>
        <v>28.135800000000003</v>
      </c>
      <c r="X883" s="5" t="str">
        <f t="shared" ca="1" si="167"/>
        <v>Tiktok</v>
      </c>
      <c r="Y883" s="78" t="str">
        <f>IF(COUNTIF($C$1:C882,B882)=1,10,"")</f>
        <v/>
      </c>
    </row>
    <row r="884" spans="1:25" x14ac:dyDescent="0.3">
      <c r="A884" s="75">
        <v>883</v>
      </c>
      <c r="B884" s="6">
        <v>46165</v>
      </c>
      <c r="C884" s="6">
        <v>46168</v>
      </c>
      <c r="D884" s="17" t="str">
        <f t="shared" si="160"/>
        <v>May</v>
      </c>
      <c r="E884" s="5" t="str">
        <f t="shared" ca="1" si="161"/>
        <v>STU-92</v>
      </c>
      <c r="F884" s="5" t="str">
        <f ca="1">IF(COUNTIF($E$2:E884,E884)=1,"New Customer","Returning Customer")</f>
        <v>Returning Customer</v>
      </c>
      <c r="G884" s="5" t="str">
        <f t="shared" ca="1" si="162"/>
        <v>Not specified</v>
      </c>
      <c r="H884" s="5" t="s">
        <v>135</v>
      </c>
      <c r="I884" s="5" t="str" cm="1">
        <f t="array" aca="1" ref="I884" ca="1">INDEX(Courses!$B$9:$B$16,RANDBETWEEN(1,8))</f>
        <v>Tax Code</v>
      </c>
      <c r="J884" s="5" t="str">
        <f ca="1">VLOOKUP(I884,Courses!$B$9:$C$16,2,0)</f>
        <v>Finance &amp; Taxation</v>
      </c>
      <c r="K884" s="7">
        <f ca="1">VLOOKUP(I884,Courses!$B$9:$D$16,3,0)</f>
        <v>59</v>
      </c>
      <c r="L884" s="5" t="str">
        <f t="shared" ca="1" si="163"/>
        <v>Pending</v>
      </c>
      <c r="M884" s="8" t="str" cm="1">
        <f t="array" aca="1" ref="M884" ca="1">INDEX('Payment Method'!$A$8:$A$12,RANDBETWEEN(1,5))</f>
        <v>Visa Debit</v>
      </c>
      <c r="N884" s="7">
        <f>IFERROR(SUMIF(Holiday!$A$8:$A$11,B884,Holiday!$C$8:$C$11),0)</f>
        <v>0</v>
      </c>
      <c r="O884" s="7">
        <f t="shared" ca="1" si="164"/>
        <v>59</v>
      </c>
      <c r="P884" s="19">
        <f t="shared" ca="1" si="165"/>
        <v>57.82</v>
      </c>
      <c r="Q884" s="7">
        <f t="shared" ca="1" si="166"/>
        <v>57.241799999999998</v>
      </c>
      <c r="R884" s="8">
        <f ca="1">VLOOKUP(M884,'Payment Method'!$A$8:$B$12,2,0)</f>
        <v>0.02</v>
      </c>
      <c r="S884" s="9">
        <f t="shared" ca="1" si="156"/>
        <v>1.1799999999999997</v>
      </c>
      <c r="T884" s="8">
        <v>0.01</v>
      </c>
      <c r="U884" s="9">
        <f t="shared" ca="1" si="157"/>
        <v>0.57820000000000249</v>
      </c>
      <c r="V884" s="7">
        <f t="shared" ca="1" si="158"/>
        <v>0</v>
      </c>
      <c r="W884" s="7">
        <f t="shared" ca="1" si="159"/>
        <v>0</v>
      </c>
      <c r="X884" s="5" t="str">
        <f t="shared" ca="1" si="167"/>
        <v>Facebook</v>
      </c>
      <c r="Y884" s="78" t="str">
        <f>IF(COUNTIF($C$1:C883,B883)=1,10,"")</f>
        <v/>
      </c>
    </row>
    <row r="885" spans="1:25" x14ac:dyDescent="0.3">
      <c r="A885" s="76">
        <v>884</v>
      </c>
      <c r="B885" s="6">
        <v>46055</v>
      </c>
      <c r="C885" s="6">
        <v>46060</v>
      </c>
      <c r="D885" s="17" t="str">
        <f t="shared" si="160"/>
        <v>February</v>
      </c>
      <c r="E885" s="5" t="str">
        <f t="shared" ca="1" si="161"/>
        <v>STU-308</v>
      </c>
      <c r="F885" s="5" t="str">
        <f ca="1">IF(COUNTIF($E$2:E885,E885)=1,"New Customer","Returning Customer")</f>
        <v>Returning Customer</v>
      </c>
      <c r="G885" s="5" t="str">
        <f t="shared" ca="1" si="162"/>
        <v>Not specified</v>
      </c>
      <c r="H885" s="5" t="s">
        <v>142</v>
      </c>
      <c r="I885" s="5" t="str" cm="1">
        <f t="array" aca="1" ref="I885" ca="1">INDEX(Courses!$B$9:$B$16,RANDBETWEEN(1,8))</f>
        <v>Power BI</v>
      </c>
      <c r="J885" s="5" t="str">
        <f ca="1">VLOOKUP(I885,Courses!$B$9:$C$16,2,0)</f>
        <v>Data Analytics</v>
      </c>
      <c r="K885" s="7">
        <f ca="1">VLOOKUP(I885,Courses!$B$9:$D$16,3,0)</f>
        <v>59</v>
      </c>
      <c r="L885" s="5" t="str">
        <f t="shared" ca="1" si="163"/>
        <v>Paid</v>
      </c>
      <c r="M885" s="8" t="str" cm="1">
        <f t="array" aca="1" ref="M885" ca="1">INDEX('Payment Method'!$A$8:$A$12,RANDBETWEEN(1,5))</f>
        <v>Mastercard Debit</v>
      </c>
      <c r="N885" s="7">
        <f>IFERROR(SUMIF(Holiday!$A$8:$A$11,B885,Holiday!$C$8:$C$11),0)</f>
        <v>0</v>
      </c>
      <c r="O885" s="7">
        <f t="shared" ca="1" si="164"/>
        <v>59</v>
      </c>
      <c r="P885" s="19">
        <f t="shared" ca="1" si="165"/>
        <v>57.82</v>
      </c>
      <c r="Q885" s="7">
        <f t="shared" ca="1" si="166"/>
        <v>0</v>
      </c>
      <c r="R885" s="8">
        <f ca="1">VLOOKUP(M885,'Payment Method'!$A$8:$B$12,2,0)</f>
        <v>0.02</v>
      </c>
      <c r="S885" s="9">
        <f t="shared" ca="1" si="156"/>
        <v>1.1799999999999997</v>
      </c>
      <c r="T885" s="8">
        <v>0.01</v>
      </c>
      <c r="U885" s="9">
        <f t="shared" ca="1" si="157"/>
        <v>0.57820000000000249</v>
      </c>
      <c r="V885" s="7">
        <f t="shared" ca="1" si="158"/>
        <v>0</v>
      </c>
      <c r="W885" s="7">
        <f t="shared" ca="1" si="159"/>
        <v>57.241799999999998</v>
      </c>
      <c r="X885" s="5" t="str">
        <f t="shared" ca="1" si="167"/>
        <v>Instagram</v>
      </c>
      <c r="Y885" s="78" t="str">
        <f>IF(COUNTIF($C$1:C884,B884)=1,10,"")</f>
        <v/>
      </c>
    </row>
    <row r="886" spans="1:25" x14ac:dyDescent="0.3">
      <c r="A886" s="75">
        <v>885</v>
      </c>
      <c r="B886" s="6">
        <v>46098</v>
      </c>
      <c r="C886" s="6">
        <v>46098</v>
      </c>
      <c r="D886" s="17" t="str">
        <f t="shared" si="160"/>
        <v>March</v>
      </c>
      <c r="E886" s="5" t="str">
        <f t="shared" ca="1" si="161"/>
        <v>STU-873</v>
      </c>
      <c r="F886" s="5" t="str">
        <f ca="1">IF(COUNTIF($E$2:E886,E886)=1,"New Customer","Returning Customer")</f>
        <v>Returning Customer</v>
      </c>
      <c r="G886" s="5" t="str">
        <f t="shared" ca="1" si="162"/>
        <v>Female</v>
      </c>
      <c r="H886" s="5" t="s">
        <v>135</v>
      </c>
      <c r="I886" s="5" t="str" cm="1">
        <f t="array" aca="1" ref="I886" ca="1">INDEX(Courses!$B$9:$B$16,RANDBETWEEN(1,8))</f>
        <v>Power BI</v>
      </c>
      <c r="J886" s="5" t="str">
        <f ca="1">VLOOKUP(I886,Courses!$B$9:$C$16,2,0)</f>
        <v>Data Analytics</v>
      </c>
      <c r="K886" s="7">
        <f ca="1">VLOOKUP(I886,Courses!$B$9:$D$16,3,0)</f>
        <v>59</v>
      </c>
      <c r="L886" s="5" t="str">
        <f t="shared" ca="1" si="163"/>
        <v>Paid</v>
      </c>
      <c r="M886" s="8" t="str" cm="1">
        <f t="array" aca="1" ref="M886" ca="1">INDEX('Payment Method'!$A$8:$A$12,RANDBETWEEN(1,5))</f>
        <v>Mastercard Credit</v>
      </c>
      <c r="N886" s="7">
        <f>IFERROR(SUMIF(Holiday!$A$8:$A$11,B886,Holiday!$C$8:$C$11),0)</f>
        <v>0</v>
      </c>
      <c r="O886" s="7">
        <f t="shared" ca="1" si="164"/>
        <v>59</v>
      </c>
      <c r="P886" s="19">
        <f t="shared" ca="1" si="165"/>
        <v>56.935000000000002</v>
      </c>
      <c r="Q886" s="7">
        <f t="shared" ca="1" si="166"/>
        <v>0</v>
      </c>
      <c r="R886" s="8">
        <f ca="1">VLOOKUP(M886,'Payment Method'!$A$8:$B$12,2,0)</f>
        <v>3.5000000000000003E-2</v>
      </c>
      <c r="S886" s="9">
        <f t="shared" ca="1" si="156"/>
        <v>2.0649999999999977</v>
      </c>
      <c r="T886" s="8">
        <v>0.01</v>
      </c>
      <c r="U886" s="9">
        <f t="shared" ca="1" si="157"/>
        <v>0.56935000000000002</v>
      </c>
      <c r="V886" s="7">
        <f t="shared" ca="1" si="158"/>
        <v>0</v>
      </c>
      <c r="W886" s="7">
        <f t="shared" ca="1" si="159"/>
        <v>56.365650000000002</v>
      </c>
      <c r="X886" s="5" t="str">
        <f t="shared" ca="1" si="167"/>
        <v>Facebook</v>
      </c>
      <c r="Y886" s="78" t="str">
        <f>IF(COUNTIF($C$1:C885,B885)=1,10,"")</f>
        <v/>
      </c>
    </row>
    <row r="887" spans="1:25" x14ac:dyDescent="0.3">
      <c r="A887" s="76">
        <v>886</v>
      </c>
      <c r="B887" s="6">
        <v>46084</v>
      </c>
      <c r="C887" s="6">
        <v>46084</v>
      </c>
      <c r="D887" s="17" t="str">
        <f t="shared" si="160"/>
        <v>March</v>
      </c>
      <c r="E887" s="5" t="str">
        <f t="shared" ca="1" si="161"/>
        <v>STU-330</v>
      </c>
      <c r="F887" s="5" t="str">
        <f ca="1">IF(COUNTIF($E$2:E887,E887)=1,"New Customer","Returning Customer")</f>
        <v>Returning Customer</v>
      </c>
      <c r="G887" s="5" t="str">
        <f t="shared" ca="1" si="162"/>
        <v>Male</v>
      </c>
      <c r="H887" s="5" t="s">
        <v>142</v>
      </c>
      <c r="I887" s="5" t="str" cm="1">
        <f t="array" aca="1" ref="I887" ca="1">INDEX(Courses!$B$9:$B$16,RANDBETWEEN(1,8))</f>
        <v>Excel Basics</v>
      </c>
      <c r="J887" s="5" t="str">
        <f ca="1">VLOOKUP(I887,Courses!$B$9:$C$16,2,0)</f>
        <v>Microsoft Office</v>
      </c>
      <c r="K887" s="7">
        <f ca="1">VLOOKUP(I887,Courses!$B$9:$D$16,3,0)</f>
        <v>29</v>
      </c>
      <c r="L887" s="5" t="str">
        <f t="shared" ca="1" si="163"/>
        <v>Pending</v>
      </c>
      <c r="M887" s="8" t="str" cm="1">
        <f t="array" aca="1" ref="M887" ca="1">INDEX('Payment Method'!$A$8:$A$12,RANDBETWEEN(1,5))</f>
        <v>Bank Transfer</v>
      </c>
      <c r="N887" s="7">
        <f>IFERROR(SUMIF(Holiday!$A$8:$A$11,B887,Holiday!$C$8:$C$11),0)</f>
        <v>20</v>
      </c>
      <c r="O887" s="7">
        <f t="shared" ca="1" si="164"/>
        <v>-551</v>
      </c>
      <c r="P887" s="19">
        <f t="shared" ca="1" si="165"/>
        <v>-551</v>
      </c>
      <c r="Q887" s="7">
        <f t="shared" ca="1" si="166"/>
        <v>-545.49</v>
      </c>
      <c r="R887" s="8">
        <f ca="1">VLOOKUP(M887,'Payment Method'!$A$8:$B$12,2,0)</f>
        <v>0</v>
      </c>
      <c r="S887" s="9">
        <f t="shared" ca="1" si="156"/>
        <v>0</v>
      </c>
      <c r="T887" s="8">
        <v>0.01</v>
      </c>
      <c r="U887" s="9">
        <f t="shared" ca="1" si="157"/>
        <v>-5.5099999999999909</v>
      </c>
      <c r="V887" s="7">
        <f t="shared" ca="1" si="158"/>
        <v>0</v>
      </c>
      <c r="W887" s="7">
        <f t="shared" ca="1" si="159"/>
        <v>0</v>
      </c>
      <c r="X887" s="5" t="str">
        <f t="shared" ca="1" si="167"/>
        <v>Facebook</v>
      </c>
      <c r="Y887" s="78" t="str">
        <f>IF(COUNTIF($C$1:C886,B886)=1,10,"")</f>
        <v/>
      </c>
    </row>
    <row r="888" spans="1:25" x14ac:dyDescent="0.3">
      <c r="A888" s="75">
        <v>887</v>
      </c>
      <c r="B888" s="6">
        <v>46061</v>
      </c>
      <c r="C888" s="6">
        <v>46063</v>
      </c>
      <c r="D888" s="17" t="str">
        <f t="shared" si="160"/>
        <v>February</v>
      </c>
      <c r="E888" s="5" t="str">
        <f t="shared" ca="1" si="161"/>
        <v>STU-122</v>
      </c>
      <c r="F888" s="5" t="str">
        <f ca="1">IF(COUNTIF($E$2:E888,E888)=1,"New Customer","Returning Customer")</f>
        <v>New Customer</v>
      </c>
      <c r="G888" s="5" t="str">
        <f t="shared" ca="1" si="162"/>
        <v>Not specified</v>
      </c>
      <c r="H888" s="5" t="s">
        <v>135</v>
      </c>
      <c r="I888" s="5" t="str" cm="1">
        <f t="array" aca="1" ref="I888" ca="1">INDEX(Courses!$B$9:$B$16,RANDBETWEEN(1,8))</f>
        <v>Adolescent Psychology</v>
      </c>
      <c r="J888" s="5" t="str">
        <f ca="1">VLOOKUP(I888,Courses!$B$9:$C$16,2,0)</f>
        <v>Psychology</v>
      </c>
      <c r="K888" s="7">
        <f ca="1">VLOOKUP(I888,Courses!$B$9:$D$16,3,0)</f>
        <v>29</v>
      </c>
      <c r="L888" s="5" t="str">
        <f t="shared" ca="1" si="163"/>
        <v>Paid</v>
      </c>
      <c r="M888" s="8" t="str" cm="1">
        <f t="array" aca="1" ref="M888" ca="1">INDEX('Payment Method'!$A$8:$A$12,RANDBETWEEN(1,5))</f>
        <v>Bank Transfer</v>
      </c>
      <c r="N888" s="7">
        <f>IFERROR(SUMIF(Holiday!$A$8:$A$11,B888,Holiday!$C$8:$C$11),0)</f>
        <v>0</v>
      </c>
      <c r="O888" s="7">
        <f t="shared" ca="1" si="164"/>
        <v>29</v>
      </c>
      <c r="P888" s="19">
        <f t="shared" ca="1" si="165"/>
        <v>29</v>
      </c>
      <c r="Q888" s="7">
        <f t="shared" ca="1" si="166"/>
        <v>0</v>
      </c>
      <c r="R888" s="8">
        <f ca="1">VLOOKUP(M888,'Payment Method'!$A$8:$B$12,2,0)</f>
        <v>0</v>
      </c>
      <c r="S888" s="9">
        <f t="shared" ca="1" si="156"/>
        <v>0</v>
      </c>
      <c r="T888" s="8">
        <v>0.01</v>
      </c>
      <c r="U888" s="9">
        <f t="shared" ca="1" si="157"/>
        <v>0.28999999999999915</v>
      </c>
      <c r="V888" s="7">
        <f t="shared" ca="1" si="158"/>
        <v>0</v>
      </c>
      <c r="W888" s="7">
        <f t="shared" ca="1" si="159"/>
        <v>28.71</v>
      </c>
      <c r="X888" s="5" t="str">
        <f t="shared" ca="1" si="167"/>
        <v>Instagram</v>
      </c>
      <c r="Y888" s="78" t="str">
        <f>IF(COUNTIF($C$1:C887,B887)=1,10,"")</f>
        <v/>
      </c>
    </row>
    <row r="889" spans="1:25" x14ac:dyDescent="0.3">
      <c r="A889" s="76">
        <v>888</v>
      </c>
      <c r="B889" s="6">
        <v>46150</v>
      </c>
      <c r="C889" s="6">
        <v>46155</v>
      </c>
      <c r="D889" s="17" t="str">
        <f t="shared" si="160"/>
        <v>May</v>
      </c>
      <c r="E889" s="5" t="str">
        <f t="shared" ca="1" si="161"/>
        <v>STU-246</v>
      </c>
      <c r="F889" s="5" t="str">
        <f ca="1">IF(COUNTIF($E$2:E889,E889)=1,"New Customer","Returning Customer")</f>
        <v>Returning Customer</v>
      </c>
      <c r="G889" s="5" t="str">
        <f t="shared" ca="1" si="162"/>
        <v>Female</v>
      </c>
      <c r="H889" s="5" t="s">
        <v>136</v>
      </c>
      <c r="I889" s="5" t="str" cm="1">
        <f t="array" aca="1" ref="I889" ca="1">INDEX(Courses!$B$9:$B$16,RANDBETWEEN(1,8))</f>
        <v>Microsoft Word</v>
      </c>
      <c r="J889" s="5" t="str">
        <f ca="1">VLOOKUP(I889,Courses!$B$9:$C$16,2,0)</f>
        <v>Microsoft Office</v>
      </c>
      <c r="K889" s="7">
        <f ca="1">VLOOKUP(I889,Courses!$B$9:$D$16,3,0)</f>
        <v>29</v>
      </c>
      <c r="L889" s="5" t="str">
        <f t="shared" ca="1" si="163"/>
        <v>Paid</v>
      </c>
      <c r="M889" s="8" t="str" cm="1">
        <f t="array" aca="1" ref="M889" ca="1">INDEX('Payment Method'!$A$8:$A$12,RANDBETWEEN(1,5))</f>
        <v>Visa Debit</v>
      </c>
      <c r="N889" s="7">
        <f>IFERROR(SUMIF(Holiday!$A$8:$A$11,B889,Holiday!$C$8:$C$11),0)</f>
        <v>0</v>
      </c>
      <c r="O889" s="7">
        <f t="shared" ca="1" si="164"/>
        <v>29</v>
      </c>
      <c r="P889" s="19">
        <f t="shared" ca="1" si="165"/>
        <v>28.42</v>
      </c>
      <c r="Q889" s="7">
        <f t="shared" ca="1" si="166"/>
        <v>0</v>
      </c>
      <c r="R889" s="8">
        <f ca="1">VLOOKUP(M889,'Payment Method'!$A$8:$B$12,2,0)</f>
        <v>0.02</v>
      </c>
      <c r="S889" s="9">
        <f t="shared" ca="1" si="156"/>
        <v>0.57999999999999829</v>
      </c>
      <c r="T889" s="8">
        <v>0.01</v>
      </c>
      <c r="U889" s="9">
        <f t="shared" ca="1" si="157"/>
        <v>0.28419999999999845</v>
      </c>
      <c r="V889" s="7">
        <f t="shared" ca="1" si="158"/>
        <v>0</v>
      </c>
      <c r="W889" s="7">
        <f t="shared" ca="1" si="159"/>
        <v>28.135800000000003</v>
      </c>
      <c r="X889" s="5" t="str">
        <f t="shared" ca="1" si="167"/>
        <v>Tiktok</v>
      </c>
      <c r="Y889" s="78" t="str">
        <f>IF(COUNTIF($C$1:C888,B888)=1,10,"")</f>
        <v/>
      </c>
    </row>
    <row r="890" spans="1:25" x14ac:dyDescent="0.3">
      <c r="A890" s="75">
        <v>889</v>
      </c>
      <c r="B890" s="6">
        <v>46202</v>
      </c>
      <c r="C890" s="6">
        <v>46206</v>
      </c>
      <c r="D890" s="17" t="str">
        <f t="shared" si="160"/>
        <v>July</v>
      </c>
      <c r="E890" s="5" t="str">
        <f t="shared" ca="1" si="161"/>
        <v>STU-129</v>
      </c>
      <c r="F890" s="5" t="str">
        <f ca="1">IF(COUNTIF($E$2:E890,E890)=1,"New Customer","Returning Customer")</f>
        <v>New Customer</v>
      </c>
      <c r="G890" s="5" t="str">
        <f t="shared" ca="1" si="162"/>
        <v>Not specified</v>
      </c>
      <c r="H890" s="5" t="s">
        <v>140</v>
      </c>
      <c r="I890" s="5" t="str" cm="1">
        <f t="array" aca="1" ref="I890" ca="1">INDEX(Courses!$B$9:$B$16,RANDBETWEEN(1,8))</f>
        <v>SQL</v>
      </c>
      <c r="J890" s="5" t="str">
        <f ca="1">VLOOKUP(I890,Courses!$B$9:$C$16,2,0)</f>
        <v>Data Analytics</v>
      </c>
      <c r="K890" s="7">
        <f ca="1">VLOOKUP(I890,Courses!$B$9:$D$16,3,0)</f>
        <v>99</v>
      </c>
      <c r="L890" s="5" t="str">
        <f t="shared" ca="1" si="163"/>
        <v>Paid</v>
      </c>
      <c r="M890" s="8" t="str" cm="1">
        <f t="array" aca="1" ref="M890" ca="1">INDEX('Payment Method'!$A$8:$A$12,RANDBETWEEN(1,5))</f>
        <v>Visa Debit</v>
      </c>
      <c r="N890" s="7">
        <f>IFERROR(SUMIF(Holiday!$A$8:$A$11,B890,Holiday!$C$8:$C$11),0)</f>
        <v>0</v>
      </c>
      <c r="O890" s="7">
        <f t="shared" ca="1" si="164"/>
        <v>99</v>
      </c>
      <c r="P890" s="19">
        <f t="shared" ca="1" si="165"/>
        <v>97.02</v>
      </c>
      <c r="Q890" s="7">
        <f t="shared" ca="1" si="166"/>
        <v>0</v>
      </c>
      <c r="R890" s="8">
        <f ca="1">VLOOKUP(M890,'Payment Method'!$A$8:$B$12,2,0)</f>
        <v>0.02</v>
      </c>
      <c r="S890" s="9">
        <f t="shared" ca="1" si="156"/>
        <v>1.980000000000004</v>
      </c>
      <c r="T890" s="8">
        <v>0.01</v>
      </c>
      <c r="U890" s="9">
        <f t="shared" ca="1" si="157"/>
        <v>0.9702000000000055</v>
      </c>
      <c r="V890" s="7">
        <f t="shared" ca="1" si="158"/>
        <v>0</v>
      </c>
      <c r="W890" s="7">
        <f t="shared" ca="1" si="159"/>
        <v>96.049799999999991</v>
      </c>
      <c r="X890" s="5" t="str">
        <f t="shared" ca="1" si="167"/>
        <v>Tiktok</v>
      </c>
      <c r="Y890" s="78" t="str">
        <f>IF(COUNTIF($C$1:C889,B889)=1,10,"")</f>
        <v/>
      </c>
    </row>
    <row r="891" spans="1:25" x14ac:dyDescent="0.3">
      <c r="A891" s="76">
        <v>890</v>
      </c>
      <c r="B891" s="6">
        <v>46046</v>
      </c>
      <c r="C891" s="6">
        <v>46050</v>
      </c>
      <c r="D891" s="17" t="str">
        <f t="shared" si="160"/>
        <v>January</v>
      </c>
      <c r="E891" s="5" t="str">
        <f t="shared" ca="1" si="161"/>
        <v>STU-934</v>
      </c>
      <c r="F891" s="5" t="str">
        <f ca="1">IF(COUNTIF($E$2:E891,E891)=1,"New Customer","Returning Customer")</f>
        <v>Returning Customer</v>
      </c>
      <c r="G891" s="5" t="str">
        <f t="shared" ca="1" si="162"/>
        <v>Not specified</v>
      </c>
      <c r="H891" s="5" t="s">
        <v>135</v>
      </c>
      <c r="I891" s="5" t="str" cm="1">
        <f t="array" aca="1" ref="I891" ca="1">INDEX(Courses!$B$9:$B$16,RANDBETWEEN(1,8))</f>
        <v>Complete Excel Course</v>
      </c>
      <c r="J891" s="5" t="str">
        <f ca="1">VLOOKUP(I891,Courses!$B$9:$C$16,2,0)</f>
        <v>Microsoft Office</v>
      </c>
      <c r="K891" s="7">
        <f ca="1">VLOOKUP(I891,Courses!$B$9:$D$16,3,0)</f>
        <v>59</v>
      </c>
      <c r="L891" s="5" t="str">
        <f t="shared" ca="1" si="163"/>
        <v>Paid</v>
      </c>
      <c r="M891" s="8" t="str" cm="1">
        <f t="array" aca="1" ref="M891" ca="1">INDEX('Payment Method'!$A$8:$A$12,RANDBETWEEN(1,5))</f>
        <v>Mastercard Debit</v>
      </c>
      <c r="N891" s="7">
        <f>IFERROR(SUMIF(Holiday!$A$8:$A$11,B891,Holiday!$C$8:$C$11),0)</f>
        <v>0</v>
      </c>
      <c r="O891" s="7">
        <f t="shared" ca="1" si="164"/>
        <v>59</v>
      </c>
      <c r="P891" s="19">
        <f t="shared" ca="1" si="165"/>
        <v>57.82</v>
      </c>
      <c r="Q891" s="7">
        <f t="shared" ca="1" si="166"/>
        <v>0</v>
      </c>
      <c r="R891" s="8">
        <f ca="1">VLOOKUP(M891,'Payment Method'!$A$8:$B$12,2,0)</f>
        <v>0.02</v>
      </c>
      <c r="S891" s="9">
        <f t="shared" ca="1" si="156"/>
        <v>1.1799999999999997</v>
      </c>
      <c r="T891" s="8">
        <v>0.01</v>
      </c>
      <c r="U891" s="9">
        <f t="shared" ca="1" si="157"/>
        <v>0.57820000000000249</v>
      </c>
      <c r="V891" s="7">
        <f t="shared" ca="1" si="158"/>
        <v>0</v>
      </c>
      <c r="W891" s="7">
        <f t="shared" ca="1" si="159"/>
        <v>57.241799999999998</v>
      </c>
      <c r="X891" s="5" t="str">
        <f t="shared" ca="1" si="167"/>
        <v>Facebook</v>
      </c>
      <c r="Y891" s="78" t="str">
        <f>IF(COUNTIF($C$1:C890,B890)=1,10,"")</f>
        <v/>
      </c>
    </row>
    <row r="892" spans="1:25" x14ac:dyDescent="0.3">
      <c r="A892" s="75">
        <v>891</v>
      </c>
      <c r="B892" s="6">
        <v>46047</v>
      </c>
      <c r="C892" s="6">
        <v>46047</v>
      </c>
      <c r="D892" s="17" t="str">
        <f t="shared" si="160"/>
        <v>January</v>
      </c>
      <c r="E892" s="5" t="str">
        <f t="shared" ca="1" si="161"/>
        <v>STU-500</v>
      </c>
      <c r="F892" s="5" t="str">
        <f ca="1">IF(COUNTIF($E$2:E892,E892)=1,"New Customer","Returning Customer")</f>
        <v>New Customer</v>
      </c>
      <c r="G892" s="5" t="str">
        <f t="shared" ca="1" si="162"/>
        <v>Male</v>
      </c>
      <c r="H892" s="5" t="s">
        <v>141</v>
      </c>
      <c r="I892" s="5" t="str" cm="1">
        <f t="array" aca="1" ref="I892" ca="1">INDEX(Courses!$B$9:$B$16,RANDBETWEEN(1,8))</f>
        <v>Microsoft Word</v>
      </c>
      <c r="J892" s="5" t="str">
        <f ca="1">VLOOKUP(I892,Courses!$B$9:$C$16,2,0)</f>
        <v>Microsoft Office</v>
      </c>
      <c r="K892" s="7">
        <f ca="1">VLOOKUP(I892,Courses!$B$9:$D$16,3,0)</f>
        <v>29</v>
      </c>
      <c r="L892" s="5" t="str">
        <f t="shared" ca="1" si="163"/>
        <v>Paid</v>
      </c>
      <c r="M892" s="8" t="str" cm="1">
        <f t="array" aca="1" ref="M892" ca="1">INDEX('Payment Method'!$A$8:$A$12,RANDBETWEEN(1,5))</f>
        <v>Mastercard Credit</v>
      </c>
      <c r="N892" s="7">
        <f>IFERROR(SUMIF(Holiday!$A$8:$A$11,B892,Holiday!$C$8:$C$11),0)</f>
        <v>0</v>
      </c>
      <c r="O892" s="7">
        <f t="shared" ca="1" si="164"/>
        <v>29</v>
      </c>
      <c r="P892" s="19">
        <f t="shared" ca="1" si="165"/>
        <v>27.984999999999999</v>
      </c>
      <c r="Q892" s="7">
        <f t="shared" ca="1" si="166"/>
        <v>0</v>
      </c>
      <c r="R892" s="8">
        <f ca="1">VLOOKUP(M892,'Payment Method'!$A$8:$B$12,2,0)</f>
        <v>3.5000000000000003E-2</v>
      </c>
      <c r="S892" s="9">
        <f t="shared" ca="1" si="156"/>
        <v>1.0150000000000006</v>
      </c>
      <c r="T892" s="8">
        <v>0.01</v>
      </c>
      <c r="U892" s="9">
        <f t="shared" ca="1" si="157"/>
        <v>0.27984999999999971</v>
      </c>
      <c r="V892" s="7">
        <f t="shared" ca="1" si="158"/>
        <v>0</v>
      </c>
      <c r="W892" s="7">
        <f t="shared" ca="1" si="159"/>
        <v>27.70515</v>
      </c>
      <c r="X892" s="5" t="str">
        <f t="shared" ca="1" si="167"/>
        <v>Tiktok</v>
      </c>
      <c r="Y892" s="78" t="str">
        <f>IF(COUNTIF($C$1:C891,B891)=1,10,"")</f>
        <v/>
      </c>
    </row>
    <row r="893" spans="1:25" x14ac:dyDescent="0.3">
      <c r="A893" s="76">
        <v>892</v>
      </c>
      <c r="B893" s="6">
        <v>46121</v>
      </c>
      <c r="C893" s="6">
        <v>46126</v>
      </c>
      <c r="D893" s="17" t="str">
        <f t="shared" si="160"/>
        <v>April</v>
      </c>
      <c r="E893" s="5" t="str">
        <f t="shared" ca="1" si="161"/>
        <v>STU-130</v>
      </c>
      <c r="F893" s="5" t="str">
        <f ca="1">IF(COUNTIF($E$2:E893,E893)=1,"New Customer","Returning Customer")</f>
        <v>New Customer</v>
      </c>
      <c r="G893" s="5" t="str">
        <f t="shared" ca="1" si="162"/>
        <v>Male</v>
      </c>
      <c r="H893" s="5" t="s">
        <v>140</v>
      </c>
      <c r="I893" s="5" t="str" cm="1">
        <f t="array" aca="1" ref="I893" ca="1">INDEX(Courses!$B$9:$B$16,RANDBETWEEN(1,8))</f>
        <v>Complete Excel Course</v>
      </c>
      <c r="J893" s="5" t="str">
        <f ca="1">VLOOKUP(I893,Courses!$B$9:$C$16,2,0)</f>
        <v>Microsoft Office</v>
      </c>
      <c r="K893" s="7">
        <f ca="1">VLOOKUP(I893,Courses!$B$9:$D$16,3,0)</f>
        <v>59</v>
      </c>
      <c r="L893" s="5" t="str">
        <f t="shared" ca="1" si="163"/>
        <v>Paid</v>
      </c>
      <c r="M893" s="8" t="str" cm="1">
        <f t="array" aca="1" ref="M893" ca="1">INDEX('Payment Method'!$A$8:$A$12,RANDBETWEEN(1,5))</f>
        <v>Mastercard Credit</v>
      </c>
      <c r="N893" s="7">
        <f>IFERROR(SUMIF(Holiday!$A$8:$A$11,B893,Holiday!$C$8:$C$11),0)</f>
        <v>0</v>
      </c>
      <c r="O893" s="7">
        <f t="shared" ca="1" si="164"/>
        <v>59</v>
      </c>
      <c r="P893" s="19">
        <f t="shared" ca="1" si="165"/>
        <v>56.935000000000002</v>
      </c>
      <c r="Q893" s="7">
        <f t="shared" ca="1" si="166"/>
        <v>0</v>
      </c>
      <c r="R893" s="8">
        <f ca="1">VLOOKUP(M893,'Payment Method'!$A$8:$B$12,2,0)</f>
        <v>3.5000000000000003E-2</v>
      </c>
      <c r="S893" s="9">
        <f t="shared" ca="1" si="156"/>
        <v>2.0649999999999977</v>
      </c>
      <c r="T893" s="8">
        <v>0.01</v>
      </c>
      <c r="U893" s="9">
        <f t="shared" ca="1" si="157"/>
        <v>0.56935000000000002</v>
      </c>
      <c r="V893" s="7">
        <f t="shared" ca="1" si="158"/>
        <v>0</v>
      </c>
      <c r="W893" s="7">
        <f t="shared" ca="1" si="159"/>
        <v>56.365650000000002</v>
      </c>
      <c r="X893" s="5" t="str">
        <f t="shared" ca="1" si="167"/>
        <v>Tiktok</v>
      </c>
      <c r="Y893" s="78" t="str">
        <f>IF(COUNTIF($C$1:C892,B892)=1,10,"")</f>
        <v/>
      </c>
    </row>
    <row r="894" spans="1:25" x14ac:dyDescent="0.3">
      <c r="A894" s="75">
        <v>893</v>
      </c>
      <c r="B894" s="6">
        <v>46099</v>
      </c>
      <c r="C894" s="6">
        <v>46102</v>
      </c>
      <c r="D894" s="17" t="str">
        <f t="shared" si="160"/>
        <v>March</v>
      </c>
      <c r="E894" s="5" t="str">
        <f t="shared" ca="1" si="161"/>
        <v>STU-616</v>
      </c>
      <c r="F894" s="5" t="str">
        <f ca="1">IF(COUNTIF($E$2:E894,E894)=1,"New Customer","Returning Customer")</f>
        <v>New Customer</v>
      </c>
      <c r="G894" s="5" t="str">
        <f t="shared" ca="1" si="162"/>
        <v>Male</v>
      </c>
      <c r="H894" s="5" t="s">
        <v>138</v>
      </c>
      <c r="I894" s="5" t="str" cm="1">
        <f t="array" aca="1" ref="I894" ca="1">INDEX(Courses!$B$9:$B$16,RANDBETWEEN(1,8))</f>
        <v>SQL</v>
      </c>
      <c r="J894" s="5" t="str">
        <f ca="1">VLOOKUP(I894,Courses!$B$9:$C$16,2,0)</f>
        <v>Data Analytics</v>
      </c>
      <c r="K894" s="7">
        <f ca="1">VLOOKUP(I894,Courses!$B$9:$D$16,3,0)</f>
        <v>99</v>
      </c>
      <c r="L894" s="5" t="str">
        <f t="shared" ca="1" si="163"/>
        <v>Paid</v>
      </c>
      <c r="M894" s="8" t="str" cm="1">
        <f t="array" aca="1" ref="M894" ca="1">INDEX('Payment Method'!$A$8:$A$12,RANDBETWEEN(1,5))</f>
        <v>Bank Transfer</v>
      </c>
      <c r="N894" s="7">
        <f>IFERROR(SUMIF(Holiday!$A$8:$A$11,B894,Holiday!$C$8:$C$11),0)</f>
        <v>0</v>
      </c>
      <c r="O894" s="7">
        <f t="shared" ca="1" si="164"/>
        <v>99</v>
      </c>
      <c r="P894" s="19">
        <f t="shared" ca="1" si="165"/>
        <v>99</v>
      </c>
      <c r="Q894" s="7">
        <f t="shared" ca="1" si="166"/>
        <v>0</v>
      </c>
      <c r="R894" s="8">
        <f ca="1">VLOOKUP(M894,'Payment Method'!$A$8:$B$12,2,0)</f>
        <v>0</v>
      </c>
      <c r="S894" s="9">
        <f t="shared" ca="1" si="156"/>
        <v>0</v>
      </c>
      <c r="T894" s="8">
        <v>0.01</v>
      </c>
      <c r="U894" s="9">
        <f t="shared" ca="1" si="157"/>
        <v>0.98999999999999488</v>
      </c>
      <c r="V894" s="7">
        <f t="shared" ca="1" si="158"/>
        <v>0</v>
      </c>
      <c r="W894" s="7">
        <f t="shared" ca="1" si="159"/>
        <v>98.01</v>
      </c>
      <c r="X894" s="5" t="str">
        <f t="shared" ca="1" si="167"/>
        <v>Instagram</v>
      </c>
      <c r="Y894" s="78" t="str">
        <f>IF(COUNTIF($C$1:C893,B893)=1,10,"")</f>
        <v/>
      </c>
    </row>
    <row r="895" spans="1:25" x14ac:dyDescent="0.3">
      <c r="A895" s="76">
        <v>894</v>
      </c>
      <c r="B895" s="6">
        <v>46063</v>
      </c>
      <c r="C895" s="6">
        <v>46066</v>
      </c>
      <c r="D895" s="17" t="str">
        <f t="shared" si="160"/>
        <v>February</v>
      </c>
      <c r="E895" s="5" t="str">
        <f t="shared" ca="1" si="161"/>
        <v>STU-893</v>
      </c>
      <c r="F895" s="5" t="str">
        <f ca="1">IF(COUNTIF($E$2:E895,E895)=1,"New Customer","Returning Customer")</f>
        <v>Returning Customer</v>
      </c>
      <c r="G895" s="5" t="str">
        <f t="shared" ca="1" si="162"/>
        <v>Female</v>
      </c>
      <c r="H895" s="5" t="s">
        <v>139</v>
      </c>
      <c r="I895" s="5" t="str" cm="1">
        <f t="array" aca="1" ref="I895" ca="1">INDEX(Courses!$B$9:$B$16,RANDBETWEEN(1,8))</f>
        <v>SQL</v>
      </c>
      <c r="J895" s="5" t="str">
        <f ca="1">VLOOKUP(I895,Courses!$B$9:$C$16,2,0)</f>
        <v>Data Analytics</v>
      </c>
      <c r="K895" s="7">
        <f ca="1">VLOOKUP(I895,Courses!$B$9:$D$16,3,0)</f>
        <v>99</v>
      </c>
      <c r="L895" s="5" t="str">
        <f t="shared" ca="1" si="163"/>
        <v>Paid</v>
      </c>
      <c r="M895" s="8" t="str" cm="1">
        <f t="array" aca="1" ref="M895" ca="1">INDEX('Payment Method'!$A$8:$A$12,RANDBETWEEN(1,5))</f>
        <v>Visa Credit</v>
      </c>
      <c r="N895" s="7">
        <f>IFERROR(SUMIF(Holiday!$A$8:$A$11,B895,Holiday!$C$8:$C$11),0)</f>
        <v>0</v>
      </c>
      <c r="O895" s="7">
        <f t="shared" ca="1" si="164"/>
        <v>99</v>
      </c>
      <c r="P895" s="19">
        <f t="shared" ca="1" si="165"/>
        <v>95.534999999999997</v>
      </c>
      <c r="Q895" s="7">
        <f t="shared" ca="1" si="166"/>
        <v>0</v>
      </c>
      <c r="R895" s="8">
        <f ca="1">VLOOKUP(M895,'Payment Method'!$A$8:$B$12,2,0)</f>
        <v>3.5000000000000003E-2</v>
      </c>
      <c r="S895" s="9">
        <f t="shared" ca="1" si="156"/>
        <v>3.4650000000000034</v>
      </c>
      <c r="T895" s="8">
        <v>0.01</v>
      </c>
      <c r="U895" s="9">
        <f t="shared" ca="1" si="157"/>
        <v>0.9553499999999957</v>
      </c>
      <c r="V895" s="7">
        <f t="shared" ca="1" si="158"/>
        <v>0</v>
      </c>
      <c r="W895" s="7">
        <f t="shared" ca="1" si="159"/>
        <v>94.579650000000001</v>
      </c>
      <c r="X895" s="5" t="str">
        <f t="shared" ca="1" si="167"/>
        <v>Tiktok</v>
      </c>
      <c r="Y895" s="78" t="str">
        <f>IF(COUNTIF($C$1:C894,B894)=1,10,"")</f>
        <v/>
      </c>
    </row>
    <row r="896" spans="1:25" x14ac:dyDescent="0.3">
      <c r="A896" s="75">
        <v>895</v>
      </c>
      <c r="B896" s="6">
        <v>46151</v>
      </c>
      <c r="C896" s="6">
        <v>46155</v>
      </c>
      <c r="D896" s="17" t="str">
        <f t="shared" si="160"/>
        <v>May</v>
      </c>
      <c r="E896" s="5" t="str">
        <f t="shared" ca="1" si="161"/>
        <v>STU-522</v>
      </c>
      <c r="F896" s="5" t="str">
        <f ca="1">IF(COUNTIF($E$2:E896,E896)=1,"New Customer","Returning Customer")</f>
        <v>New Customer</v>
      </c>
      <c r="G896" s="5" t="str">
        <f t="shared" ca="1" si="162"/>
        <v>Not specified</v>
      </c>
      <c r="H896" s="5" t="s">
        <v>136</v>
      </c>
      <c r="I896" s="5" t="str" cm="1">
        <f t="array" aca="1" ref="I896" ca="1">INDEX(Courses!$B$9:$B$16,RANDBETWEEN(1,8))</f>
        <v>Adolescent Psychology</v>
      </c>
      <c r="J896" s="5" t="str">
        <f ca="1">VLOOKUP(I896,Courses!$B$9:$C$16,2,0)</f>
        <v>Psychology</v>
      </c>
      <c r="K896" s="7">
        <f ca="1">VLOOKUP(I896,Courses!$B$9:$D$16,3,0)</f>
        <v>29</v>
      </c>
      <c r="L896" s="5" t="str">
        <f t="shared" ca="1" si="163"/>
        <v>Paid</v>
      </c>
      <c r="M896" s="8" t="str" cm="1">
        <f t="array" aca="1" ref="M896" ca="1">INDEX('Payment Method'!$A$8:$A$12,RANDBETWEEN(1,5))</f>
        <v>Visa Debit</v>
      </c>
      <c r="N896" s="7">
        <f>IFERROR(SUMIF(Holiday!$A$8:$A$11,B896,Holiday!$C$8:$C$11),0)</f>
        <v>0</v>
      </c>
      <c r="O896" s="7">
        <f t="shared" ca="1" si="164"/>
        <v>29</v>
      </c>
      <c r="P896" s="19">
        <f t="shared" ca="1" si="165"/>
        <v>28.42</v>
      </c>
      <c r="Q896" s="7">
        <f t="shared" ca="1" si="166"/>
        <v>0</v>
      </c>
      <c r="R896" s="8">
        <f ca="1">VLOOKUP(M896,'Payment Method'!$A$8:$B$12,2,0)</f>
        <v>0.02</v>
      </c>
      <c r="S896" s="9">
        <f t="shared" ca="1" si="156"/>
        <v>0.57999999999999829</v>
      </c>
      <c r="T896" s="8">
        <v>0.01</v>
      </c>
      <c r="U896" s="9">
        <f t="shared" ca="1" si="157"/>
        <v>0.28419999999999845</v>
      </c>
      <c r="V896" s="7">
        <f t="shared" ca="1" si="158"/>
        <v>0</v>
      </c>
      <c r="W896" s="7">
        <f t="shared" ca="1" si="159"/>
        <v>28.135800000000003</v>
      </c>
      <c r="X896" s="5" t="str">
        <f t="shared" ca="1" si="167"/>
        <v>Instagram</v>
      </c>
      <c r="Y896" s="78" t="str">
        <f>IF(COUNTIF($C$1:C895,B895)=1,10,"")</f>
        <v/>
      </c>
    </row>
    <row r="897" spans="1:25" x14ac:dyDescent="0.3">
      <c r="A897" s="76">
        <v>896</v>
      </c>
      <c r="B897" s="6">
        <v>46094</v>
      </c>
      <c r="C897" s="6">
        <v>46095</v>
      </c>
      <c r="D897" s="17" t="str">
        <f t="shared" si="160"/>
        <v>March</v>
      </c>
      <c r="E897" s="5" t="str">
        <f t="shared" ca="1" si="161"/>
        <v>STU-463</v>
      </c>
      <c r="F897" s="5" t="str">
        <f ca="1">IF(COUNTIF($E$2:E897,E897)=1,"New Customer","Returning Customer")</f>
        <v>New Customer</v>
      </c>
      <c r="G897" s="5" t="str">
        <f t="shared" ca="1" si="162"/>
        <v>Male</v>
      </c>
      <c r="H897" s="5" t="s">
        <v>137</v>
      </c>
      <c r="I897" s="5" t="str" cm="1">
        <f t="array" aca="1" ref="I897" ca="1">INDEX(Courses!$B$9:$B$16,RANDBETWEEN(1,8))</f>
        <v>Excel Basics</v>
      </c>
      <c r="J897" s="5" t="str">
        <f ca="1">VLOOKUP(I897,Courses!$B$9:$C$16,2,0)</f>
        <v>Microsoft Office</v>
      </c>
      <c r="K897" s="7">
        <f ca="1">VLOOKUP(I897,Courses!$B$9:$D$16,3,0)</f>
        <v>29</v>
      </c>
      <c r="L897" s="5" t="str">
        <f t="shared" ca="1" si="163"/>
        <v>Paid</v>
      </c>
      <c r="M897" s="8" t="str" cm="1">
        <f t="array" aca="1" ref="M897" ca="1">INDEX('Payment Method'!$A$8:$A$12,RANDBETWEEN(1,5))</f>
        <v>Bank Transfer</v>
      </c>
      <c r="N897" s="7">
        <f>IFERROR(SUMIF(Holiday!$A$8:$A$11,B897,Holiday!$C$8:$C$11),0)</f>
        <v>0</v>
      </c>
      <c r="O897" s="7">
        <f t="shared" ca="1" si="164"/>
        <v>29</v>
      </c>
      <c r="P897" s="19">
        <f t="shared" ca="1" si="165"/>
        <v>29</v>
      </c>
      <c r="Q897" s="7">
        <f t="shared" ca="1" si="166"/>
        <v>0</v>
      </c>
      <c r="R897" s="8">
        <f ca="1">VLOOKUP(M897,'Payment Method'!$A$8:$B$12,2,0)</f>
        <v>0</v>
      </c>
      <c r="S897" s="9">
        <f t="shared" ca="1" si="156"/>
        <v>0</v>
      </c>
      <c r="T897" s="8">
        <v>0.01</v>
      </c>
      <c r="U897" s="9">
        <f t="shared" ca="1" si="157"/>
        <v>0.28999999999999915</v>
      </c>
      <c r="V897" s="7">
        <f t="shared" ca="1" si="158"/>
        <v>0</v>
      </c>
      <c r="W897" s="7">
        <f t="shared" ca="1" si="159"/>
        <v>28.71</v>
      </c>
      <c r="X897" s="5" t="str">
        <f t="shared" ca="1" si="167"/>
        <v>Facebook</v>
      </c>
      <c r="Y897" s="78" t="str">
        <f>IF(COUNTIF($C$1:C896,B896)=1,10,"")</f>
        <v/>
      </c>
    </row>
    <row r="898" spans="1:25" x14ac:dyDescent="0.3">
      <c r="A898" s="75">
        <v>897</v>
      </c>
      <c r="B898" s="6">
        <v>46142</v>
      </c>
      <c r="C898" s="6">
        <v>46147</v>
      </c>
      <c r="D898" s="17" t="str">
        <f t="shared" si="160"/>
        <v>May</v>
      </c>
      <c r="E898" s="5" t="str">
        <f t="shared" ca="1" si="161"/>
        <v>STU-319</v>
      </c>
      <c r="F898" s="5" t="str">
        <f ca="1">IF(COUNTIF($E$2:E898,E898)=1,"New Customer","Returning Customer")</f>
        <v>Returning Customer</v>
      </c>
      <c r="G898" s="5" t="str">
        <f t="shared" ca="1" si="162"/>
        <v>Female</v>
      </c>
      <c r="H898" s="5" t="s">
        <v>135</v>
      </c>
      <c r="I898" s="5" t="str" cm="1">
        <f t="array" aca="1" ref="I898" ca="1">INDEX(Courses!$B$9:$B$16,RANDBETWEEN(1,8))</f>
        <v>SQL</v>
      </c>
      <c r="J898" s="5" t="str">
        <f ca="1">VLOOKUP(I898,Courses!$B$9:$C$16,2,0)</f>
        <v>Data Analytics</v>
      </c>
      <c r="K898" s="7">
        <f ca="1">VLOOKUP(I898,Courses!$B$9:$D$16,3,0)</f>
        <v>99</v>
      </c>
      <c r="L898" s="5" t="str">
        <f t="shared" ca="1" si="163"/>
        <v>Paid</v>
      </c>
      <c r="M898" s="8" t="str" cm="1">
        <f t="array" aca="1" ref="M898" ca="1">INDEX('Payment Method'!$A$8:$A$12,RANDBETWEEN(1,5))</f>
        <v>Mastercard Credit</v>
      </c>
      <c r="N898" s="7">
        <f>IFERROR(SUMIF(Holiday!$A$8:$A$11,B898,Holiday!$C$8:$C$11),0)</f>
        <v>0</v>
      </c>
      <c r="O898" s="7">
        <f t="shared" ca="1" si="164"/>
        <v>99</v>
      </c>
      <c r="P898" s="19">
        <f t="shared" ca="1" si="165"/>
        <v>95.534999999999997</v>
      </c>
      <c r="Q898" s="7">
        <f t="shared" ca="1" si="166"/>
        <v>0</v>
      </c>
      <c r="R898" s="8">
        <f ca="1">VLOOKUP(M898,'Payment Method'!$A$8:$B$12,2,0)</f>
        <v>3.5000000000000003E-2</v>
      </c>
      <c r="S898" s="9">
        <f t="shared" ref="S898:S961" ca="1" si="168">O898-(O898-O898*R898)</f>
        <v>3.4650000000000034</v>
      </c>
      <c r="T898" s="8">
        <v>0.01</v>
      </c>
      <c r="U898" s="9">
        <f t="shared" ref="U898:U961" ca="1" si="169">O898-S898-((O898-S898)-(O898-S898)*T898)</f>
        <v>0.9553499999999957</v>
      </c>
      <c r="V898" s="7">
        <f t="shared" ref="V898:V961" ca="1" si="170">IF(L898="refunded",(K898-K898*N898)-(K898-K898*N898)*R898-((K898-K898*N898)-(K898-K898*N898)*R898)*T898,0)</f>
        <v>0</v>
      </c>
      <c r="W898" s="7">
        <f t="shared" ref="W898:W961" ca="1" si="171">IF(L898="paid",(K898-K898*N898)-(K898-K898*N898)*R898-((K898-K898*N898)-(K898-K898*N898)*R898)*T898,0)</f>
        <v>94.579650000000001</v>
      </c>
      <c r="X898" s="5" t="str">
        <f t="shared" ca="1" si="167"/>
        <v>Tiktok</v>
      </c>
      <c r="Y898" s="78" t="str">
        <f>IF(COUNTIF($C$1:C897,B897)=1,10,"")</f>
        <v/>
      </c>
    </row>
    <row r="899" spans="1:25" x14ac:dyDescent="0.3">
      <c r="A899" s="76">
        <v>898</v>
      </c>
      <c r="B899" s="6">
        <v>46075</v>
      </c>
      <c r="C899" s="6">
        <v>46076</v>
      </c>
      <c r="D899" s="17" t="str">
        <f t="shared" ref="D899:D962" si="172">TEXT(C899,"mmmm")</f>
        <v>February</v>
      </c>
      <c r="E899" s="5" t="str">
        <f t="shared" ref="E899:E962" ca="1" si="173">"STU-"&amp;RANDBETWEEN(1,1000)</f>
        <v>STU-89</v>
      </c>
      <c r="F899" s="5" t="str">
        <f ca="1">IF(COUNTIF($E$2:E899,E899)=1,"New Customer","Returning Customer")</f>
        <v>New Customer</v>
      </c>
      <c r="G899" s="5" t="str">
        <f t="shared" ref="G899:G962" ca="1" si="174">CHOOSE(RANDBETWEEN(1,3),"Male","Female","Not specified")</f>
        <v>Male</v>
      </c>
      <c r="H899" s="5" t="s">
        <v>141</v>
      </c>
      <c r="I899" s="5" t="str" cm="1">
        <f t="array" aca="1" ref="I899" ca="1">INDEX(Courses!$B$9:$B$16,RANDBETWEEN(1,8))</f>
        <v>Excel Basics</v>
      </c>
      <c r="J899" s="5" t="str">
        <f ca="1">VLOOKUP(I899,Courses!$B$9:$C$16,2,0)</f>
        <v>Microsoft Office</v>
      </c>
      <c r="K899" s="7">
        <f ca="1">VLOOKUP(I899,Courses!$B$9:$D$16,3,0)</f>
        <v>29</v>
      </c>
      <c r="L899" s="5" t="str">
        <f t="shared" ref="L899:L962" ca="1" si="175">IF(RAND()&lt;0.6,"Paid",IF(RAND()&lt;0.75,"Pending","Refunded"))</f>
        <v>Paid</v>
      </c>
      <c r="M899" s="8" t="str" cm="1">
        <f t="array" aca="1" ref="M899" ca="1">INDEX('Payment Method'!$A$8:$A$12,RANDBETWEEN(1,5))</f>
        <v>Mastercard Credit</v>
      </c>
      <c r="N899" s="7">
        <f>IFERROR(SUMIF(Holiday!$A$8:$A$11,B899,Holiday!$C$8:$C$11),0)</f>
        <v>0</v>
      </c>
      <c r="O899" s="7">
        <f t="shared" ref="O899:O962" ca="1" si="176">K899-K899*N899</f>
        <v>29</v>
      </c>
      <c r="P899" s="19">
        <f t="shared" ref="P899:P962" ca="1" si="177">O899-S899</f>
        <v>27.984999999999999</v>
      </c>
      <c r="Q899" s="7">
        <f t="shared" ref="Q899:Q962" ca="1" si="178">IF(L899="pending",(K899-K899*N899)-(K899-K899*N899)*R899-((K899-K899*N899)-(K899-K899*N899)*R899)*T899,0)</f>
        <v>0</v>
      </c>
      <c r="R899" s="8">
        <f ca="1">VLOOKUP(M899,'Payment Method'!$A$8:$B$12,2,0)</f>
        <v>3.5000000000000003E-2</v>
      </c>
      <c r="S899" s="9">
        <f t="shared" ca="1" si="168"/>
        <v>1.0150000000000006</v>
      </c>
      <c r="T899" s="8">
        <v>0.01</v>
      </c>
      <c r="U899" s="9">
        <f t="shared" ca="1" si="169"/>
        <v>0.27984999999999971</v>
      </c>
      <c r="V899" s="7">
        <f t="shared" ca="1" si="170"/>
        <v>0</v>
      </c>
      <c r="W899" s="7">
        <f t="shared" ca="1" si="171"/>
        <v>27.70515</v>
      </c>
      <c r="X899" s="5" t="str">
        <f t="shared" ref="X899:X962" ca="1" si="179">CHOOSE(RANDBETWEEN(1,3),"Facebook","Instagram","Tiktok")</f>
        <v>Tiktok</v>
      </c>
      <c r="Y899" s="78" t="str">
        <f>IF(COUNTIF($C$1:C898,B898)=1,10,"")</f>
        <v/>
      </c>
    </row>
    <row r="900" spans="1:25" x14ac:dyDescent="0.3">
      <c r="A900" s="75">
        <v>899</v>
      </c>
      <c r="B900" s="6">
        <v>46160</v>
      </c>
      <c r="C900" s="6">
        <v>46161</v>
      </c>
      <c r="D900" s="17" t="str">
        <f t="shared" si="172"/>
        <v>May</v>
      </c>
      <c r="E900" s="5" t="str">
        <f t="shared" ca="1" si="173"/>
        <v>STU-471</v>
      </c>
      <c r="F900" s="5" t="str">
        <f ca="1">IF(COUNTIF($E$2:E900,E900)=1,"New Customer","Returning Customer")</f>
        <v>Returning Customer</v>
      </c>
      <c r="G900" s="5" t="str">
        <f t="shared" ca="1" si="174"/>
        <v>Female</v>
      </c>
      <c r="H900" s="5" t="s">
        <v>140</v>
      </c>
      <c r="I900" s="5" t="str" cm="1">
        <f t="array" aca="1" ref="I900" ca="1">INDEX(Courses!$B$9:$B$16,RANDBETWEEN(1,8))</f>
        <v>Complete Excel Course</v>
      </c>
      <c r="J900" s="5" t="str">
        <f ca="1">VLOOKUP(I900,Courses!$B$9:$C$16,2,0)</f>
        <v>Microsoft Office</v>
      </c>
      <c r="K900" s="7">
        <f ca="1">VLOOKUP(I900,Courses!$B$9:$D$16,3,0)</f>
        <v>59</v>
      </c>
      <c r="L900" s="5" t="str">
        <f t="shared" ca="1" si="175"/>
        <v>Paid</v>
      </c>
      <c r="M900" s="8" t="str" cm="1">
        <f t="array" aca="1" ref="M900" ca="1">INDEX('Payment Method'!$A$8:$A$12,RANDBETWEEN(1,5))</f>
        <v>Visa Credit</v>
      </c>
      <c r="N900" s="7">
        <f>IFERROR(SUMIF(Holiday!$A$8:$A$11,B900,Holiday!$C$8:$C$11),0)</f>
        <v>0</v>
      </c>
      <c r="O900" s="7">
        <f t="shared" ca="1" si="176"/>
        <v>59</v>
      </c>
      <c r="P900" s="19">
        <f t="shared" ca="1" si="177"/>
        <v>56.935000000000002</v>
      </c>
      <c r="Q900" s="7">
        <f t="shared" ca="1" si="178"/>
        <v>0</v>
      </c>
      <c r="R900" s="8">
        <f ca="1">VLOOKUP(M900,'Payment Method'!$A$8:$B$12,2,0)</f>
        <v>3.5000000000000003E-2</v>
      </c>
      <c r="S900" s="9">
        <f t="shared" ca="1" si="168"/>
        <v>2.0649999999999977</v>
      </c>
      <c r="T900" s="8">
        <v>0.01</v>
      </c>
      <c r="U900" s="9">
        <f t="shared" ca="1" si="169"/>
        <v>0.56935000000000002</v>
      </c>
      <c r="V900" s="7">
        <f t="shared" ca="1" si="170"/>
        <v>0</v>
      </c>
      <c r="W900" s="7">
        <f t="shared" ca="1" si="171"/>
        <v>56.365650000000002</v>
      </c>
      <c r="X900" s="5" t="str">
        <f t="shared" ca="1" si="179"/>
        <v>Tiktok</v>
      </c>
      <c r="Y900" s="78" t="str">
        <f>IF(COUNTIF($C$1:C899,B899)=1,10,"")</f>
        <v/>
      </c>
    </row>
    <row r="901" spans="1:25" x14ac:dyDescent="0.3">
      <c r="A901" s="76">
        <v>900</v>
      </c>
      <c r="B901" s="6">
        <v>46167</v>
      </c>
      <c r="C901" s="6">
        <v>46170</v>
      </c>
      <c r="D901" s="17" t="str">
        <f t="shared" si="172"/>
        <v>May</v>
      </c>
      <c r="E901" s="5" t="str">
        <f t="shared" ca="1" si="173"/>
        <v>STU-713</v>
      </c>
      <c r="F901" s="5" t="str">
        <f ca="1">IF(COUNTIF($E$2:E901,E901)=1,"New Customer","Returning Customer")</f>
        <v>New Customer</v>
      </c>
      <c r="G901" s="5" t="str">
        <f t="shared" ca="1" si="174"/>
        <v>Female</v>
      </c>
      <c r="H901" s="5" t="s">
        <v>140</v>
      </c>
      <c r="I901" s="5" t="str" cm="1">
        <f t="array" aca="1" ref="I901" ca="1">INDEX(Courses!$B$9:$B$16,RANDBETWEEN(1,8))</f>
        <v>Microsoft Word</v>
      </c>
      <c r="J901" s="5" t="str">
        <f ca="1">VLOOKUP(I901,Courses!$B$9:$C$16,2,0)</f>
        <v>Microsoft Office</v>
      </c>
      <c r="K901" s="7">
        <f ca="1">VLOOKUP(I901,Courses!$B$9:$D$16,3,0)</f>
        <v>29</v>
      </c>
      <c r="L901" s="5" t="str">
        <f t="shared" ca="1" si="175"/>
        <v>Pending</v>
      </c>
      <c r="M901" s="8" t="str" cm="1">
        <f t="array" aca="1" ref="M901" ca="1">INDEX('Payment Method'!$A$8:$A$12,RANDBETWEEN(1,5))</f>
        <v>Visa Credit</v>
      </c>
      <c r="N901" s="7">
        <f>IFERROR(SUMIF(Holiday!$A$8:$A$11,B901,Holiday!$C$8:$C$11),0)</f>
        <v>0</v>
      </c>
      <c r="O901" s="7">
        <f t="shared" ca="1" si="176"/>
        <v>29</v>
      </c>
      <c r="P901" s="19">
        <f t="shared" ca="1" si="177"/>
        <v>27.984999999999999</v>
      </c>
      <c r="Q901" s="7">
        <f t="shared" ca="1" si="178"/>
        <v>27.70515</v>
      </c>
      <c r="R901" s="8">
        <f ca="1">VLOOKUP(M901,'Payment Method'!$A$8:$B$12,2,0)</f>
        <v>3.5000000000000003E-2</v>
      </c>
      <c r="S901" s="9">
        <f t="shared" ca="1" si="168"/>
        <v>1.0150000000000006</v>
      </c>
      <c r="T901" s="8">
        <v>0.01</v>
      </c>
      <c r="U901" s="9">
        <f t="shared" ca="1" si="169"/>
        <v>0.27984999999999971</v>
      </c>
      <c r="V901" s="7">
        <f t="shared" ca="1" si="170"/>
        <v>0</v>
      </c>
      <c r="W901" s="7">
        <f t="shared" ca="1" si="171"/>
        <v>0</v>
      </c>
      <c r="X901" s="5" t="str">
        <f t="shared" ca="1" si="179"/>
        <v>Tiktok</v>
      </c>
      <c r="Y901" s="78" t="str">
        <f>IF(COUNTIF($C$1:C900,B900)=1,10,"")</f>
        <v/>
      </c>
    </row>
    <row r="902" spans="1:25" x14ac:dyDescent="0.3">
      <c r="A902" s="75">
        <v>901</v>
      </c>
      <c r="B902" s="6">
        <v>46056</v>
      </c>
      <c r="C902" s="6">
        <v>46058</v>
      </c>
      <c r="D902" s="17" t="str">
        <f t="shared" si="172"/>
        <v>February</v>
      </c>
      <c r="E902" s="5" t="str">
        <f t="shared" ca="1" si="173"/>
        <v>STU-437</v>
      </c>
      <c r="F902" s="5" t="str">
        <f ca="1">IF(COUNTIF($E$2:E902,E902)=1,"New Customer","Returning Customer")</f>
        <v>New Customer</v>
      </c>
      <c r="G902" s="5" t="str">
        <f t="shared" ca="1" si="174"/>
        <v>Male</v>
      </c>
      <c r="H902" s="5" t="s">
        <v>140</v>
      </c>
      <c r="I902" s="5" t="str" cm="1">
        <f t="array" aca="1" ref="I902" ca="1">INDEX(Courses!$B$9:$B$16,RANDBETWEEN(1,8))</f>
        <v>PowerPoint</v>
      </c>
      <c r="J902" s="5" t="str">
        <f ca="1">VLOOKUP(I902,Courses!$B$9:$C$16,2,0)</f>
        <v>Microsoft Office</v>
      </c>
      <c r="K902" s="7">
        <f ca="1">VLOOKUP(I902,Courses!$B$9:$D$16,3,0)</f>
        <v>29</v>
      </c>
      <c r="L902" s="5" t="str">
        <f t="shared" ca="1" si="175"/>
        <v>Paid</v>
      </c>
      <c r="M902" s="8" t="str" cm="1">
        <f t="array" aca="1" ref="M902" ca="1">INDEX('Payment Method'!$A$8:$A$12,RANDBETWEEN(1,5))</f>
        <v>Mastercard Credit</v>
      </c>
      <c r="N902" s="7">
        <f>IFERROR(SUMIF(Holiday!$A$8:$A$11,B902,Holiday!$C$8:$C$11),0)</f>
        <v>0</v>
      </c>
      <c r="O902" s="7">
        <f t="shared" ca="1" si="176"/>
        <v>29</v>
      </c>
      <c r="P902" s="19">
        <f t="shared" ca="1" si="177"/>
        <v>27.984999999999999</v>
      </c>
      <c r="Q902" s="7">
        <f t="shared" ca="1" si="178"/>
        <v>0</v>
      </c>
      <c r="R902" s="8">
        <f ca="1">VLOOKUP(M902,'Payment Method'!$A$8:$B$12,2,0)</f>
        <v>3.5000000000000003E-2</v>
      </c>
      <c r="S902" s="9">
        <f t="shared" ca="1" si="168"/>
        <v>1.0150000000000006</v>
      </c>
      <c r="T902" s="8">
        <v>0.01</v>
      </c>
      <c r="U902" s="9">
        <f t="shared" ca="1" si="169"/>
        <v>0.27984999999999971</v>
      </c>
      <c r="V902" s="7">
        <f t="shared" ca="1" si="170"/>
        <v>0</v>
      </c>
      <c r="W902" s="7">
        <f t="shared" ca="1" si="171"/>
        <v>27.70515</v>
      </c>
      <c r="X902" s="5" t="str">
        <f t="shared" ca="1" si="179"/>
        <v>Facebook</v>
      </c>
      <c r="Y902" s="78" t="str">
        <f>IF(COUNTIF($C$1:C901,B901)=1,10,"")</f>
        <v/>
      </c>
    </row>
    <row r="903" spans="1:25" x14ac:dyDescent="0.3">
      <c r="A903" s="76">
        <v>902</v>
      </c>
      <c r="B903" s="6">
        <v>46054</v>
      </c>
      <c r="C903" s="6">
        <v>46055</v>
      </c>
      <c r="D903" s="17" t="str">
        <f t="shared" si="172"/>
        <v>February</v>
      </c>
      <c r="E903" s="5" t="str">
        <f t="shared" ca="1" si="173"/>
        <v>STU-730</v>
      </c>
      <c r="F903" s="5" t="str">
        <f ca="1">IF(COUNTIF($E$2:E903,E903)=1,"New Customer","Returning Customer")</f>
        <v>Returning Customer</v>
      </c>
      <c r="G903" s="5" t="str">
        <f t="shared" ca="1" si="174"/>
        <v>Male</v>
      </c>
      <c r="H903" s="5" t="s">
        <v>142</v>
      </c>
      <c r="I903" s="5" t="str" cm="1">
        <f t="array" aca="1" ref="I903" ca="1">INDEX(Courses!$B$9:$B$16,RANDBETWEEN(1,8))</f>
        <v>Power BI</v>
      </c>
      <c r="J903" s="5" t="str">
        <f ca="1">VLOOKUP(I903,Courses!$B$9:$C$16,2,0)</f>
        <v>Data Analytics</v>
      </c>
      <c r="K903" s="7">
        <f ca="1">VLOOKUP(I903,Courses!$B$9:$D$16,3,0)</f>
        <v>59</v>
      </c>
      <c r="L903" s="5" t="str">
        <f t="shared" ca="1" si="175"/>
        <v>Paid</v>
      </c>
      <c r="M903" s="8" t="str" cm="1">
        <f t="array" aca="1" ref="M903" ca="1">INDEX('Payment Method'!$A$8:$A$12,RANDBETWEEN(1,5))</f>
        <v>Visa Debit</v>
      </c>
      <c r="N903" s="7">
        <f>IFERROR(SUMIF(Holiday!$A$8:$A$11,B903,Holiday!$C$8:$C$11),0)</f>
        <v>0</v>
      </c>
      <c r="O903" s="7">
        <f t="shared" ca="1" si="176"/>
        <v>59</v>
      </c>
      <c r="P903" s="19">
        <f t="shared" ca="1" si="177"/>
        <v>57.82</v>
      </c>
      <c r="Q903" s="7">
        <f t="shared" ca="1" si="178"/>
        <v>0</v>
      </c>
      <c r="R903" s="8">
        <f ca="1">VLOOKUP(M903,'Payment Method'!$A$8:$B$12,2,0)</f>
        <v>0.02</v>
      </c>
      <c r="S903" s="9">
        <f t="shared" ca="1" si="168"/>
        <v>1.1799999999999997</v>
      </c>
      <c r="T903" s="8">
        <v>0.01</v>
      </c>
      <c r="U903" s="9">
        <f t="shared" ca="1" si="169"/>
        <v>0.57820000000000249</v>
      </c>
      <c r="V903" s="7">
        <f t="shared" ca="1" si="170"/>
        <v>0</v>
      </c>
      <c r="W903" s="7">
        <f t="shared" ca="1" si="171"/>
        <v>57.241799999999998</v>
      </c>
      <c r="X903" s="5" t="str">
        <f t="shared" ca="1" si="179"/>
        <v>Facebook</v>
      </c>
      <c r="Y903" s="78" t="str">
        <f>IF(COUNTIF($C$1:C902,B902)=1,10,"")</f>
        <v/>
      </c>
    </row>
    <row r="904" spans="1:25" x14ac:dyDescent="0.3">
      <c r="A904" s="75">
        <v>903</v>
      </c>
      <c r="B904" s="6">
        <v>46208</v>
      </c>
      <c r="C904" s="6">
        <v>46208</v>
      </c>
      <c r="D904" s="17" t="str">
        <f t="shared" si="172"/>
        <v>July</v>
      </c>
      <c r="E904" s="5" t="str">
        <f t="shared" ca="1" si="173"/>
        <v>STU-909</v>
      </c>
      <c r="F904" s="5" t="str">
        <f ca="1">IF(COUNTIF($E$2:E904,E904)=1,"New Customer","Returning Customer")</f>
        <v>Returning Customer</v>
      </c>
      <c r="G904" s="5" t="str">
        <f t="shared" ca="1" si="174"/>
        <v>Not specified</v>
      </c>
      <c r="H904" s="5" t="s">
        <v>141</v>
      </c>
      <c r="I904" s="5" t="str" cm="1">
        <f t="array" aca="1" ref="I904" ca="1">INDEX(Courses!$B$9:$B$16,RANDBETWEEN(1,8))</f>
        <v>Power BI</v>
      </c>
      <c r="J904" s="5" t="str">
        <f ca="1">VLOOKUP(I904,Courses!$B$9:$C$16,2,0)</f>
        <v>Data Analytics</v>
      </c>
      <c r="K904" s="7">
        <f ca="1">VLOOKUP(I904,Courses!$B$9:$D$16,3,0)</f>
        <v>59</v>
      </c>
      <c r="L904" s="5" t="str">
        <f t="shared" ca="1" si="175"/>
        <v>Paid</v>
      </c>
      <c r="M904" s="8" t="str" cm="1">
        <f t="array" aca="1" ref="M904" ca="1">INDEX('Payment Method'!$A$8:$A$12,RANDBETWEEN(1,5))</f>
        <v>Visa Debit</v>
      </c>
      <c r="N904" s="7">
        <f>IFERROR(SUMIF(Holiday!$A$8:$A$11,B904,Holiday!$C$8:$C$11),0)</f>
        <v>0</v>
      </c>
      <c r="O904" s="7">
        <f t="shared" ca="1" si="176"/>
        <v>59</v>
      </c>
      <c r="P904" s="19">
        <f t="shared" ca="1" si="177"/>
        <v>57.82</v>
      </c>
      <c r="Q904" s="7">
        <f t="shared" ca="1" si="178"/>
        <v>0</v>
      </c>
      <c r="R904" s="8">
        <f ca="1">VLOOKUP(M904,'Payment Method'!$A$8:$B$12,2,0)</f>
        <v>0.02</v>
      </c>
      <c r="S904" s="9">
        <f t="shared" ca="1" si="168"/>
        <v>1.1799999999999997</v>
      </c>
      <c r="T904" s="8">
        <v>0.01</v>
      </c>
      <c r="U904" s="9">
        <f t="shared" ca="1" si="169"/>
        <v>0.57820000000000249</v>
      </c>
      <c r="V904" s="7">
        <f t="shared" ca="1" si="170"/>
        <v>0</v>
      </c>
      <c r="W904" s="7">
        <f t="shared" ca="1" si="171"/>
        <v>57.241799999999998</v>
      </c>
      <c r="X904" s="5" t="str">
        <f t="shared" ca="1" si="179"/>
        <v>Facebook</v>
      </c>
      <c r="Y904" s="78" t="str">
        <f>IF(COUNTIF($C$1:C903,B903)=1,10,"")</f>
        <v/>
      </c>
    </row>
    <row r="905" spans="1:25" x14ac:dyDescent="0.3">
      <c r="A905" s="76">
        <v>904</v>
      </c>
      <c r="B905" s="6">
        <v>46187</v>
      </c>
      <c r="C905" s="6">
        <v>46192</v>
      </c>
      <c r="D905" s="17" t="str">
        <f t="shared" si="172"/>
        <v>June</v>
      </c>
      <c r="E905" s="5" t="str">
        <f t="shared" ca="1" si="173"/>
        <v>STU-251</v>
      </c>
      <c r="F905" s="5" t="str">
        <f ca="1">IF(COUNTIF($E$2:E905,E905)=1,"New Customer","Returning Customer")</f>
        <v>Returning Customer</v>
      </c>
      <c r="G905" s="5" t="str">
        <f t="shared" ca="1" si="174"/>
        <v>Male</v>
      </c>
      <c r="H905" s="5" t="s">
        <v>135</v>
      </c>
      <c r="I905" s="5" t="str" cm="1">
        <f t="array" aca="1" ref="I905" ca="1">INDEX(Courses!$B$9:$B$16,RANDBETWEEN(1,8))</f>
        <v>Excel Basics</v>
      </c>
      <c r="J905" s="5" t="str">
        <f ca="1">VLOOKUP(I905,Courses!$B$9:$C$16,2,0)</f>
        <v>Microsoft Office</v>
      </c>
      <c r="K905" s="7">
        <f ca="1">VLOOKUP(I905,Courses!$B$9:$D$16,3,0)</f>
        <v>29</v>
      </c>
      <c r="L905" s="5" t="str">
        <f t="shared" ca="1" si="175"/>
        <v>Refunded</v>
      </c>
      <c r="M905" s="8" t="str" cm="1">
        <f t="array" aca="1" ref="M905" ca="1">INDEX('Payment Method'!$A$8:$A$12,RANDBETWEEN(1,5))</f>
        <v>Mastercard Credit</v>
      </c>
      <c r="N905" s="7">
        <f>IFERROR(SUMIF(Holiday!$A$8:$A$11,B905,Holiday!$C$8:$C$11),0)</f>
        <v>0</v>
      </c>
      <c r="O905" s="7">
        <f t="shared" ca="1" si="176"/>
        <v>29</v>
      </c>
      <c r="P905" s="19">
        <f t="shared" ca="1" si="177"/>
        <v>27.984999999999999</v>
      </c>
      <c r="Q905" s="7">
        <f t="shared" ca="1" si="178"/>
        <v>0</v>
      </c>
      <c r="R905" s="8">
        <f ca="1">VLOOKUP(M905,'Payment Method'!$A$8:$B$12,2,0)</f>
        <v>3.5000000000000003E-2</v>
      </c>
      <c r="S905" s="9">
        <f t="shared" ca="1" si="168"/>
        <v>1.0150000000000006</v>
      </c>
      <c r="T905" s="8">
        <v>0.01</v>
      </c>
      <c r="U905" s="9">
        <f t="shared" ca="1" si="169"/>
        <v>0.27984999999999971</v>
      </c>
      <c r="V905" s="7">
        <f t="shared" ca="1" si="170"/>
        <v>27.70515</v>
      </c>
      <c r="W905" s="7">
        <f t="shared" ca="1" si="171"/>
        <v>0</v>
      </c>
      <c r="X905" s="5" t="str">
        <f t="shared" ca="1" si="179"/>
        <v>Facebook</v>
      </c>
      <c r="Y905" s="78" t="str">
        <f>IF(COUNTIF($C$1:C904,B904)=1,10,"")</f>
        <v/>
      </c>
    </row>
    <row r="906" spans="1:25" x14ac:dyDescent="0.3">
      <c r="A906" s="75">
        <v>905</v>
      </c>
      <c r="B906" s="6">
        <v>46116</v>
      </c>
      <c r="C906" s="6">
        <v>46117</v>
      </c>
      <c r="D906" s="17" t="str">
        <f t="shared" si="172"/>
        <v>April</v>
      </c>
      <c r="E906" s="5" t="str">
        <f t="shared" ca="1" si="173"/>
        <v>STU-880</v>
      </c>
      <c r="F906" s="5" t="str">
        <f ca="1">IF(COUNTIF($E$2:E906,E906)=1,"New Customer","Returning Customer")</f>
        <v>New Customer</v>
      </c>
      <c r="G906" s="5" t="str">
        <f t="shared" ca="1" si="174"/>
        <v>Male</v>
      </c>
      <c r="H906" s="5" t="s">
        <v>138</v>
      </c>
      <c r="I906" s="5" t="str" cm="1">
        <f t="array" aca="1" ref="I906" ca="1">INDEX(Courses!$B$9:$B$16,RANDBETWEEN(1,8))</f>
        <v>PowerPoint</v>
      </c>
      <c r="J906" s="5" t="str">
        <f ca="1">VLOOKUP(I906,Courses!$B$9:$C$16,2,0)</f>
        <v>Microsoft Office</v>
      </c>
      <c r="K906" s="7">
        <f ca="1">VLOOKUP(I906,Courses!$B$9:$D$16,3,0)</f>
        <v>29</v>
      </c>
      <c r="L906" s="5" t="str">
        <f t="shared" ca="1" si="175"/>
        <v>Pending</v>
      </c>
      <c r="M906" s="8" t="str" cm="1">
        <f t="array" aca="1" ref="M906" ca="1">INDEX('Payment Method'!$A$8:$A$12,RANDBETWEEN(1,5))</f>
        <v>Mastercard Debit</v>
      </c>
      <c r="N906" s="7">
        <f>IFERROR(SUMIF(Holiday!$A$8:$A$11,B906,Holiday!$C$8:$C$11),0)</f>
        <v>0</v>
      </c>
      <c r="O906" s="7">
        <f t="shared" ca="1" si="176"/>
        <v>29</v>
      </c>
      <c r="P906" s="19">
        <f t="shared" ca="1" si="177"/>
        <v>28.42</v>
      </c>
      <c r="Q906" s="7">
        <f t="shared" ca="1" si="178"/>
        <v>28.135800000000003</v>
      </c>
      <c r="R906" s="8">
        <f ca="1">VLOOKUP(M906,'Payment Method'!$A$8:$B$12,2,0)</f>
        <v>0.02</v>
      </c>
      <c r="S906" s="9">
        <f t="shared" ca="1" si="168"/>
        <v>0.57999999999999829</v>
      </c>
      <c r="T906" s="8">
        <v>0.01</v>
      </c>
      <c r="U906" s="9">
        <f t="shared" ca="1" si="169"/>
        <v>0.28419999999999845</v>
      </c>
      <c r="V906" s="7">
        <f t="shared" ca="1" si="170"/>
        <v>0</v>
      </c>
      <c r="W906" s="7">
        <f t="shared" ca="1" si="171"/>
        <v>0</v>
      </c>
      <c r="X906" s="5" t="str">
        <f t="shared" ca="1" si="179"/>
        <v>Tiktok</v>
      </c>
      <c r="Y906" s="78" t="str">
        <f>IF(COUNTIF($C$1:C905,B905)=1,10,"")</f>
        <v/>
      </c>
    </row>
    <row r="907" spans="1:25" x14ac:dyDescent="0.3">
      <c r="A907" s="76">
        <v>906</v>
      </c>
      <c r="B907" s="6">
        <v>46227</v>
      </c>
      <c r="C907" s="6">
        <v>46231</v>
      </c>
      <c r="D907" s="17" t="str">
        <f t="shared" si="172"/>
        <v>July</v>
      </c>
      <c r="E907" s="5" t="str">
        <f t="shared" ca="1" si="173"/>
        <v>STU-858</v>
      </c>
      <c r="F907" s="5" t="str">
        <f ca="1">IF(COUNTIF($E$2:E907,E907)=1,"New Customer","Returning Customer")</f>
        <v>Returning Customer</v>
      </c>
      <c r="G907" s="5" t="str">
        <f t="shared" ca="1" si="174"/>
        <v>Male</v>
      </c>
      <c r="H907" s="5" t="s">
        <v>141</v>
      </c>
      <c r="I907" s="5" t="str" cm="1">
        <f t="array" aca="1" ref="I907" ca="1">INDEX(Courses!$B$9:$B$16,RANDBETWEEN(1,8))</f>
        <v>Complete Excel Course</v>
      </c>
      <c r="J907" s="5" t="str">
        <f ca="1">VLOOKUP(I907,Courses!$B$9:$C$16,2,0)</f>
        <v>Microsoft Office</v>
      </c>
      <c r="K907" s="7">
        <f ca="1">VLOOKUP(I907,Courses!$B$9:$D$16,3,0)</f>
        <v>59</v>
      </c>
      <c r="L907" s="5" t="str">
        <f t="shared" ca="1" si="175"/>
        <v>Pending</v>
      </c>
      <c r="M907" s="8" t="str" cm="1">
        <f t="array" aca="1" ref="M907" ca="1">INDEX('Payment Method'!$A$8:$A$12,RANDBETWEEN(1,5))</f>
        <v>Visa Debit</v>
      </c>
      <c r="N907" s="7">
        <f>IFERROR(SUMIF(Holiday!$A$8:$A$11,B907,Holiday!$C$8:$C$11),0)</f>
        <v>0</v>
      </c>
      <c r="O907" s="7">
        <f t="shared" ca="1" si="176"/>
        <v>59</v>
      </c>
      <c r="P907" s="19">
        <f t="shared" ca="1" si="177"/>
        <v>57.82</v>
      </c>
      <c r="Q907" s="7">
        <f t="shared" ca="1" si="178"/>
        <v>57.241799999999998</v>
      </c>
      <c r="R907" s="8">
        <f ca="1">VLOOKUP(M907,'Payment Method'!$A$8:$B$12,2,0)</f>
        <v>0.02</v>
      </c>
      <c r="S907" s="9">
        <f t="shared" ca="1" si="168"/>
        <v>1.1799999999999997</v>
      </c>
      <c r="T907" s="8">
        <v>0.01</v>
      </c>
      <c r="U907" s="9">
        <f t="shared" ca="1" si="169"/>
        <v>0.57820000000000249</v>
      </c>
      <c r="V907" s="7">
        <f t="shared" ca="1" si="170"/>
        <v>0</v>
      </c>
      <c r="W907" s="7">
        <f t="shared" ca="1" si="171"/>
        <v>0</v>
      </c>
      <c r="X907" s="5" t="str">
        <f t="shared" ca="1" si="179"/>
        <v>Tiktok</v>
      </c>
      <c r="Y907" s="78" t="str">
        <f>IF(COUNTIF($C$1:C906,B906)=1,10,"")</f>
        <v/>
      </c>
    </row>
    <row r="908" spans="1:25" x14ac:dyDescent="0.3">
      <c r="A908" s="75">
        <v>907</v>
      </c>
      <c r="B908" s="6">
        <v>46089</v>
      </c>
      <c r="C908" s="6">
        <v>46089</v>
      </c>
      <c r="D908" s="17" t="str">
        <f t="shared" si="172"/>
        <v>March</v>
      </c>
      <c r="E908" s="5" t="str">
        <f t="shared" ca="1" si="173"/>
        <v>STU-198</v>
      </c>
      <c r="F908" s="5" t="str">
        <f ca="1">IF(COUNTIF($E$2:E908,E908)=1,"New Customer","Returning Customer")</f>
        <v>New Customer</v>
      </c>
      <c r="G908" s="5" t="str">
        <f t="shared" ca="1" si="174"/>
        <v>Not specified</v>
      </c>
      <c r="H908" s="5" t="s">
        <v>136</v>
      </c>
      <c r="I908" s="5" t="str" cm="1">
        <f t="array" aca="1" ref="I908" ca="1">INDEX(Courses!$B$9:$B$16,RANDBETWEEN(1,8))</f>
        <v>Adolescent Psychology</v>
      </c>
      <c r="J908" s="5" t="str">
        <f ca="1">VLOOKUP(I908,Courses!$B$9:$C$16,2,0)</f>
        <v>Psychology</v>
      </c>
      <c r="K908" s="7">
        <f ca="1">VLOOKUP(I908,Courses!$B$9:$D$16,3,0)</f>
        <v>29</v>
      </c>
      <c r="L908" s="5" t="str">
        <f t="shared" ca="1" si="175"/>
        <v>Paid</v>
      </c>
      <c r="M908" s="8" t="str" cm="1">
        <f t="array" aca="1" ref="M908" ca="1">INDEX('Payment Method'!$A$8:$A$12,RANDBETWEEN(1,5))</f>
        <v>Bank Transfer</v>
      </c>
      <c r="N908" s="7">
        <f>IFERROR(SUMIF(Holiday!$A$8:$A$11,B908,Holiday!$C$8:$C$11),0)</f>
        <v>0</v>
      </c>
      <c r="O908" s="7">
        <f t="shared" ca="1" si="176"/>
        <v>29</v>
      </c>
      <c r="P908" s="19">
        <f t="shared" ca="1" si="177"/>
        <v>29</v>
      </c>
      <c r="Q908" s="7">
        <f t="shared" ca="1" si="178"/>
        <v>0</v>
      </c>
      <c r="R908" s="8">
        <f ca="1">VLOOKUP(M908,'Payment Method'!$A$8:$B$12,2,0)</f>
        <v>0</v>
      </c>
      <c r="S908" s="9">
        <f t="shared" ca="1" si="168"/>
        <v>0</v>
      </c>
      <c r="T908" s="8">
        <v>0.01</v>
      </c>
      <c r="U908" s="9">
        <f t="shared" ca="1" si="169"/>
        <v>0.28999999999999915</v>
      </c>
      <c r="V908" s="7">
        <f t="shared" ca="1" si="170"/>
        <v>0</v>
      </c>
      <c r="W908" s="7">
        <f t="shared" ca="1" si="171"/>
        <v>28.71</v>
      </c>
      <c r="X908" s="5" t="str">
        <f t="shared" ca="1" si="179"/>
        <v>Facebook</v>
      </c>
      <c r="Y908" s="78" t="str">
        <f>IF(COUNTIF($C$1:C907,B907)=1,10,"")</f>
        <v/>
      </c>
    </row>
    <row r="909" spans="1:25" x14ac:dyDescent="0.3">
      <c r="A909" s="76">
        <v>908</v>
      </c>
      <c r="B909" s="6">
        <v>46117</v>
      </c>
      <c r="C909" s="6">
        <v>46122</v>
      </c>
      <c r="D909" s="17" t="str">
        <f t="shared" si="172"/>
        <v>April</v>
      </c>
      <c r="E909" s="5" t="str">
        <f t="shared" ca="1" si="173"/>
        <v>STU-744</v>
      </c>
      <c r="F909" s="5" t="str">
        <f ca="1">IF(COUNTIF($E$2:E909,E909)=1,"New Customer","Returning Customer")</f>
        <v>New Customer</v>
      </c>
      <c r="G909" s="5" t="str">
        <f t="shared" ca="1" si="174"/>
        <v>Male</v>
      </c>
      <c r="H909" s="5" t="s">
        <v>138</v>
      </c>
      <c r="I909" s="5" t="str" cm="1">
        <f t="array" aca="1" ref="I909" ca="1">INDEX(Courses!$B$9:$B$16,RANDBETWEEN(1,8))</f>
        <v>PowerPoint</v>
      </c>
      <c r="J909" s="5" t="str">
        <f ca="1">VLOOKUP(I909,Courses!$B$9:$C$16,2,0)</f>
        <v>Microsoft Office</v>
      </c>
      <c r="K909" s="7">
        <f ca="1">VLOOKUP(I909,Courses!$B$9:$D$16,3,0)</f>
        <v>29</v>
      </c>
      <c r="L909" s="5" t="str">
        <f t="shared" ca="1" si="175"/>
        <v>Paid</v>
      </c>
      <c r="M909" s="8" t="str" cm="1">
        <f t="array" aca="1" ref="M909" ca="1">INDEX('Payment Method'!$A$8:$A$12,RANDBETWEEN(1,5))</f>
        <v>Mastercard Credit</v>
      </c>
      <c r="N909" s="7">
        <f>IFERROR(SUMIF(Holiday!$A$8:$A$11,B909,Holiday!$C$8:$C$11),0)</f>
        <v>0</v>
      </c>
      <c r="O909" s="7">
        <f t="shared" ca="1" si="176"/>
        <v>29</v>
      </c>
      <c r="P909" s="19">
        <f t="shared" ca="1" si="177"/>
        <v>27.984999999999999</v>
      </c>
      <c r="Q909" s="7">
        <f t="shared" ca="1" si="178"/>
        <v>0</v>
      </c>
      <c r="R909" s="8">
        <f ca="1">VLOOKUP(M909,'Payment Method'!$A$8:$B$12,2,0)</f>
        <v>3.5000000000000003E-2</v>
      </c>
      <c r="S909" s="9">
        <f t="shared" ca="1" si="168"/>
        <v>1.0150000000000006</v>
      </c>
      <c r="T909" s="8">
        <v>0.01</v>
      </c>
      <c r="U909" s="9">
        <f t="shared" ca="1" si="169"/>
        <v>0.27984999999999971</v>
      </c>
      <c r="V909" s="7">
        <f t="shared" ca="1" si="170"/>
        <v>0</v>
      </c>
      <c r="W909" s="7">
        <f t="shared" ca="1" si="171"/>
        <v>27.70515</v>
      </c>
      <c r="X909" s="5" t="str">
        <f t="shared" ca="1" si="179"/>
        <v>Instagram</v>
      </c>
      <c r="Y909" s="78" t="str">
        <f>IF(COUNTIF($C$1:C908,B908)=1,10,"")</f>
        <v/>
      </c>
    </row>
    <row r="910" spans="1:25" x14ac:dyDescent="0.3">
      <c r="A910" s="75">
        <v>909</v>
      </c>
      <c r="B910" s="6">
        <v>46055</v>
      </c>
      <c r="C910" s="6">
        <v>46055</v>
      </c>
      <c r="D910" s="17" t="str">
        <f t="shared" si="172"/>
        <v>February</v>
      </c>
      <c r="E910" s="5" t="str">
        <f t="shared" ca="1" si="173"/>
        <v>STU-872</v>
      </c>
      <c r="F910" s="5" t="str">
        <f ca="1">IF(COUNTIF($E$2:E910,E910)=1,"New Customer","Returning Customer")</f>
        <v>Returning Customer</v>
      </c>
      <c r="G910" s="5" t="str">
        <f t="shared" ca="1" si="174"/>
        <v>Female</v>
      </c>
      <c r="H910" s="5" t="s">
        <v>136</v>
      </c>
      <c r="I910" s="5" t="str" cm="1">
        <f t="array" aca="1" ref="I910" ca="1">INDEX(Courses!$B$9:$B$16,RANDBETWEEN(1,8))</f>
        <v>SQL</v>
      </c>
      <c r="J910" s="5" t="str">
        <f ca="1">VLOOKUP(I910,Courses!$B$9:$C$16,2,0)</f>
        <v>Data Analytics</v>
      </c>
      <c r="K910" s="7">
        <f ca="1">VLOOKUP(I910,Courses!$B$9:$D$16,3,0)</f>
        <v>99</v>
      </c>
      <c r="L910" s="5" t="str">
        <f t="shared" ca="1" si="175"/>
        <v>Pending</v>
      </c>
      <c r="M910" s="8" t="str" cm="1">
        <f t="array" aca="1" ref="M910" ca="1">INDEX('Payment Method'!$A$8:$A$12,RANDBETWEEN(1,5))</f>
        <v>Mastercard Credit</v>
      </c>
      <c r="N910" s="7">
        <f>IFERROR(SUMIF(Holiday!$A$8:$A$11,B910,Holiday!$C$8:$C$11),0)</f>
        <v>0</v>
      </c>
      <c r="O910" s="7">
        <f t="shared" ca="1" si="176"/>
        <v>99</v>
      </c>
      <c r="P910" s="19">
        <f t="shared" ca="1" si="177"/>
        <v>95.534999999999997</v>
      </c>
      <c r="Q910" s="7">
        <f t="shared" ca="1" si="178"/>
        <v>94.579650000000001</v>
      </c>
      <c r="R910" s="8">
        <f ca="1">VLOOKUP(M910,'Payment Method'!$A$8:$B$12,2,0)</f>
        <v>3.5000000000000003E-2</v>
      </c>
      <c r="S910" s="9">
        <f t="shared" ca="1" si="168"/>
        <v>3.4650000000000034</v>
      </c>
      <c r="T910" s="8">
        <v>0.01</v>
      </c>
      <c r="U910" s="9">
        <f t="shared" ca="1" si="169"/>
        <v>0.9553499999999957</v>
      </c>
      <c r="V910" s="7">
        <f t="shared" ca="1" si="170"/>
        <v>0</v>
      </c>
      <c r="W910" s="7">
        <f t="shared" ca="1" si="171"/>
        <v>0</v>
      </c>
      <c r="X910" s="5" t="str">
        <f t="shared" ca="1" si="179"/>
        <v>Tiktok</v>
      </c>
      <c r="Y910" s="78" t="str">
        <f>IF(COUNTIF($C$1:C909,B909)=1,10,"")</f>
        <v/>
      </c>
    </row>
    <row r="911" spans="1:25" x14ac:dyDescent="0.3">
      <c r="A911" s="76">
        <v>910</v>
      </c>
      <c r="B911" s="6">
        <v>46045</v>
      </c>
      <c r="C911" s="6">
        <v>46045</v>
      </c>
      <c r="D911" s="17" t="str">
        <f t="shared" si="172"/>
        <v>January</v>
      </c>
      <c r="E911" s="5" t="str">
        <f t="shared" ca="1" si="173"/>
        <v>STU-157</v>
      </c>
      <c r="F911" s="5" t="str">
        <f ca="1">IF(COUNTIF($E$2:E911,E911)=1,"New Customer","Returning Customer")</f>
        <v>Returning Customer</v>
      </c>
      <c r="G911" s="5" t="str">
        <f t="shared" ca="1" si="174"/>
        <v>Male</v>
      </c>
      <c r="H911" s="5" t="s">
        <v>136</v>
      </c>
      <c r="I911" s="5" t="str" cm="1">
        <f t="array" aca="1" ref="I911" ca="1">INDEX(Courses!$B$9:$B$16,RANDBETWEEN(1,8))</f>
        <v>Adolescent Psychology</v>
      </c>
      <c r="J911" s="5" t="str">
        <f ca="1">VLOOKUP(I911,Courses!$B$9:$C$16,2,0)</f>
        <v>Psychology</v>
      </c>
      <c r="K911" s="7">
        <f ca="1">VLOOKUP(I911,Courses!$B$9:$D$16,3,0)</f>
        <v>29</v>
      </c>
      <c r="L911" s="5" t="str">
        <f t="shared" ca="1" si="175"/>
        <v>Refunded</v>
      </c>
      <c r="M911" s="8" t="str" cm="1">
        <f t="array" aca="1" ref="M911" ca="1">INDEX('Payment Method'!$A$8:$A$12,RANDBETWEEN(1,5))</f>
        <v>Bank Transfer</v>
      </c>
      <c r="N911" s="7">
        <f>IFERROR(SUMIF(Holiday!$A$8:$A$11,B911,Holiday!$C$8:$C$11),0)</f>
        <v>0</v>
      </c>
      <c r="O911" s="7">
        <f t="shared" ca="1" si="176"/>
        <v>29</v>
      </c>
      <c r="P911" s="19">
        <f t="shared" ca="1" si="177"/>
        <v>29</v>
      </c>
      <c r="Q911" s="7">
        <f t="shared" ca="1" si="178"/>
        <v>0</v>
      </c>
      <c r="R911" s="8">
        <f ca="1">VLOOKUP(M911,'Payment Method'!$A$8:$B$12,2,0)</f>
        <v>0</v>
      </c>
      <c r="S911" s="9">
        <f t="shared" ca="1" si="168"/>
        <v>0</v>
      </c>
      <c r="T911" s="8">
        <v>0.01</v>
      </c>
      <c r="U911" s="9">
        <f t="shared" ca="1" si="169"/>
        <v>0.28999999999999915</v>
      </c>
      <c r="V911" s="7">
        <f t="shared" ca="1" si="170"/>
        <v>28.71</v>
      </c>
      <c r="W911" s="7">
        <f t="shared" ca="1" si="171"/>
        <v>0</v>
      </c>
      <c r="X911" s="5" t="str">
        <f t="shared" ca="1" si="179"/>
        <v>Instagram</v>
      </c>
      <c r="Y911" s="78" t="str">
        <f>IF(COUNTIF($C$1:C910,B910)=1,10,"")</f>
        <v/>
      </c>
    </row>
    <row r="912" spans="1:25" x14ac:dyDescent="0.3">
      <c r="A912" s="75">
        <v>911</v>
      </c>
      <c r="B912" s="6">
        <v>46057</v>
      </c>
      <c r="C912" s="6">
        <v>46062</v>
      </c>
      <c r="D912" s="17" t="str">
        <f t="shared" si="172"/>
        <v>February</v>
      </c>
      <c r="E912" s="5" t="str">
        <f t="shared" ca="1" si="173"/>
        <v>STU-127</v>
      </c>
      <c r="F912" s="5" t="str">
        <f ca="1">IF(COUNTIF($E$2:E912,E912)=1,"New Customer","Returning Customer")</f>
        <v>New Customer</v>
      </c>
      <c r="G912" s="5" t="str">
        <f t="shared" ca="1" si="174"/>
        <v>Female</v>
      </c>
      <c r="H912" s="5" t="s">
        <v>135</v>
      </c>
      <c r="I912" s="5" t="str" cm="1">
        <f t="array" aca="1" ref="I912" ca="1">INDEX(Courses!$B$9:$B$16,RANDBETWEEN(1,8))</f>
        <v>Tax Code</v>
      </c>
      <c r="J912" s="5" t="str">
        <f ca="1">VLOOKUP(I912,Courses!$B$9:$C$16,2,0)</f>
        <v>Finance &amp; Taxation</v>
      </c>
      <c r="K912" s="7">
        <f ca="1">VLOOKUP(I912,Courses!$B$9:$D$16,3,0)</f>
        <v>59</v>
      </c>
      <c r="L912" s="5" t="str">
        <f t="shared" ca="1" si="175"/>
        <v>Paid</v>
      </c>
      <c r="M912" s="8" t="str" cm="1">
        <f t="array" aca="1" ref="M912" ca="1">INDEX('Payment Method'!$A$8:$A$12,RANDBETWEEN(1,5))</f>
        <v>Visa Credit</v>
      </c>
      <c r="N912" s="7">
        <f>IFERROR(SUMIF(Holiday!$A$8:$A$11,B912,Holiday!$C$8:$C$11),0)</f>
        <v>0</v>
      </c>
      <c r="O912" s="7">
        <f t="shared" ca="1" si="176"/>
        <v>59</v>
      </c>
      <c r="P912" s="19">
        <f t="shared" ca="1" si="177"/>
        <v>56.935000000000002</v>
      </c>
      <c r="Q912" s="7">
        <f t="shared" ca="1" si="178"/>
        <v>0</v>
      </c>
      <c r="R912" s="8">
        <f ca="1">VLOOKUP(M912,'Payment Method'!$A$8:$B$12,2,0)</f>
        <v>3.5000000000000003E-2</v>
      </c>
      <c r="S912" s="9">
        <f t="shared" ca="1" si="168"/>
        <v>2.0649999999999977</v>
      </c>
      <c r="T912" s="8">
        <v>0.01</v>
      </c>
      <c r="U912" s="9">
        <f t="shared" ca="1" si="169"/>
        <v>0.56935000000000002</v>
      </c>
      <c r="V912" s="7">
        <f t="shared" ca="1" si="170"/>
        <v>0</v>
      </c>
      <c r="W912" s="7">
        <f t="shared" ca="1" si="171"/>
        <v>56.365650000000002</v>
      </c>
      <c r="X912" s="5" t="str">
        <f t="shared" ca="1" si="179"/>
        <v>Instagram</v>
      </c>
      <c r="Y912" s="78" t="str">
        <f>IF(COUNTIF($C$1:C911,B911)=1,10,"")</f>
        <v/>
      </c>
    </row>
    <row r="913" spans="1:25" x14ac:dyDescent="0.3">
      <c r="A913" s="76">
        <v>912</v>
      </c>
      <c r="B913" s="6">
        <v>46073</v>
      </c>
      <c r="C913" s="6">
        <v>46078</v>
      </c>
      <c r="D913" s="17" t="str">
        <f t="shared" si="172"/>
        <v>February</v>
      </c>
      <c r="E913" s="5" t="str">
        <f t="shared" ca="1" si="173"/>
        <v>STU-58</v>
      </c>
      <c r="F913" s="5" t="str">
        <f ca="1">IF(COUNTIF($E$2:E913,E913)=1,"New Customer","Returning Customer")</f>
        <v>Returning Customer</v>
      </c>
      <c r="G913" s="5" t="str">
        <f t="shared" ca="1" si="174"/>
        <v>Not specified</v>
      </c>
      <c r="H913" s="5" t="s">
        <v>139</v>
      </c>
      <c r="I913" s="5" t="str" cm="1">
        <f t="array" aca="1" ref="I913" ca="1">INDEX(Courses!$B$9:$B$16,RANDBETWEEN(1,8))</f>
        <v>Tax Code</v>
      </c>
      <c r="J913" s="5" t="str">
        <f ca="1">VLOOKUP(I913,Courses!$B$9:$C$16,2,0)</f>
        <v>Finance &amp; Taxation</v>
      </c>
      <c r="K913" s="7">
        <f ca="1">VLOOKUP(I913,Courses!$B$9:$D$16,3,0)</f>
        <v>59</v>
      </c>
      <c r="L913" s="5" t="str">
        <f t="shared" ca="1" si="175"/>
        <v>Paid</v>
      </c>
      <c r="M913" s="8" t="str" cm="1">
        <f t="array" aca="1" ref="M913" ca="1">INDEX('Payment Method'!$A$8:$A$12,RANDBETWEEN(1,5))</f>
        <v>Mastercard Debit</v>
      </c>
      <c r="N913" s="7">
        <f>IFERROR(SUMIF(Holiday!$A$8:$A$11,B913,Holiday!$C$8:$C$11),0)</f>
        <v>0</v>
      </c>
      <c r="O913" s="7">
        <f t="shared" ca="1" si="176"/>
        <v>59</v>
      </c>
      <c r="P913" s="19">
        <f t="shared" ca="1" si="177"/>
        <v>57.82</v>
      </c>
      <c r="Q913" s="7">
        <f t="shared" ca="1" si="178"/>
        <v>0</v>
      </c>
      <c r="R913" s="8">
        <f ca="1">VLOOKUP(M913,'Payment Method'!$A$8:$B$12,2,0)</f>
        <v>0.02</v>
      </c>
      <c r="S913" s="9">
        <f t="shared" ca="1" si="168"/>
        <v>1.1799999999999997</v>
      </c>
      <c r="T913" s="8">
        <v>0.01</v>
      </c>
      <c r="U913" s="9">
        <f t="shared" ca="1" si="169"/>
        <v>0.57820000000000249</v>
      </c>
      <c r="V913" s="7">
        <f t="shared" ca="1" si="170"/>
        <v>0</v>
      </c>
      <c r="W913" s="7">
        <f t="shared" ca="1" si="171"/>
        <v>57.241799999999998</v>
      </c>
      <c r="X913" s="5" t="str">
        <f t="shared" ca="1" si="179"/>
        <v>Facebook</v>
      </c>
      <c r="Y913" s="78" t="str">
        <f>IF(COUNTIF($C$1:C912,B912)=1,10,"")</f>
        <v/>
      </c>
    </row>
    <row r="914" spans="1:25" x14ac:dyDescent="0.3">
      <c r="A914" s="75">
        <v>913</v>
      </c>
      <c r="B914" s="6">
        <v>46196</v>
      </c>
      <c r="C914" s="6">
        <v>46197</v>
      </c>
      <c r="D914" s="17" t="str">
        <f t="shared" si="172"/>
        <v>June</v>
      </c>
      <c r="E914" s="5" t="str">
        <f t="shared" ca="1" si="173"/>
        <v>STU-35</v>
      </c>
      <c r="F914" s="5" t="str">
        <f ca="1">IF(COUNTIF($E$2:E914,E914)=1,"New Customer","Returning Customer")</f>
        <v>New Customer</v>
      </c>
      <c r="G914" s="5" t="str">
        <f t="shared" ca="1" si="174"/>
        <v>Female</v>
      </c>
      <c r="H914" s="5" t="s">
        <v>135</v>
      </c>
      <c r="I914" s="5" t="str" cm="1">
        <f t="array" aca="1" ref="I914" ca="1">INDEX(Courses!$B$9:$B$16,RANDBETWEEN(1,8))</f>
        <v>PowerPoint</v>
      </c>
      <c r="J914" s="5" t="str">
        <f ca="1">VLOOKUP(I914,Courses!$B$9:$C$16,2,0)</f>
        <v>Microsoft Office</v>
      </c>
      <c r="K914" s="7">
        <f ca="1">VLOOKUP(I914,Courses!$B$9:$D$16,3,0)</f>
        <v>29</v>
      </c>
      <c r="L914" s="5" t="str">
        <f t="shared" ca="1" si="175"/>
        <v>Paid</v>
      </c>
      <c r="M914" s="8" t="str" cm="1">
        <f t="array" aca="1" ref="M914" ca="1">INDEX('Payment Method'!$A$8:$A$12,RANDBETWEEN(1,5))</f>
        <v>Visa Debit</v>
      </c>
      <c r="N914" s="7">
        <f>IFERROR(SUMIF(Holiday!$A$8:$A$11,B914,Holiday!$C$8:$C$11),0)</f>
        <v>0</v>
      </c>
      <c r="O914" s="7">
        <f t="shared" ca="1" si="176"/>
        <v>29</v>
      </c>
      <c r="P914" s="19">
        <f t="shared" ca="1" si="177"/>
        <v>28.42</v>
      </c>
      <c r="Q914" s="7">
        <f t="shared" ca="1" si="178"/>
        <v>0</v>
      </c>
      <c r="R914" s="8">
        <f ca="1">VLOOKUP(M914,'Payment Method'!$A$8:$B$12,2,0)</f>
        <v>0.02</v>
      </c>
      <c r="S914" s="9">
        <f t="shared" ca="1" si="168"/>
        <v>0.57999999999999829</v>
      </c>
      <c r="T914" s="8">
        <v>0.01</v>
      </c>
      <c r="U914" s="9">
        <f t="shared" ca="1" si="169"/>
        <v>0.28419999999999845</v>
      </c>
      <c r="V914" s="7">
        <f t="shared" ca="1" si="170"/>
        <v>0</v>
      </c>
      <c r="W914" s="7">
        <f t="shared" ca="1" si="171"/>
        <v>28.135800000000003</v>
      </c>
      <c r="X914" s="5" t="str">
        <f t="shared" ca="1" si="179"/>
        <v>Tiktok</v>
      </c>
      <c r="Y914" s="78" t="str">
        <f>IF(COUNTIF($C$1:C913,B913)=1,10,"")</f>
        <v/>
      </c>
    </row>
    <row r="915" spans="1:25" x14ac:dyDescent="0.3">
      <c r="A915" s="76">
        <v>914</v>
      </c>
      <c r="B915" s="6">
        <v>46048</v>
      </c>
      <c r="C915" s="6">
        <v>46049</v>
      </c>
      <c r="D915" s="17" t="str">
        <f t="shared" si="172"/>
        <v>January</v>
      </c>
      <c r="E915" s="5" t="str">
        <f t="shared" ca="1" si="173"/>
        <v>STU-105</v>
      </c>
      <c r="F915" s="5" t="str">
        <f ca="1">IF(COUNTIF($E$2:E915,E915)=1,"New Customer","Returning Customer")</f>
        <v>New Customer</v>
      </c>
      <c r="G915" s="5" t="str">
        <f t="shared" ca="1" si="174"/>
        <v>Not specified</v>
      </c>
      <c r="H915" s="5" t="s">
        <v>137</v>
      </c>
      <c r="I915" s="5" t="str" cm="1">
        <f t="array" aca="1" ref="I915" ca="1">INDEX(Courses!$B$9:$B$16,RANDBETWEEN(1,8))</f>
        <v>Microsoft Word</v>
      </c>
      <c r="J915" s="5" t="str">
        <f ca="1">VLOOKUP(I915,Courses!$B$9:$C$16,2,0)</f>
        <v>Microsoft Office</v>
      </c>
      <c r="K915" s="7">
        <f ca="1">VLOOKUP(I915,Courses!$B$9:$D$16,3,0)</f>
        <v>29</v>
      </c>
      <c r="L915" s="5" t="str">
        <f t="shared" ca="1" si="175"/>
        <v>Paid</v>
      </c>
      <c r="M915" s="8" t="str" cm="1">
        <f t="array" aca="1" ref="M915" ca="1">INDEX('Payment Method'!$A$8:$A$12,RANDBETWEEN(1,5))</f>
        <v>Visa Debit</v>
      </c>
      <c r="N915" s="7">
        <f>IFERROR(SUMIF(Holiday!$A$8:$A$11,B915,Holiday!$C$8:$C$11),0)</f>
        <v>0</v>
      </c>
      <c r="O915" s="7">
        <f t="shared" ca="1" si="176"/>
        <v>29</v>
      </c>
      <c r="P915" s="19">
        <f t="shared" ca="1" si="177"/>
        <v>28.42</v>
      </c>
      <c r="Q915" s="7">
        <f t="shared" ca="1" si="178"/>
        <v>0</v>
      </c>
      <c r="R915" s="8">
        <f ca="1">VLOOKUP(M915,'Payment Method'!$A$8:$B$12,2,0)</f>
        <v>0.02</v>
      </c>
      <c r="S915" s="9">
        <f t="shared" ca="1" si="168"/>
        <v>0.57999999999999829</v>
      </c>
      <c r="T915" s="8">
        <v>0.01</v>
      </c>
      <c r="U915" s="9">
        <f t="shared" ca="1" si="169"/>
        <v>0.28419999999999845</v>
      </c>
      <c r="V915" s="7">
        <f t="shared" ca="1" si="170"/>
        <v>0</v>
      </c>
      <c r="W915" s="7">
        <f t="shared" ca="1" si="171"/>
        <v>28.135800000000003</v>
      </c>
      <c r="X915" s="5" t="str">
        <f t="shared" ca="1" si="179"/>
        <v>Tiktok</v>
      </c>
      <c r="Y915" s="78" t="str">
        <f>IF(COUNTIF($C$1:C914,B914)=1,10,"")</f>
        <v/>
      </c>
    </row>
    <row r="916" spans="1:25" x14ac:dyDescent="0.3">
      <c r="A916" s="75">
        <v>915</v>
      </c>
      <c r="B916" s="6">
        <v>46025</v>
      </c>
      <c r="C916" s="6">
        <v>46027</v>
      </c>
      <c r="D916" s="17" t="str">
        <f t="shared" si="172"/>
        <v>January</v>
      </c>
      <c r="E916" s="5" t="str">
        <f t="shared" ca="1" si="173"/>
        <v>STU-760</v>
      </c>
      <c r="F916" s="5" t="str">
        <f ca="1">IF(COUNTIF($E$2:E916,E916)=1,"New Customer","Returning Customer")</f>
        <v>Returning Customer</v>
      </c>
      <c r="G916" s="5" t="str">
        <f t="shared" ca="1" si="174"/>
        <v>Not specified</v>
      </c>
      <c r="H916" s="5" t="s">
        <v>140</v>
      </c>
      <c r="I916" s="5" t="str" cm="1">
        <f t="array" aca="1" ref="I916" ca="1">INDEX(Courses!$B$9:$B$16,RANDBETWEEN(1,8))</f>
        <v>Excel Basics</v>
      </c>
      <c r="J916" s="5" t="str">
        <f ca="1">VLOOKUP(I916,Courses!$B$9:$C$16,2,0)</f>
        <v>Microsoft Office</v>
      </c>
      <c r="K916" s="7">
        <f ca="1">VLOOKUP(I916,Courses!$B$9:$D$16,3,0)</f>
        <v>29</v>
      </c>
      <c r="L916" s="5" t="str">
        <f t="shared" ca="1" si="175"/>
        <v>Paid</v>
      </c>
      <c r="M916" s="8" t="str" cm="1">
        <f t="array" aca="1" ref="M916" ca="1">INDEX('Payment Method'!$A$8:$A$12,RANDBETWEEN(1,5))</f>
        <v>Visa Debit</v>
      </c>
      <c r="N916" s="7">
        <f>IFERROR(SUMIF(Holiday!$A$8:$A$11,B916,Holiday!$C$8:$C$11),0)</f>
        <v>0</v>
      </c>
      <c r="O916" s="7">
        <f t="shared" ca="1" si="176"/>
        <v>29</v>
      </c>
      <c r="P916" s="19">
        <f t="shared" ca="1" si="177"/>
        <v>28.42</v>
      </c>
      <c r="Q916" s="7">
        <f t="shared" ca="1" si="178"/>
        <v>0</v>
      </c>
      <c r="R916" s="8">
        <f ca="1">VLOOKUP(M916,'Payment Method'!$A$8:$B$12,2,0)</f>
        <v>0.02</v>
      </c>
      <c r="S916" s="9">
        <f t="shared" ca="1" si="168"/>
        <v>0.57999999999999829</v>
      </c>
      <c r="T916" s="8">
        <v>0.01</v>
      </c>
      <c r="U916" s="9">
        <f t="shared" ca="1" si="169"/>
        <v>0.28419999999999845</v>
      </c>
      <c r="V916" s="7">
        <f t="shared" ca="1" si="170"/>
        <v>0</v>
      </c>
      <c r="W916" s="7">
        <f t="shared" ca="1" si="171"/>
        <v>28.135800000000003</v>
      </c>
      <c r="X916" s="5" t="str">
        <f t="shared" ca="1" si="179"/>
        <v>Instagram</v>
      </c>
      <c r="Y916" s="78" t="str">
        <f>IF(COUNTIF($C$1:C915,B915)=1,10,"")</f>
        <v/>
      </c>
    </row>
    <row r="917" spans="1:25" x14ac:dyDescent="0.3">
      <c r="A917" s="76">
        <v>916</v>
      </c>
      <c r="B917" s="6">
        <v>46144</v>
      </c>
      <c r="C917" s="6">
        <v>46148</v>
      </c>
      <c r="D917" s="17" t="str">
        <f t="shared" si="172"/>
        <v>May</v>
      </c>
      <c r="E917" s="5" t="str">
        <f t="shared" ca="1" si="173"/>
        <v>STU-358</v>
      </c>
      <c r="F917" s="5" t="str">
        <f ca="1">IF(COUNTIF($E$2:E917,E917)=1,"New Customer","Returning Customer")</f>
        <v>New Customer</v>
      </c>
      <c r="G917" s="5" t="str">
        <f t="shared" ca="1" si="174"/>
        <v>Not specified</v>
      </c>
      <c r="H917" s="5" t="s">
        <v>139</v>
      </c>
      <c r="I917" s="5" t="str" cm="1">
        <f t="array" aca="1" ref="I917" ca="1">INDEX(Courses!$B$9:$B$16,RANDBETWEEN(1,8))</f>
        <v>Power BI</v>
      </c>
      <c r="J917" s="5" t="str">
        <f ca="1">VLOOKUP(I917,Courses!$B$9:$C$16,2,0)</f>
        <v>Data Analytics</v>
      </c>
      <c r="K917" s="7">
        <f ca="1">VLOOKUP(I917,Courses!$B$9:$D$16,3,0)</f>
        <v>59</v>
      </c>
      <c r="L917" s="5" t="str">
        <f t="shared" ca="1" si="175"/>
        <v>Paid</v>
      </c>
      <c r="M917" s="8" t="str" cm="1">
        <f t="array" aca="1" ref="M917" ca="1">INDEX('Payment Method'!$A$8:$A$12,RANDBETWEEN(1,5))</f>
        <v>Mastercard Credit</v>
      </c>
      <c r="N917" s="7">
        <f>IFERROR(SUMIF(Holiday!$A$8:$A$11,B917,Holiday!$C$8:$C$11),0)</f>
        <v>0</v>
      </c>
      <c r="O917" s="7">
        <f t="shared" ca="1" si="176"/>
        <v>59</v>
      </c>
      <c r="P917" s="19">
        <f t="shared" ca="1" si="177"/>
        <v>56.935000000000002</v>
      </c>
      <c r="Q917" s="7">
        <f t="shared" ca="1" si="178"/>
        <v>0</v>
      </c>
      <c r="R917" s="8">
        <f ca="1">VLOOKUP(M917,'Payment Method'!$A$8:$B$12,2,0)</f>
        <v>3.5000000000000003E-2</v>
      </c>
      <c r="S917" s="9">
        <f t="shared" ca="1" si="168"/>
        <v>2.0649999999999977</v>
      </c>
      <c r="T917" s="8">
        <v>0.01</v>
      </c>
      <c r="U917" s="9">
        <f t="shared" ca="1" si="169"/>
        <v>0.56935000000000002</v>
      </c>
      <c r="V917" s="7">
        <f t="shared" ca="1" si="170"/>
        <v>0</v>
      </c>
      <c r="W917" s="7">
        <f t="shared" ca="1" si="171"/>
        <v>56.365650000000002</v>
      </c>
      <c r="X917" s="5" t="str">
        <f t="shared" ca="1" si="179"/>
        <v>Instagram</v>
      </c>
      <c r="Y917" s="78">
        <f>IF(COUNTIF($C$1:C916,B916)=1,10,"")</f>
        <v>10</v>
      </c>
    </row>
    <row r="918" spans="1:25" x14ac:dyDescent="0.3">
      <c r="A918" s="75">
        <v>917</v>
      </c>
      <c r="B918" s="6">
        <v>46198</v>
      </c>
      <c r="C918" s="6">
        <v>46201</v>
      </c>
      <c r="D918" s="17" t="str">
        <f t="shared" si="172"/>
        <v>June</v>
      </c>
      <c r="E918" s="5" t="str">
        <f t="shared" ca="1" si="173"/>
        <v>STU-61</v>
      </c>
      <c r="F918" s="5" t="str">
        <f ca="1">IF(COUNTIF($E$2:E918,E918)=1,"New Customer","Returning Customer")</f>
        <v>Returning Customer</v>
      </c>
      <c r="G918" s="5" t="str">
        <f t="shared" ca="1" si="174"/>
        <v>Not specified</v>
      </c>
      <c r="H918" s="5" t="s">
        <v>141</v>
      </c>
      <c r="I918" s="5" t="str" cm="1">
        <f t="array" aca="1" ref="I918" ca="1">INDEX(Courses!$B$9:$B$16,RANDBETWEEN(1,8))</f>
        <v>SQL</v>
      </c>
      <c r="J918" s="5" t="str">
        <f ca="1">VLOOKUP(I918,Courses!$B$9:$C$16,2,0)</f>
        <v>Data Analytics</v>
      </c>
      <c r="K918" s="7">
        <f ca="1">VLOOKUP(I918,Courses!$B$9:$D$16,3,0)</f>
        <v>99</v>
      </c>
      <c r="L918" s="5" t="str">
        <f t="shared" ca="1" si="175"/>
        <v>Paid</v>
      </c>
      <c r="M918" s="8" t="str" cm="1">
        <f t="array" aca="1" ref="M918" ca="1">INDEX('Payment Method'!$A$8:$A$12,RANDBETWEEN(1,5))</f>
        <v>Visa Credit</v>
      </c>
      <c r="N918" s="7">
        <f>IFERROR(SUMIF(Holiday!$A$8:$A$11,B918,Holiday!$C$8:$C$11),0)</f>
        <v>0</v>
      </c>
      <c r="O918" s="7">
        <f t="shared" ca="1" si="176"/>
        <v>99</v>
      </c>
      <c r="P918" s="19">
        <f t="shared" ca="1" si="177"/>
        <v>95.534999999999997</v>
      </c>
      <c r="Q918" s="7">
        <f t="shared" ca="1" si="178"/>
        <v>0</v>
      </c>
      <c r="R918" s="8">
        <f ca="1">VLOOKUP(M918,'Payment Method'!$A$8:$B$12,2,0)</f>
        <v>3.5000000000000003E-2</v>
      </c>
      <c r="S918" s="9">
        <f t="shared" ca="1" si="168"/>
        <v>3.4650000000000034</v>
      </c>
      <c r="T918" s="8">
        <v>0.01</v>
      </c>
      <c r="U918" s="9">
        <f t="shared" ca="1" si="169"/>
        <v>0.9553499999999957</v>
      </c>
      <c r="V918" s="7">
        <f t="shared" ca="1" si="170"/>
        <v>0</v>
      </c>
      <c r="W918" s="7">
        <f t="shared" ca="1" si="171"/>
        <v>94.579650000000001</v>
      </c>
      <c r="X918" s="5" t="str">
        <f t="shared" ca="1" si="179"/>
        <v>Tiktok</v>
      </c>
      <c r="Y918" s="78" t="str">
        <f>IF(COUNTIF($C$1:C917,B917)=1,10,"")</f>
        <v/>
      </c>
    </row>
    <row r="919" spans="1:25" x14ac:dyDescent="0.3">
      <c r="A919" s="76">
        <v>918</v>
      </c>
      <c r="B919" s="6">
        <v>46029</v>
      </c>
      <c r="C919" s="6">
        <v>46034</v>
      </c>
      <c r="D919" s="17" t="str">
        <f t="shared" si="172"/>
        <v>January</v>
      </c>
      <c r="E919" s="5" t="str">
        <f t="shared" ca="1" si="173"/>
        <v>STU-36</v>
      </c>
      <c r="F919" s="5" t="str">
        <f ca="1">IF(COUNTIF($E$2:E919,E919)=1,"New Customer","Returning Customer")</f>
        <v>Returning Customer</v>
      </c>
      <c r="G919" s="5" t="str">
        <f t="shared" ca="1" si="174"/>
        <v>Female</v>
      </c>
      <c r="H919" s="5" t="s">
        <v>137</v>
      </c>
      <c r="I919" s="5" t="str" cm="1">
        <f t="array" aca="1" ref="I919" ca="1">INDEX(Courses!$B$9:$B$16,RANDBETWEEN(1,8))</f>
        <v>Complete Excel Course</v>
      </c>
      <c r="J919" s="5" t="str">
        <f ca="1">VLOOKUP(I919,Courses!$B$9:$C$16,2,0)</f>
        <v>Microsoft Office</v>
      </c>
      <c r="K919" s="7">
        <f ca="1">VLOOKUP(I919,Courses!$B$9:$D$16,3,0)</f>
        <v>59</v>
      </c>
      <c r="L919" s="5" t="str">
        <f t="shared" ca="1" si="175"/>
        <v>Paid</v>
      </c>
      <c r="M919" s="8" t="str" cm="1">
        <f t="array" aca="1" ref="M919" ca="1">INDEX('Payment Method'!$A$8:$A$12,RANDBETWEEN(1,5))</f>
        <v>Bank Transfer</v>
      </c>
      <c r="N919" s="7">
        <f>IFERROR(SUMIF(Holiday!$A$8:$A$11,B919,Holiday!$C$8:$C$11),0)</f>
        <v>0</v>
      </c>
      <c r="O919" s="7">
        <f t="shared" ca="1" si="176"/>
        <v>59</v>
      </c>
      <c r="P919" s="19">
        <f t="shared" ca="1" si="177"/>
        <v>59</v>
      </c>
      <c r="Q919" s="7">
        <f t="shared" ca="1" si="178"/>
        <v>0</v>
      </c>
      <c r="R919" s="8">
        <f ca="1">VLOOKUP(M919,'Payment Method'!$A$8:$B$12,2,0)</f>
        <v>0</v>
      </c>
      <c r="S919" s="9">
        <f t="shared" ca="1" si="168"/>
        <v>0</v>
      </c>
      <c r="T919" s="8">
        <v>0.01</v>
      </c>
      <c r="U919" s="9">
        <f t="shared" ca="1" si="169"/>
        <v>0.59000000000000341</v>
      </c>
      <c r="V919" s="7">
        <f t="shared" ca="1" si="170"/>
        <v>0</v>
      </c>
      <c r="W919" s="7">
        <f t="shared" ca="1" si="171"/>
        <v>58.41</v>
      </c>
      <c r="X919" s="5" t="str">
        <f t="shared" ca="1" si="179"/>
        <v>Facebook</v>
      </c>
      <c r="Y919" s="78" t="str">
        <f>IF(COUNTIF($C$1:C918,B918)=1,10,"")</f>
        <v/>
      </c>
    </row>
    <row r="920" spans="1:25" x14ac:dyDescent="0.3">
      <c r="A920" s="75">
        <v>919</v>
      </c>
      <c r="B920" s="6">
        <v>46119</v>
      </c>
      <c r="C920" s="6">
        <v>46120</v>
      </c>
      <c r="D920" s="17" t="str">
        <f t="shared" si="172"/>
        <v>April</v>
      </c>
      <c r="E920" s="5" t="str">
        <f t="shared" ca="1" si="173"/>
        <v>STU-346</v>
      </c>
      <c r="F920" s="5" t="str">
        <f ca="1">IF(COUNTIF($E$2:E920,E920)=1,"New Customer","Returning Customer")</f>
        <v>Returning Customer</v>
      </c>
      <c r="G920" s="5" t="str">
        <f t="shared" ca="1" si="174"/>
        <v>Female</v>
      </c>
      <c r="H920" s="5" t="s">
        <v>140</v>
      </c>
      <c r="I920" s="5" t="str" cm="1">
        <f t="array" aca="1" ref="I920" ca="1">INDEX(Courses!$B$9:$B$16,RANDBETWEEN(1,8))</f>
        <v>Microsoft Word</v>
      </c>
      <c r="J920" s="5" t="str">
        <f ca="1">VLOOKUP(I920,Courses!$B$9:$C$16,2,0)</f>
        <v>Microsoft Office</v>
      </c>
      <c r="K920" s="7">
        <f ca="1">VLOOKUP(I920,Courses!$B$9:$D$16,3,0)</f>
        <v>29</v>
      </c>
      <c r="L920" s="5" t="str">
        <f t="shared" ca="1" si="175"/>
        <v>Paid</v>
      </c>
      <c r="M920" s="8" t="str" cm="1">
        <f t="array" aca="1" ref="M920" ca="1">INDEX('Payment Method'!$A$8:$A$12,RANDBETWEEN(1,5))</f>
        <v>Visa Debit</v>
      </c>
      <c r="N920" s="7">
        <f>IFERROR(SUMIF(Holiday!$A$8:$A$11,B920,Holiday!$C$8:$C$11),0)</f>
        <v>0</v>
      </c>
      <c r="O920" s="7">
        <f t="shared" ca="1" si="176"/>
        <v>29</v>
      </c>
      <c r="P920" s="19">
        <f t="shared" ca="1" si="177"/>
        <v>28.42</v>
      </c>
      <c r="Q920" s="7">
        <f t="shared" ca="1" si="178"/>
        <v>0</v>
      </c>
      <c r="R920" s="8">
        <f ca="1">VLOOKUP(M920,'Payment Method'!$A$8:$B$12,2,0)</f>
        <v>0.02</v>
      </c>
      <c r="S920" s="9">
        <f t="shared" ca="1" si="168"/>
        <v>0.57999999999999829</v>
      </c>
      <c r="T920" s="8">
        <v>0.01</v>
      </c>
      <c r="U920" s="9">
        <f t="shared" ca="1" si="169"/>
        <v>0.28419999999999845</v>
      </c>
      <c r="V920" s="7">
        <f t="shared" ca="1" si="170"/>
        <v>0</v>
      </c>
      <c r="W920" s="7">
        <f t="shared" ca="1" si="171"/>
        <v>28.135800000000003</v>
      </c>
      <c r="X920" s="5" t="str">
        <f t="shared" ca="1" si="179"/>
        <v>Instagram</v>
      </c>
      <c r="Y920" s="78" t="str">
        <f>IF(COUNTIF($C$1:C919,B919)=1,10,"")</f>
        <v/>
      </c>
    </row>
    <row r="921" spans="1:25" x14ac:dyDescent="0.3">
      <c r="A921" s="76">
        <v>920</v>
      </c>
      <c r="B921" s="6">
        <v>46167</v>
      </c>
      <c r="C921" s="6">
        <v>46167</v>
      </c>
      <c r="D921" s="17" t="str">
        <f t="shared" si="172"/>
        <v>May</v>
      </c>
      <c r="E921" s="5" t="str">
        <f t="shared" ca="1" si="173"/>
        <v>STU-560</v>
      </c>
      <c r="F921" s="5" t="str">
        <f ca="1">IF(COUNTIF($E$2:E921,E921)=1,"New Customer","Returning Customer")</f>
        <v>Returning Customer</v>
      </c>
      <c r="G921" s="5" t="str">
        <f t="shared" ca="1" si="174"/>
        <v>Not specified</v>
      </c>
      <c r="H921" s="5" t="s">
        <v>137</v>
      </c>
      <c r="I921" s="5" t="str" cm="1">
        <f t="array" aca="1" ref="I921" ca="1">INDEX(Courses!$B$9:$B$16,RANDBETWEEN(1,8))</f>
        <v>Microsoft Word</v>
      </c>
      <c r="J921" s="5" t="str">
        <f ca="1">VLOOKUP(I921,Courses!$B$9:$C$16,2,0)</f>
        <v>Microsoft Office</v>
      </c>
      <c r="K921" s="7">
        <f ca="1">VLOOKUP(I921,Courses!$B$9:$D$16,3,0)</f>
        <v>29</v>
      </c>
      <c r="L921" s="5" t="str">
        <f t="shared" ca="1" si="175"/>
        <v>Paid</v>
      </c>
      <c r="M921" s="8" t="str" cm="1">
        <f t="array" aca="1" ref="M921" ca="1">INDEX('Payment Method'!$A$8:$A$12,RANDBETWEEN(1,5))</f>
        <v>Mastercard Debit</v>
      </c>
      <c r="N921" s="7">
        <f>IFERROR(SUMIF(Holiday!$A$8:$A$11,B921,Holiday!$C$8:$C$11),0)</f>
        <v>0</v>
      </c>
      <c r="O921" s="7">
        <f t="shared" ca="1" si="176"/>
        <v>29</v>
      </c>
      <c r="P921" s="19">
        <f t="shared" ca="1" si="177"/>
        <v>28.42</v>
      </c>
      <c r="Q921" s="7">
        <f t="shared" ca="1" si="178"/>
        <v>0</v>
      </c>
      <c r="R921" s="8">
        <f ca="1">VLOOKUP(M921,'Payment Method'!$A$8:$B$12,2,0)</f>
        <v>0.02</v>
      </c>
      <c r="S921" s="9">
        <f t="shared" ca="1" si="168"/>
        <v>0.57999999999999829</v>
      </c>
      <c r="T921" s="8">
        <v>0.01</v>
      </c>
      <c r="U921" s="9">
        <f t="shared" ca="1" si="169"/>
        <v>0.28419999999999845</v>
      </c>
      <c r="V921" s="7">
        <f t="shared" ca="1" si="170"/>
        <v>0</v>
      </c>
      <c r="W921" s="7">
        <f t="shared" ca="1" si="171"/>
        <v>28.135800000000003</v>
      </c>
      <c r="X921" s="5" t="str">
        <f t="shared" ca="1" si="179"/>
        <v>Facebook</v>
      </c>
      <c r="Y921" s="78" t="str">
        <f>IF(COUNTIF($C$1:C920,B920)=1,10,"")</f>
        <v/>
      </c>
    </row>
    <row r="922" spans="1:25" x14ac:dyDescent="0.3">
      <c r="A922" s="75">
        <v>921</v>
      </c>
      <c r="B922" s="6">
        <v>46095</v>
      </c>
      <c r="C922" s="6">
        <v>46100</v>
      </c>
      <c r="D922" s="17" t="str">
        <f t="shared" si="172"/>
        <v>March</v>
      </c>
      <c r="E922" s="5" t="str">
        <f t="shared" ca="1" si="173"/>
        <v>STU-332</v>
      </c>
      <c r="F922" s="5" t="str">
        <f ca="1">IF(COUNTIF($E$2:E922,E922)=1,"New Customer","Returning Customer")</f>
        <v>New Customer</v>
      </c>
      <c r="G922" s="5" t="str">
        <f t="shared" ca="1" si="174"/>
        <v>Not specified</v>
      </c>
      <c r="H922" s="5" t="s">
        <v>138</v>
      </c>
      <c r="I922" s="5" t="str" cm="1">
        <f t="array" aca="1" ref="I922" ca="1">INDEX(Courses!$B$9:$B$16,RANDBETWEEN(1,8))</f>
        <v>Excel Basics</v>
      </c>
      <c r="J922" s="5" t="str">
        <f ca="1">VLOOKUP(I922,Courses!$B$9:$C$16,2,0)</f>
        <v>Microsoft Office</v>
      </c>
      <c r="K922" s="7">
        <f ca="1">VLOOKUP(I922,Courses!$B$9:$D$16,3,0)</f>
        <v>29</v>
      </c>
      <c r="L922" s="5" t="str">
        <f t="shared" ca="1" si="175"/>
        <v>Pending</v>
      </c>
      <c r="M922" s="8" t="str" cm="1">
        <f t="array" aca="1" ref="M922" ca="1">INDEX('Payment Method'!$A$8:$A$12,RANDBETWEEN(1,5))</f>
        <v>Mastercard Debit</v>
      </c>
      <c r="N922" s="7">
        <f>IFERROR(SUMIF(Holiday!$A$8:$A$11,B922,Holiday!$C$8:$C$11),0)</f>
        <v>0</v>
      </c>
      <c r="O922" s="7">
        <f t="shared" ca="1" si="176"/>
        <v>29</v>
      </c>
      <c r="P922" s="19">
        <f t="shared" ca="1" si="177"/>
        <v>28.42</v>
      </c>
      <c r="Q922" s="7">
        <f t="shared" ca="1" si="178"/>
        <v>28.135800000000003</v>
      </c>
      <c r="R922" s="8">
        <f ca="1">VLOOKUP(M922,'Payment Method'!$A$8:$B$12,2,0)</f>
        <v>0.02</v>
      </c>
      <c r="S922" s="9">
        <f t="shared" ca="1" si="168"/>
        <v>0.57999999999999829</v>
      </c>
      <c r="T922" s="8">
        <v>0.01</v>
      </c>
      <c r="U922" s="9">
        <f t="shared" ca="1" si="169"/>
        <v>0.28419999999999845</v>
      </c>
      <c r="V922" s="7">
        <f t="shared" ca="1" si="170"/>
        <v>0</v>
      </c>
      <c r="W922" s="7">
        <f t="shared" ca="1" si="171"/>
        <v>0</v>
      </c>
      <c r="X922" s="5" t="str">
        <f t="shared" ca="1" si="179"/>
        <v>Facebook</v>
      </c>
      <c r="Y922" s="78" t="str">
        <f>IF(COUNTIF($C$1:C921,B921)=1,10,"")</f>
        <v/>
      </c>
    </row>
    <row r="923" spans="1:25" x14ac:dyDescent="0.3">
      <c r="A923" s="76">
        <v>922</v>
      </c>
      <c r="B923" s="6">
        <v>46051</v>
      </c>
      <c r="C923" s="6">
        <v>46052</v>
      </c>
      <c r="D923" s="17" t="str">
        <f t="shared" si="172"/>
        <v>January</v>
      </c>
      <c r="E923" s="5" t="str">
        <f t="shared" ca="1" si="173"/>
        <v>STU-517</v>
      </c>
      <c r="F923" s="5" t="str">
        <f ca="1">IF(COUNTIF($E$2:E923,E923)=1,"New Customer","Returning Customer")</f>
        <v>New Customer</v>
      </c>
      <c r="G923" s="5" t="str">
        <f t="shared" ca="1" si="174"/>
        <v>Female</v>
      </c>
      <c r="H923" s="5" t="s">
        <v>135</v>
      </c>
      <c r="I923" s="5" t="str" cm="1">
        <f t="array" aca="1" ref="I923" ca="1">INDEX(Courses!$B$9:$B$16,RANDBETWEEN(1,8))</f>
        <v>PowerPoint</v>
      </c>
      <c r="J923" s="5" t="str">
        <f ca="1">VLOOKUP(I923,Courses!$B$9:$C$16,2,0)</f>
        <v>Microsoft Office</v>
      </c>
      <c r="K923" s="7">
        <f ca="1">VLOOKUP(I923,Courses!$B$9:$D$16,3,0)</f>
        <v>29</v>
      </c>
      <c r="L923" s="5" t="str">
        <f t="shared" ca="1" si="175"/>
        <v>Pending</v>
      </c>
      <c r="M923" s="8" t="str" cm="1">
        <f t="array" aca="1" ref="M923" ca="1">INDEX('Payment Method'!$A$8:$A$12,RANDBETWEEN(1,5))</f>
        <v>Bank Transfer</v>
      </c>
      <c r="N923" s="7">
        <f>IFERROR(SUMIF(Holiday!$A$8:$A$11,B923,Holiday!$C$8:$C$11),0)</f>
        <v>0</v>
      </c>
      <c r="O923" s="7">
        <f t="shared" ca="1" si="176"/>
        <v>29</v>
      </c>
      <c r="P923" s="19">
        <f t="shared" ca="1" si="177"/>
        <v>29</v>
      </c>
      <c r="Q923" s="7">
        <f t="shared" ca="1" si="178"/>
        <v>28.71</v>
      </c>
      <c r="R923" s="8">
        <f ca="1">VLOOKUP(M923,'Payment Method'!$A$8:$B$12,2,0)</f>
        <v>0</v>
      </c>
      <c r="S923" s="9">
        <f t="shared" ca="1" si="168"/>
        <v>0</v>
      </c>
      <c r="T923" s="8">
        <v>0.01</v>
      </c>
      <c r="U923" s="9">
        <f t="shared" ca="1" si="169"/>
        <v>0.28999999999999915</v>
      </c>
      <c r="V923" s="7">
        <f t="shared" ca="1" si="170"/>
        <v>0</v>
      </c>
      <c r="W923" s="7">
        <f t="shared" ca="1" si="171"/>
        <v>0</v>
      </c>
      <c r="X923" s="5" t="str">
        <f t="shared" ca="1" si="179"/>
        <v>Facebook</v>
      </c>
      <c r="Y923" s="78" t="str">
        <f>IF(COUNTIF($C$1:C922,B922)=1,10,"")</f>
        <v/>
      </c>
    </row>
    <row r="924" spans="1:25" x14ac:dyDescent="0.3">
      <c r="A924" s="75">
        <v>923</v>
      </c>
      <c r="B924" s="6">
        <v>46199</v>
      </c>
      <c r="C924" s="6">
        <v>46200</v>
      </c>
      <c r="D924" s="17" t="str">
        <f t="shared" si="172"/>
        <v>June</v>
      </c>
      <c r="E924" s="5" t="str">
        <f t="shared" ca="1" si="173"/>
        <v>STU-984</v>
      </c>
      <c r="F924" s="5" t="str">
        <f ca="1">IF(COUNTIF($E$2:E924,E924)=1,"New Customer","Returning Customer")</f>
        <v>Returning Customer</v>
      </c>
      <c r="G924" s="5" t="str">
        <f t="shared" ca="1" si="174"/>
        <v>Female</v>
      </c>
      <c r="H924" s="5" t="s">
        <v>139</v>
      </c>
      <c r="I924" s="5" t="str" cm="1">
        <f t="array" aca="1" ref="I924" ca="1">INDEX(Courses!$B$9:$B$16,RANDBETWEEN(1,8))</f>
        <v>Adolescent Psychology</v>
      </c>
      <c r="J924" s="5" t="str">
        <f ca="1">VLOOKUP(I924,Courses!$B$9:$C$16,2,0)</f>
        <v>Psychology</v>
      </c>
      <c r="K924" s="7">
        <f ca="1">VLOOKUP(I924,Courses!$B$9:$D$16,3,0)</f>
        <v>29</v>
      </c>
      <c r="L924" s="5" t="str">
        <f t="shared" ca="1" si="175"/>
        <v>Paid</v>
      </c>
      <c r="M924" s="8" t="str" cm="1">
        <f t="array" aca="1" ref="M924" ca="1">INDEX('Payment Method'!$A$8:$A$12,RANDBETWEEN(1,5))</f>
        <v>Visa Credit</v>
      </c>
      <c r="N924" s="7">
        <f>IFERROR(SUMIF(Holiday!$A$8:$A$11,B924,Holiday!$C$8:$C$11),0)</f>
        <v>0</v>
      </c>
      <c r="O924" s="7">
        <f t="shared" ca="1" si="176"/>
        <v>29</v>
      </c>
      <c r="P924" s="19">
        <f t="shared" ca="1" si="177"/>
        <v>27.984999999999999</v>
      </c>
      <c r="Q924" s="7">
        <f t="shared" ca="1" si="178"/>
        <v>0</v>
      </c>
      <c r="R924" s="8">
        <f ca="1">VLOOKUP(M924,'Payment Method'!$A$8:$B$12,2,0)</f>
        <v>3.5000000000000003E-2</v>
      </c>
      <c r="S924" s="9">
        <f t="shared" ca="1" si="168"/>
        <v>1.0150000000000006</v>
      </c>
      <c r="T924" s="8">
        <v>0.01</v>
      </c>
      <c r="U924" s="9">
        <f t="shared" ca="1" si="169"/>
        <v>0.27984999999999971</v>
      </c>
      <c r="V924" s="7">
        <f t="shared" ca="1" si="170"/>
        <v>0</v>
      </c>
      <c r="W924" s="7">
        <f t="shared" ca="1" si="171"/>
        <v>27.70515</v>
      </c>
      <c r="X924" s="5" t="str">
        <f t="shared" ca="1" si="179"/>
        <v>Facebook</v>
      </c>
      <c r="Y924" s="78" t="str">
        <f>IF(COUNTIF($C$1:C923,B923)=1,10,"")</f>
        <v/>
      </c>
    </row>
    <row r="925" spans="1:25" x14ac:dyDescent="0.3">
      <c r="A925" s="76">
        <v>924</v>
      </c>
      <c r="B925" s="6">
        <v>46188</v>
      </c>
      <c r="C925" s="6">
        <v>46188</v>
      </c>
      <c r="D925" s="17" t="str">
        <f t="shared" si="172"/>
        <v>June</v>
      </c>
      <c r="E925" s="5" t="str">
        <f t="shared" ca="1" si="173"/>
        <v>STU-564</v>
      </c>
      <c r="F925" s="5" t="str">
        <f ca="1">IF(COUNTIF($E$2:E925,E925)=1,"New Customer","Returning Customer")</f>
        <v>New Customer</v>
      </c>
      <c r="G925" s="5" t="str">
        <f t="shared" ca="1" si="174"/>
        <v>Female</v>
      </c>
      <c r="H925" s="5" t="s">
        <v>137</v>
      </c>
      <c r="I925" s="5" t="str" cm="1">
        <f t="array" aca="1" ref="I925" ca="1">INDEX(Courses!$B$9:$B$16,RANDBETWEEN(1,8))</f>
        <v>Power BI</v>
      </c>
      <c r="J925" s="5" t="str">
        <f ca="1">VLOOKUP(I925,Courses!$B$9:$C$16,2,0)</f>
        <v>Data Analytics</v>
      </c>
      <c r="K925" s="7">
        <f ca="1">VLOOKUP(I925,Courses!$B$9:$D$16,3,0)</f>
        <v>59</v>
      </c>
      <c r="L925" s="5" t="str">
        <f t="shared" ca="1" si="175"/>
        <v>Paid</v>
      </c>
      <c r="M925" s="8" t="str" cm="1">
        <f t="array" aca="1" ref="M925" ca="1">INDEX('Payment Method'!$A$8:$A$12,RANDBETWEEN(1,5))</f>
        <v>Visa Debit</v>
      </c>
      <c r="N925" s="7">
        <f>IFERROR(SUMIF(Holiday!$A$8:$A$11,B925,Holiday!$C$8:$C$11),0)</f>
        <v>0</v>
      </c>
      <c r="O925" s="7">
        <f t="shared" ca="1" si="176"/>
        <v>59</v>
      </c>
      <c r="P925" s="19">
        <f t="shared" ca="1" si="177"/>
        <v>57.82</v>
      </c>
      <c r="Q925" s="7">
        <f t="shared" ca="1" si="178"/>
        <v>0</v>
      </c>
      <c r="R925" s="8">
        <f ca="1">VLOOKUP(M925,'Payment Method'!$A$8:$B$12,2,0)</f>
        <v>0.02</v>
      </c>
      <c r="S925" s="9">
        <f t="shared" ca="1" si="168"/>
        <v>1.1799999999999997</v>
      </c>
      <c r="T925" s="8">
        <v>0.01</v>
      </c>
      <c r="U925" s="9">
        <f t="shared" ca="1" si="169"/>
        <v>0.57820000000000249</v>
      </c>
      <c r="V925" s="7">
        <f t="shared" ca="1" si="170"/>
        <v>0</v>
      </c>
      <c r="W925" s="7">
        <f t="shared" ca="1" si="171"/>
        <v>57.241799999999998</v>
      </c>
      <c r="X925" s="5" t="str">
        <f t="shared" ca="1" si="179"/>
        <v>Instagram</v>
      </c>
      <c r="Y925" s="78" t="str">
        <f>IF(COUNTIF($C$1:C924,B924)=1,10,"")</f>
        <v/>
      </c>
    </row>
    <row r="926" spans="1:25" x14ac:dyDescent="0.3">
      <c r="A926" s="75">
        <v>925</v>
      </c>
      <c r="B926" s="6">
        <v>46226</v>
      </c>
      <c r="C926" s="6">
        <v>46227</v>
      </c>
      <c r="D926" s="17" t="str">
        <f t="shared" si="172"/>
        <v>July</v>
      </c>
      <c r="E926" s="5" t="str">
        <f t="shared" ca="1" si="173"/>
        <v>STU-701</v>
      </c>
      <c r="F926" s="5" t="str">
        <f ca="1">IF(COUNTIF($E$2:E926,E926)=1,"New Customer","Returning Customer")</f>
        <v>New Customer</v>
      </c>
      <c r="G926" s="5" t="str">
        <f t="shared" ca="1" si="174"/>
        <v>Female</v>
      </c>
      <c r="H926" s="5" t="s">
        <v>141</v>
      </c>
      <c r="I926" s="5" t="str" cm="1">
        <f t="array" aca="1" ref="I926" ca="1">INDEX(Courses!$B$9:$B$16,RANDBETWEEN(1,8))</f>
        <v>Adolescent Psychology</v>
      </c>
      <c r="J926" s="5" t="str">
        <f ca="1">VLOOKUP(I926,Courses!$B$9:$C$16,2,0)</f>
        <v>Psychology</v>
      </c>
      <c r="K926" s="7">
        <f ca="1">VLOOKUP(I926,Courses!$B$9:$D$16,3,0)</f>
        <v>29</v>
      </c>
      <c r="L926" s="5" t="str">
        <f t="shared" ca="1" si="175"/>
        <v>Paid</v>
      </c>
      <c r="M926" s="8" t="str" cm="1">
        <f t="array" aca="1" ref="M926" ca="1">INDEX('Payment Method'!$A$8:$A$12,RANDBETWEEN(1,5))</f>
        <v>Visa Credit</v>
      </c>
      <c r="N926" s="7">
        <f>IFERROR(SUMIF(Holiday!$A$8:$A$11,B926,Holiday!$C$8:$C$11),0)</f>
        <v>0</v>
      </c>
      <c r="O926" s="7">
        <f t="shared" ca="1" si="176"/>
        <v>29</v>
      </c>
      <c r="P926" s="19">
        <f t="shared" ca="1" si="177"/>
        <v>27.984999999999999</v>
      </c>
      <c r="Q926" s="7">
        <f t="shared" ca="1" si="178"/>
        <v>0</v>
      </c>
      <c r="R926" s="8">
        <f ca="1">VLOOKUP(M926,'Payment Method'!$A$8:$B$12,2,0)</f>
        <v>3.5000000000000003E-2</v>
      </c>
      <c r="S926" s="9">
        <f t="shared" ca="1" si="168"/>
        <v>1.0150000000000006</v>
      </c>
      <c r="T926" s="8">
        <v>0.01</v>
      </c>
      <c r="U926" s="9">
        <f t="shared" ca="1" si="169"/>
        <v>0.27984999999999971</v>
      </c>
      <c r="V926" s="7">
        <f t="shared" ca="1" si="170"/>
        <v>0</v>
      </c>
      <c r="W926" s="7">
        <f t="shared" ca="1" si="171"/>
        <v>27.70515</v>
      </c>
      <c r="X926" s="5" t="str">
        <f t="shared" ca="1" si="179"/>
        <v>Instagram</v>
      </c>
      <c r="Y926" s="78" t="str">
        <f>IF(COUNTIF($C$1:C925,B925)=1,10,"")</f>
        <v/>
      </c>
    </row>
    <row r="927" spans="1:25" x14ac:dyDescent="0.3">
      <c r="A927" s="76">
        <v>926</v>
      </c>
      <c r="B927" s="6">
        <v>46225</v>
      </c>
      <c r="C927" s="6">
        <v>46229</v>
      </c>
      <c r="D927" s="17" t="str">
        <f t="shared" si="172"/>
        <v>July</v>
      </c>
      <c r="E927" s="5" t="str">
        <f t="shared" ca="1" si="173"/>
        <v>STU-305</v>
      </c>
      <c r="F927" s="5" t="str">
        <f ca="1">IF(COUNTIF($E$2:E927,E927)=1,"New Customer","Returning Customer")</f>
        <v>Returning Customer</v>
      </c>
      <c r="G927" s="5" t="str">
        <f t="shared" ca="1" si="174"/>
        <v>Not specified</v>
      </c>
      <c r="H927" s="5" t="s">
        <v>136</v>
      </c>
      <c r="I927" s="5" t="str" cm="1">
        <f t="array" aca="1" ref="I927" ca="1">INDEX(Courses!$B$9:$B$16,RANDBETWEEN(1,8))</f>
        <v>Microsoft Word</v>
      </c>
      <c r="J927" s="5" t="str">
        <f ca="1">VLOOKUP(I927,Courses!$B$9:$C$16,2,0)</f>
        <v>Microsoft Office</v>
      </c>
      <c r="K927" s="7">
        <f ca="1">VLOOKUP(I927,Courses!$B$9:$D$16,3,0)</f>
        <v>29</v>
      </c>
      <c r="L927" s="5" t="str">
        <f t="shared" ca="1" si="175"/>
        <v>Paid</v>
      </c>
      <c r="M927" s="8" t="str" cm="1">
        <f t="array" aca="1" ref="M927" ca="1">INDEX('Payment Method'!$A$8:$A$12,RANDBETWEEN(1,5))</f>
        <v>Mastercard Debit</v>
      </c>
      <c r="N927" s="7">
        <f>IFERROR(SUMIF(Holiday!$A$8:$A$11,B927,Holiday!$C$8:$C$11),0)</f>
        <v>0</v>
      </c>
      <c r="O927" s="7">
        <f t="shared" ca="1" si="176"/>
        <v>29</v>
      </c>
      <c r="P927" s="19">
        <f t="shared" ca="1" si="177"/>
        <v>28.42</v>
      </c>
      <c r="Q927" s="7">
        <f t="shared" ca="1" si="178"/>
        <v>0</v>
      </c>
      <c r="R927" s="8">
        <f ca="1">VLOOKUP(M927,'Payment Method'!$A$8:$B$12,2,0)</f>
        <v>0.02</v>
      </c>
      <c r="S927" s="9">
        <f t="shared" ca="1" si="168"/>
        <v>0.57999999999999829</v>
      </c>
      <c r="T927" s="8">
        <v>0.01</v>
      </c>
      <c r="U927" s="9">
        <f t="shared" ca="1" si="169"/>
        <v>0.28419999999999845</v>
      </c>
      <c r="V927" s="7">
        <f t="shared" ca="1" si="170"/>
        <v>0</v>
      </c>
      <c r="W927" s="7">
        <f t="shared" ca="1" si="171"/>
        <v>28.135800000000003</v>
      </c>
      <c r="X927" s="5" t="str">
        <f t="shared" ca="1" si="179"/>
        <v>Tiktok</v>
      </c>
      <c r="Y927" s="78">
        <f>IF(COUNTIF($C$1:C926,B926)=1,10,"")</f>
        <v>10</v>
      </c>
    </row>
    <row r="928" spans="1:25" x14ac:dyDescent="0.3">
      <c r="A928" s="75">
        <v>927</v>
      </c>
      <c r="B928" s="6">
        <v>46089</v>
      </c>
      <c r="C928" s="6">
        <v>46091</v>
      </c>
      <c r="D928" s="17" t="str">
        <f t="shared" si="172"/>
        <v>March</v>
      </c>
      <c r="E928" s="5" t="str">
        <f t="shared" ca="1" si="173"/>
        <v>STU-6</v>
      </c>
      <c r="F928" s="5" t="str">
        <f ca="1">IF(COUNTIF($E$2:E928,E928)=1,"New Customer","Returning Customer")</f>
        <v>New Customer</v>
      </c>
      <c r="G928" s="5" t="str">
        <f t="shared" ca="1" si="174"/>
        <v>Male</v>
      </c>
      <c r="H928" s="5" t="s">
        <v>138</v>
      </c>
      <c r="I928" s="5" t="str" cm="1">
        <f t="array" aca="1" ref="I928" ca="1">INDEX(Courses!$B$9:$B$16,RANDBETWEEN(1,8))</f>
        <v>Tax Code</v>
      </c>
      <c r="J928" s="5" t="str">
        <f ca="1">VLOOKUP(I928,Courses!$B$9:$C$16,2,0)</f>
        <v>Finance &amp; Taxation</v>
      </c>
      <c r="K928" s="7">
        <f ca="1">VLOOKUP(I928,Courses!$B$9:$D$16,3,0)</f>
        <v>59</v>
      </c>
      <c r="L928" s="5" t="str">
        <f t="shared" ca="1" si="175"/>
        <v>Paid</v>
      </c>
      <c r="M928" s="8" t="str" cm="1">
        <f t="array" aca="1" ref="M928" ca="1">INDEX('Payment Method'!$A$8:$A$12,RANDBETWEEN(1,5))</f>
        <v>Visa Credit</v>
      </c>
      <c r="N928" s="7">
        <f>IFERROR(SUMIF(Holiday!$A$8:$A$11,B928,Holiday!$C$8:$C$11),0)</f>
        <v>0</v>
      </c>
      <c r="O928" s="7">
        <f t="shared" ca="1" si="176"/>
        <v>59</v>
      </c>
      <c r="P928" s="19">
        <f t="shared" ca="1" si="177"/>
        <v>56.935000000000002</v>
      </c>
      <c r="Q928" s="7">
        <f t="shared" ca="1" si="178"/>
        <v>0</v>
      </c>
      <c r="R928" s="8">
        <f ca="1">VLOOKUP(M928,'Payment Method'!$A$8:$B$12,2,0)</f>
        <v>3.5000000000000003E-2</v>
      </c>
      <c r="S928" s="9">
        <f t="shared" ca="1" si="168"/>
        <v>2.0649999999999977</v>
      </c>
      <c r="T928" s="8">
        <v>0.01</v>
      </c>
      <c r="U928" s="9">
        <f t="shared" ca="1" si="169"/>
        <v>0.56935000000000002</v>
      </c>
      <c r="V928" s="7">
        <f t="shared" ca="1" si="170"/>
        <v>0</v>
      </c>
      <c r="W928" s="7">
        <f t="shared" ca="1" si="171"/>
        <v>56.365650000000002</v>
      </c>
      <c r="X928" s="5" t="str">
        <f t="shared" ca="1" si="179"/>
        <v>Tiktok</v>
      </c>
      <c r="Y928" s="78" t="str">
        <f>IF(COUNTIF($C$1:C927,B927)=1,10,"")</f>
        <v/>
      </c>
    </row>
    <row r="929" spans="1:25" x14ac:dyDescent="0.3">
      <c r="A929" s="76">
        <v>928</v>
      </c>
      <c r="B929" s="6">
        <v>46050</v>
      </c>
      <c r="C929" s="6">
        <v>46054</v>
      </c>
      <c r="D929" s="17" t="str">
        <f t="shared" si="172"/>
        <v>February</v>
      </c>
      <c r="E929" s="5" t="str">
        <f t="shared" ca="1" si="173"/>
        <v>STU-407</v>
      </c>
      <c r="F929" s="5" t="str">
        <f ca="1">IF(COUNTIF($E$2:E929,E929)=1,"New Customer","Returning Customer")</f>
        <v>Returning Customer</v>
      </c>
      <c r="G929" s="5" t="str">
        <f t="shared" ca="1" si="174"/>
        <v>Female</v>
      </c>
      <c r="H929" s="5" t="s">
        <v>139</v>
      </c>
      <c r="I929" s="5" t="str" cm="1">
        <f t="array" aca="1" ref="I929" ca="1">INDEX(Courses!$B$9:$B$16,RANDBETWEEN(1,8))</f>
        <v>Power BI</v>
      </c>
      <c r="J929" s="5" t="str">
        <f ca="1">VLOOKUP(I929,Courses!$B$9:$C$16,2,0)</f>
        <v>Data Analytics</v>
      </c>
      <c r="K929" s="7">
        <f ca="1">VLOOKUP(I929,Courses!$B$9:$D$16,3,0)</f>
        <v>59</v>
      </c>
      <c r="L929" s="5" t="str">
        <f t="shared" ca="1" si="175"/>
        <v>Pending</v>
      </c>
      <c r="M929" s="8" t="str" cm="1">
        <f t="array" aca="1" ref="M929" ca="1">INDEX('Payment Method'!$A$8:$A$12,RANDBETWEEN(1,5))</f>
        <v>Bank Transfer</v>
      </c>
      <c r="N929" s="7">
        <f>IFERROR(SUMIF(Holiday!$A$8:$A$11,B929,Holiday!$C$8:$C$11),0)</f>
        <v>0</v>
      </c>
      <c r="O929" s="7">
        <f t="shared" ca="1" si="176"/>
        <v>59</v>
      </c>
      <c r="P929" s="19">
        <f t="shared" ca="1" si="177"/>
        <v>59</v>
      </c>
      <c r="Q929" s="7">
        <f t="shared" ca="1" si="178"/>
        <v>58.41</v>
      </c>
      <c r="R929" s="8">
        <f ca="1">VLOOKUP(M929,'Payment Method'!$A$8:$B$12,2,0)</f>
        <v>0</v>
      </c>
      <c r="S929" s="9">
        <f t="shared" ca="1" si="168"/>
        <v>0</v>
      </c>
      <c r="T929" s="8">
        <v>0.01</v>
      </c>
      <c r="U929" s="9">
        <f t="shared" ca="1" si="169"/>
        <v>0.59000000000000341</v>
      </c>
      <c r="V929" s="7">
        <f t="shared" ca="1" si="170"/>
        <v>0</v>
      </c>
      <c r="W929" s="7">
        <f t="shared" ca="1" si="171"/>
        <v>0</v>
      </c>
      <c r="X929" s="5" t="str">
        <f t="shared" ca="1" si="179"/>
        <v>Facebook</v>
      </c>
      <c r="Y929" s="78" t="str">
        <f>IF(COUNTIF($C$1:C928,B928)=1,10,"")</f>
        <v/>
      </c>
    </row>
    <row r="930" spans="1:25" x14ac:dyDescent="0.3">
      <c r="A930" s="75">
        <v>929</v>
      </c>
      <c r="B930" s="6">
        <v>46226</v>
      </c>
      <c r="C930" s="6">
        <v>46231</v>
      </c>
      <c r="D930" s="17" t="str">
        <f t="shared" si="172"/>
        <v>July</v>
      </c>
      <c r="E930" s="5" t="str">
        <f t="shared" ca="1" si="173"/>
        <v>STU-615</v>
      </c>
      <c r="F930" s="5" t="str">
        <f ca="1">IF(COUNTIF($E$2:E930,E930)=1,"New Customer","Returning Customer")</f>
        <v>Returning Customer</v>
      </c>
      <c r="G930" s="5" t="str">
        <f t="shared" ca="1" si="174"/>
        <v>Not specified</v>
      </c>
      <c r="H930" s="5" t="s">
        <v>138</v>
      </c>
      <c r="I930" s="5" t="str" cm="1">
        <f t="array" aca="1" ref="I930" ca="1">INDEX(Courses!$B$9:$B$16,RANDBETWEEN(1,8))</f>
        <v>Adolescent Psychology</v>
      </c>
      <c r="J930" s="5" t="str">
        <f ca="1">VLOOKUP(I930,Courses!$B$9:$C$16,2,0)</f>
        <v>Psychology</v>
      </c>
      <c r="K930" s="7">
        <f ca="1">VLOOKUP(I930,Courses!$B$9:$D$16,3,0)</f>
        <v>29</v>
      </c>
      <c r="L930" s="5" t="str">
        <f t="shared" ca="1" si="175"/>
        <v>Paid</v>
      </c>
      <c r="M930" s="8" t="str" cm="1">
        <f t="array" aca="1" ref="M930" ca="1">INDEX('Payment Method'!$A$8:$A$12,RANDBETWEEN(1,5))</f>
        <v>Mastercard Credit</v>
      </c>
      <c r="N930" s="7">
        <f>IFERROR(SUMIF(Holiday!$A$8:$A$11,B930,Holiday!$C$8:$C$11),0)</f>
        <v>0</v>
      </c>
      <c r="O930" s="7">
        <f t="shared" ca="1" si="176"/>
        <v>29</v>
      </c>
      <c r="P930" s="19">
        <f t="shared" ca="1" si="177"/>
        <v>27.984999999999999</v>
      </c>
      <c r="Q930" s="7">
        <f t="shared" ca="1" si="178"/>
        <v>0</v>
      </c>
      <c r="R930" s="8">
        <f ca="1">VLOOKUP(M930,'Payment Method'!$A$8:$B$12,2,0)</f>
        <v>3.5000000000000003E-2</v>
      </c>
      <c r="S930" s="9">
        <f t="shared" ca="1" si="168"/>
        <v>1.0150000000000006</v>
      </c>
      <c r="T930" s="8">
        <v>0.01</v>
      </c>
      <c r="U930" s="9">
        <f t="shared" ca="1" si="169"/>
        <v>0.27984999999999971</v>
      </c>
      <c r="V930" s="7">
        <f t="shared" ca="1" si="170"/>
        <v>0</v>
      </c>
      <c r="W930" s="7">
        <f t="shared" ca="1" si="171"/>
        <v>27.70515</v>
      </c>
      <c r="X930" s="5" t="str">
        <f t="shared" ca="1" si="179"/>
        <v>Instagram</v>
      </c>
      <c r="Y930" s="78" t="str">
        <f>IF(COUNTIF($C$1:C929,B929)=1,10,"")</f>
        <v/>
      </c>
    </row>
    <row r="931" spans="1:25" x14ac:dyDescent="0.3">
      <c r="A931" s="76">
        <v>930</v>
      </c>
      <c r="B931" s="6">
        <v>46130</v>
      </c>
      <c r="C931" s="6">
        <v>46133</v>
      </c>
      <c r="D931" s="17" t="str">
        <f t="shared" si="172"/>
        <v>April</v>
      </c>
      <c r="E931" s="5" t="str">
        <f t="shared" ca="1" si="173"/>
        <v>STU-964</v>
      </c>
      <c r="F931" s="5" t="str">
        <f ca="1">IF(COUNTIF($E$2:E931,E931)=1,"New Customer","Returning Customer")</f>
        <v>Returning Customer</v>
      </c>
      <c r="G931" s="5" t="str">
        <f t="shared" ca="1" si="174"/>
        <v>Male</v>
      </c>
      <c r="H931" s="5" t="s">
        <v>142</v>
      </c>
      <c r="I931" s="5" t="str" cm="1">
        <f t="array" aca="1" ref="I931" ca="1">INDEX(Courses!$B$9:$B$16,RANDBETWEEN(1,8))</f>
        <v>Tax Code</v>
      </c>
      <c r="J931" s="5" t="str">
        <f ca="1">VLOOKUP(I931,Courses!$B$9:$C$16,2,0)</f>
        <v>Finance &amp; Taxation</v>
      </c>
      <c r="K931" s="7">
        <f ca="1">VLOOKUP(I931,Courses!$B$9:$D$16,3,0)</f>
        <v>59</v>
      </c>
      <c r="L931" s="5" t="str">
        <f t="shared" ca="1" si="175"/>
        <v>Pending</v>
      </c>
      <c r="M931" s="8" t="str" cm="1">
        <f t="array" aca="1" ref="M931" ca="1">INDEX('Payment Method'!$A$8:$A$12,RANDBETWEEN(1,5))</f>
        <v>Mastercard Debit</v>
      </c>
      <c r="N931" s="7">
        <f>IFERROR(SUMIF(Holiday!$A$8:$A$11,B931,Holiday!$C$8:$C$11),0)</f>
        <v>0</v>
      </c>
      <c r="O931" s="7">
        <f t="shared" ca="1" si="176"/>
        <v>59</v>
      </c>
      <c r="P931" s="19">
        <f t="shared" ca="1" si="177"/>
        <v>57.82</v>
      </c>
      <c r="Q931" s="7">
        <f t="shared" ca="1" si="178"/>
        <v>57.241799999999998</v>
      </c>
      <c r="R931" s="8">
        <f ca="1">VLOOKUP(M931,'Payment Method'!$A$8:$B$12,2,0)</f>
        <v>0.02</v>
      </c>
      <c r="S931" s="9">
        <f t="shared" ca="1" si="168"/>
        <v>1.1799999999999997</v>
      </c>
      <c r="T931" s="8">
        <v>0.01</v>
      </c>
      <c r="U931" s="9">
        <f t="shared" ca="1" si="169"/>
        <v>0.57820000000000249</v>
      </c>
      <c r="V931" s="7">
        <f t="shared" ca="1" si="170"/>
        <v>0</v>
      </c>
      <c r="W931" s="7">
        <f t="shared" ca="1" si="171"/>
        <v>0</v>
      </c>
      <c r="X931" s="5" t="str">
        <f t="shared" ca="1" si="179"/>
        <v>Tiktok</v>
      </c>
      <c r="Y931" s="78">
        <f>IF(COUNTIF($C$1:C930,B930)=1,10,"")</f>
        <v>10</v>
      </c>
    </row>
    <row r="932" spans="1:25" x14ac:dyDescent="0.3">
      <c r="A932" s="75">
        <v>931</v>
      </c>
      <c r="B932" s="6">
        <v>46182</v>
      </c>
      <c r="C932" s="6">
        <v>46186</v>
      </c>
      <c r="D932" s="17" t="str">
        <f t="shared" si="172"/>
        <v>June</v>
      </c>
      <c r="E932" s="5" t="str">
        <f t="shared" ca="1" si="173"/>
        <v>STU-889</v>
      </c>
      <c r="F932" s="5" t="str">
        <f ca="1">IF(COUNTIF($E$2:E932,E932)=1,"New Customer","Returning Customer")</f>
        <v>New Customer</v>
      </c>
      <c r="G932" s="5" t="str">
        <f t="shared" ca="1" si="174"/>
        <v>Male</v>
      </c>
      <c r="H932" s="5" t="s">
        <v>141</v>
      </c>
      <c r="I932" s="5" t="str" cm="1">
        <f t="array" aca="1" ref="I932" ca="1">INDEX(Courses!$B$9:$B$16,RANDBETWEEN(1,8))</f>
        <v>Complete Excel Course</v>
      </c>
      <c r="J932" s="5" t="str">
        <f ca="1">VLOOKUP(I932,Courses!$B$9:$C$16,2,0)</f>
        <v>Microsoft Office</v>
      </c>
      <c r="K932" s="7">
        <f ca="1">VLOOKUP(I932,Courses!$B$9:$D$16,3,0)</f>
        <v>59</v>
      </c>
      <c r="L932" s="5" t="str">
        <f t="shared" ca="1" si="175"/>
        <v>Paid</v>
      </c>
      <c r="M932" s="8" t="str" cm="1">
        <f t="array" aca="1" ref="M932" ca="1">INDEX('Payment Method'!$A$8:$A$12,RANDBETWEEN(1,5))</f>
        <v>Visa Credit</v>
      </c>
      <c r="N932" s="7">
        <f>IFERROR(SUMIF(Holiday!$A$8:$A$11,B932,Holiday!$C$8:$C$11),0)</f>
        <v>0</v>
      </c>
      <c r="O932" s="7">
        <f t="shared" ca="1" si="176"/>
        <v>59</v>
      </c>
      <c r="P932" s="19">
        <f t="shared" ca="1" si="177"/>
        <v>56.935000000000002</v>
      </c>
      <c r="Q932" s="7">
        <f t="shared" ca="1" si="178"/>
        <v>0</v>
      </c>
      <c r="R932" s="8">
        <f ca="1">VLOOKUP(M932,'Payment Method'!$A$8:$B$12,2,0)</f>
        <v>3.5000000000000003E-2</v>
      </c>
      <c r="S932" s="9">
        <f t="shared" ca="1" si="168"/>
        <v>2.0649999999999977</v>
      </c>
      <c r="T932" s="8">
        <v>0.01</v>
      </c>
      <c r="U932" s="9">
        <f t="shared" ca="1" si="169"/>
        <v>0.56935000000000002</v>
      </c>
      <c r="V932" s="7">
        <f t="shared" ca="1" si="170"/>
        <v>0</v>
      </c>
      <c r="W932" s="7">
        <f t="shared" ca="1" si="171"/>
        <v>56.365650000000002</v>
      </c>
      <c r="X932" s="5" t="str">
        <f t="shared" ca="1" si="179"/>
        <v>Instagram</v>
      </c>
      <c r="Y932" s="78" t="str">
        <f>IF(COUNTIF($C$1:C931,B931)=1,10,"")</f>
        <v/>
      </c>
    </row>
    <row r="933" spans="1:25" x14ac:dyDescent="0.3">
      <c r="A933" s="76">
        <v>932</v>
      </c>
      <c r="B933" s="6">
        <v>46040</v>
      </c>
      <c r="C933" s="6">
        <v>46041</v>
      </c>
      <c r="D933" s="17" t="str">
        <f t="shared" si="172"/>
        <v>January</v>
      </c>
      <c r="E933" s="5" t="str">
        <f t="shared" ca="1" si="173"/>
        <v>STU-750</v>
      </c>
      <c r="F933" s="5" t="str">
        <f ca="1">IF(COUNTIF($E$2:E933,E933)=1,"New Customer","Returning Customer")</f>
        <v>New Customer</v>
      </c>
      <c r="G933" s="5" t="str">
        <f t="shared" ca="1" si="174"/>
        <v>Female</v>
      </c>
      <c r="H933" s="5" t="s">
        <v>137</v>
      </c>
      <c r="I933" s="5" t="str" cm="1">
        <f t="array" aca="1" ref="I933" ca="1">INDEX(Courses!$B$9:$B$16,RANDBETWEEN(1,8))</f>
        <v>Power BI</v>
      </c>
      <c r="J933" s="5" t="str">
        <f ca="1">VLOOKUP(I933,Courses!$B$9:$C$16,2,0)</f>
        <v>Data Analytics</v>
      </c>
      <c r="K933" s="7">
        <f ca="1">VLOOKUP(I933,Courses!$B$9:$D$16,3,0)</f>
        <v>59</v>
      </c>
      <c r="L933" s="5" t="str">
        <f t="shared" ca="1" si="175"/>
        <v>Paid</v>
      </c>
      <c r="M933" s="8" t="str" cm="1">
        <f t="array" aca="1" ref="M933" ca="1">INDEX('Payment Method'!$A$8:$A$12,RANDBETWEEN(1,5))</f>
        <v>Mastercard Credit</v>
      </c>
      <c r="N933" s="7">
        <f>IFERROR(SUMIF(Holiday!$A$8:$A$11,B933,Holiday!$C$8:$C$11),0)</f>
        <v>0</v>
      </c>
      <c r="O933" s="7">
        <f t="shared" ca="1" si="176"/>
        <v>59</v>
      </c>
      <c r="P933" s="19">
        <f t="shared" ca="1" si="177"/>
        <v>56.935000000000002</v>
      </c>
      <c r="Q933" s="7">
        <f t="shared" ca="1" si="178"/>
        <v>0</v>
      </c>
      <c r="R933" s="8">
        <f ca="1">VLOOKUP(M933,'Payment Method'!$A$8:$B$12,2,0)</f>
        <v>3.5000000000000003E-2</v>
      </c>
      <c r="S933" s="9">
        <f t="shared" ca="1" si="168"/>
        <v>2.0649999999999977</v>
      </c>
      <c r="T933" s="8">
        <v>0.01</v>
      </c>
      <c r="U933" s="9">
        <f t="shared" ca="1" si="169"/>
        <v>0.56935000000000002</v>
      </c>
      <c r="V933" s="7">
        <f t="shared" ca="1" si="170"/>
        <v>0</v>
      </c>
      <c r="W933" s="7">
        <f t="shared" ca="1" si="171"/>
        <v>56.365650000000002</v>
      </c>
      <c r="X933" s="5" t="str">
        <f t="shared" ca="1" si="179"/>
        <v>Tiktok</v>
      </c>
      <c r="Y933" s="78" t="str">
        <f>IF(COUNTIF($C$1:C932,B932)=1,10,"")</f>
        <v/>
      </c>
    </row>
    <row r="934" spans="1:25" x14ac:dyDescent="0.3">
      <c r="A934" s="75">
        <v>933</v>
      </c>
      <c r="B934" s="6">
        <v>46189</v>
      </c>
      <c r="C934" s="6">
        <v>46192</v>
      </c>
      <c r="D934" s="17" t="str">
        <f t="shared" si="172"/>
        <v>June</v>
      </c>
      <c r="E934" s="5" t="str">
        <f t="shared" ca="1" si="173"/>
        <v>STU-165</v>
      </c>
      <c r="F934" s="5" t="str">
        <f ca="1">IF(COUNTIF($E$2:E934,E934)=1,"New Customer","Returning Customer")</f>
        <v>Returning Customer</v>
      </c>
      <c r="G934" s="5" t="str">
        <f t="shared" ca="1" si="174"/>
        <v>Not specified</v>
      </c>
      <c r="H934" s="5" t="s">
        <v>141</v>
      </c>
      <c r="I934" s="5" t="str" cm="1">
        <f t="array" aca="1" ref="I934" ca="1">INDEX(Courses!$B$9:$B$16,RANDBETWEEN(1,8))</f>
        <v>Microsoft Word</v>
      </c>
      <c r="J934" s="5" t="str">
        <f ca="1">VLOOKUP(I934,Courses!$B$9:$C$16,2,0)</f>
        <v>Microsoft Office</v>
      </c>
      <c r="K934" s="7">
        <f ca="1">VLOOKUP(I934,Courses!$B$9:$D$16,3,0)</f>
        <v>29</v>
      </c>
      <c r="L934" s="5" t="str">
        <f t="shared" ca="1" si="175"/>
        <v>Paid</v>
      </c>
      <c r="M934" s="8" t="str" cm="1">
        <f t="array" aca="1" ref="M934" ca="1">INDEX('Payment Method'!$A$8:$A$12,RANDBETWEEN(1,5))</f>
        <v>Bank Transfer</v>
      </c>
      <c r="N934" s="7">
        <f>IFERROR(SUMIF(Holiday!$A$8:$A$11,B934,Holiday!$C$8:$C$11),0)</f>
        <v>0</v>
      </c>
      <c r="O934" s="7">
        <f t="shared" ca="1" si="176"/>
        <v>29</v>
      </c>
      <c r="P934" s="19">
        <f t="shared" ca="1" si="177"/>
        <v>29</v>
      </c>
      <c r="Q934" s="7">
        <f t="shared" ca="1" si="178"/>
        <v>0</v>
      </c>
      <c r="R934" s="8">
        <f ca="1">VLOOKUP(M934,'Payment Method'!$A$8:$B$12,2,0)</f>
        <v>0</v>
      </c>
      <c r="S934" s="9">
        <f t="shared" ca="1" si="168"/>
        <v>0</v>
      </c>
      <c r="T934" s="8">
        <v>0.01</v>
      </c>
      <c r="U934" s="9">
        <f t="shared" ca="1" si="169"/>
        <v>0.28999999999999915</v>
      </c>
      <c r="V934" s="7">
        <f t="shared" ca="1" si="170"/>
        <v>0</v>
      </c>
      <c r="W934" s="7">
        <f t="shared" ca="1" si="171"/>
        <v>28.71</v>
      </c>
      <c r="X934" s="5" t="str">
        <f t="shared" ca="1" si="179"/>
        <v>Tiktok</v>
      </c>
      <c r="Y934" s="78" t="str">
        <f>IF(COUNTIF($C$1:C933,B933)=1,10,"")</f>
        <v/>
      </c>
    </row>
    <row r="935" spans="1:25" x14ac:dyDescent="0.3">
      <c r="A935" s="76">
        <v>934</v>
      </c>
      <c r="B935" s="6">
        <v>46227</v>
      </c>
      <c r="C935" s="6">
        <v>46229</v>
      </c>
      <c r="D935" s="17" t="str">
        <f t="shared" si="172"/>
        <v>July</v>
      </c>
      <c r="E935" s="5" t="str">
        <f t="shared" ca="1" si="173"/>
        <v>STU-166</v>
      </c>
      <c r="F935" s="5" t="str">
        <f ca="1">IF(COUNTIF($E$2:E935,E935)=1,"New Customer","Returning Customer")</f>
        <v>Returning Customer</v>
      </c>
      <c r="G935" s="5" t="str">
        <f t="shared" ca="1" si="174"/>
        <v>Male</v>
      </c>
      <c r="H935" s="5" t="s">
        <v>138</v>
      </c>
      <c r="I935" s="5" t="str" cm="1">
        <f t="array" aca="1" ref="I935" ca="1">INDEX(Courses!$B$9:$B$16,RANDBETWEEN(1,8))</f>
        <v>Microsoft Word</v>
      </c>
      <c r="J935" s="5" t="str">
        <f ca="1">VLOOKUP(I935,Courses!$B$9:$C$16,2,0)</f>
        <v>Microsoft Office</v>
      </c>
      <c r="K935" s="7">
        <f ca="1">VLOOKUP(I935,Courses!$B$9:$D$16,3,0)</f>
        <v>29</v>
      </c>
      <c r="L935" s="5" t="str">
        <f t="shared" ca="1" si="175"/>
        <v>Pending</v>
      </c>
      <c r="M935" s="8" t="str" cm="1">
        <f t="array" aca="1" ref="M935" ca="1">INDEX('Payment Method'!$A$8:$A$12,RANDBETWEEN(1,5))</f>
        <v>Mastercard Credit</v>
      </c>
      <c r="N935" s="7">
        <f>IFERROR(SUMIF(Holiday!$A$8:$A$11,B935,Holiday!$C$8:$C$11),0)</f>
        <v>0</v>
      </c>
      <c r="O935" s="7">
        <f t="shared" ca="1" si="176"/>
        <v>29</v>
      </c>
      <c r="P935" s="19">
        <f t="shared" ca="1" si="177"/>
        <v>27.984999999999999</v>
      </c>
      <c r="Q935" s="7">
        <f t="shared" ca="1" si="178"/>
        <v>27.70515</v>
      </c>
      <c r="R935" s="8">
        <f ca="1">VLOOKUP(M935,'Payment Method'!$A$8:$B$12,2,0)</f>
        <v>3.5000000000000003E-2</v>
      </c>
      <c r="S935" s="9">
        <f t="shared" ca="1" si="168"/>
        <v>1.0150000000000006</v>
      </c>
      <c r="T935" s="8">
        <v>0.01</v>
      </c>
      <c r="U935" s="9">
        <f t="shared" ca="1" si="169"/>
        <v>0.27984999999999971</v>
      </c>
      <c r="V935" s="7">
        <f t="shared" ca="1" si="170"/>
        <v>0</v>
      </c>
      <c r="W935" s="7">
        <f t="shared" ca="1" si="171"/>
        <v>0</v>
      </c>
      <c r="X935" s="5" t="str">
        <f t="shared" ca="1" si="179"/>
        <v>Tiktok</v>
      </c>
      <c r="Y935" s="78" t="str">
        <f>IF(COUNTIF($C$1:C934,B934)=1,10,"")</f>
        <v/>
      </c>
    </row>
    <row r="936" spans="1:25" x14ac:dyDescent="0.3">
      <c r="A936" s="75">
        <v>935</v>
      </c>
      <c r="B936" s="6">
        <v>46131</v>
      </c>
      <c r="C936" s="6">
        <v>46136</v>
      </c>
      <c r="D936" s="17" t="str">
        <f t="shared" si="172"/>
        <v>April</v>
      </c>
      <c r="E936" s="5" t="str">
        <f t="shared" ca="1" si="173"/>
        <v>STU-112</v>
      </c>
      <c r="F936" s="5" t="str">
        <f ca="1">IF(COUNTIF($E$2:E936,E936)=1,"New Customer","Returning Customer")</f>
        <v>New Customer</v>
      </c>
      <c r="G936" s="5" t="str">
        <f t="shared" ca="1" si="174"/>
        <v>Female</v>
      </c>
      <c r="H936" s="5" t="s">
        <v>139</v>
      </c>
      <c r="I936" s="5" t="str" cm="1">
        <f t="array" aca="1" ref="I936" ca="1">INDEX(Courses!$B$9:$B$16,RANDBETWEEN(1,8))</f>
        <v>Microsoft Word</v>
      </c>
      <c r="J936" s="5" t="str">
        <f ca="1">VLOOKUP(I936,Courses!$B$9:$C$16,2,0)</f>
        <v>Microsoft Office</v>
      </c>
      <c r="K936" s="7">
        <f ca="1">VLOOKUP(I936,Courses!$B$9:$D$16,3,0)</f>
        <v>29</v>
      </c>
      <c r="L936" s="5" t="str">
        <f t="shared" ca="1" si="175"/>
        <v>Paid</v>
      </c>
      <c r="M936" s="8" t="str" cm="1">
        <f t="array" aca="1" ref="M936" ca="1">INDEX('Payment Method'!$A$8:$A$12,RANDBETWEEN(1,5))</f>
        <v>Visa Debit</v>
      </c>
      <c r="N936" s="7">
        <f>IFERROR(SUMIF(Holiday!$A$8:$A$11,B936,Holiday!$C$8:$C$11),0)</f>
        <v>0</v>
      </c>
      <c r="O936" s="7">
        <f t="shared" ca="1" si="176"/>
        <v>29</v>
      </c>
      <c r="P936" s="19">
        <f t="shared" ca="1" si="177"/>
        <v>28.42</v>
      </c>
      <c r="Q936" s="7">
        <f t="shared" ca="1" si="178"/>
        <v>0</v>
      </c>
      <c r="R936" s="8">
        <f ca="1">VLOOKUP(M936,'Payment Method'!$A$8:$B$12,2,0)</f>
        <v>0.02</v>
      </c>
      <c r="S936" s="9">
        <f t="shared" ca="1" si="168"/>
        <v>0.57999999999999829</v>
      </c>
      <c r="T936" s="8">
        <v>0.01</v>
      </c>
      <c r="U936" s="9">
        <f t="shared" ca="1" si="169"/>
        <v>0.28419999999999845</v>
      </c>
      <c r="V936" s="7">
        <f t="shared" ca="1" si="170"/>
        <v>0</v>
      </c>
      <c r="W936" s="7">
        <f t="shared" ca="1" si="171"/>
        <v>28.135800000000003</v>
      </c>
      <c r="X936" s="5" t="str">
        <f t="shared" ca="1" si="179"/>
        <v>Facebook</v>
      </c>
      <c r="Y936" s="78" t="str">
        <f>IF(COUNTIF($C$1:C935,B935)=1,10,"")</f>
        <v/>
      </c>
    </row>
    <row r="937" spans="1:25" x14ac:dyDescent="0.3">
      <c r="A937" s="76">
        <v>936</v>
      </c>
      <c r="B937" s="6">
        <v>46080</v>
      </c>
      <c r="C937" s="6">
        <v>46081</v>
      </c>
      <c r="D937" s="17" t="str">
        <f t="shared" si="172"/>
        <v>February</v>
      </c>
      <c r="E937" s="5" t="str">
        <f t="shared" ca="1" si="173"/>
        <v>STU-498</v>
      </c>
      <c r="F937" s="5" t="str">
        <f ca="1">IF(COUNTIF($E$2:E937,E937)=1,"New Customer","Returning Customer")</f>
        <v>Returning Customer</v>
      </c>
      <c r="G937" s="5" t="str">
        <f t="shared" ca="1" si="174"/>
        <v>Female</v>
      </c>
      <c r="H937" s="5" t="s">
        <v>135</v>
      </c>
      <c r="I937" s="5" t="str" cm="1">
        <f t="array" aca="1" ref="I937" ca="1">INDEX(Courses!$B$9:$B$16,RANDBETWEEN(1,8))</f>
        <v>PowerPoint</v>
      </c>
      <c r="J937" s="5" t="str">
        <f ca="1">VLOOKUP(I937,Courses!$B$9:$C$16,2,0)</f>
        <v>Microsoft Office</v>
      </c>
      <c r="K937" s="7">
        <f ca="1">VLOOKUP(I937,Courses!$B$9:$D$16,3,0)</f>
        <v>29</v>
      </c>
      <c r="L937" s="5" t="str">
        <f t="shared" ca="1" si="175"/>
        <v>Paid</v>
      </c>
      <c r="M937" s="8" t="str" cm="1">
        <f t="array" aca="1" ref="M937" ca="1">INDEX('Payment Method'!$A$8:$A$12,RANDBETWEEN(1,5))</f>
        <v>Mastercard Debit</v>
      </c>
      <c r="N937" s="7">
        <f>IFERROR(SUMIF(Holiday!$A$8:$A$11,B937,Holiday!$C$8:$C$11),0)</f>
        <v>0</v>
      </c>
      <c r="O937" s="7">
        <f t="shared" ca="1" si="176"/>
        <v>29</v>
      </c>
      <c r="P937" s="19">
        <f t="shared" ca="1" si="177"/>
        <v>28.42</v>
      </c>
      <c r="Q937" s="7">
        <f t="shared" ca="1" si="178"/>
        <v>0</v>
      </c>
      <c r="R937" s="8">
        <f ca="1">VLOOKUP(M937,'Payment Method'!$A$8:$B$12,2,0)</f>
        <v>0.02</v>
      </c>
      <c r="S937" s="9">
        <f t="shared" ca="1" si="168"/>
        <v>0.57999999999999829</v>
      </c>
      <c r="T937" s="8">
        <v>0.01</v>
      </c>
      <c r="U937" s="9">
        <f t="shared" ca="1" si="169"/>
        <v>0.28419999999999845</v>
      </c>
      <c r="V937" s="7">
        <f t="shared" ca="1" si="170"/>
        <v>0</v>
      </c>
      <c r="W937" s="7">
        <f t="shared" ca="1" si="171"/>
        <v>28.135800000000003</v>
      </c>
      <c r="X937" s="5" t="str">
        <f t="shared" ca="1" si="179"/>
        <v>Instagram</v>
      </c>
      <c r="Y937" s="78" t="str">
        <f>IF(COUNTIF($C$1:C936,B936)=1,10,"")</f>
        <v/>
      </c>
    </row>
    <row r="938" spans="1:25" x14ac:dyDescent="0.3">
      <c r="A938" s="75">
        <v>937</v>
      </c>
      <c r="B938" s="6">
        <v>46207</v>
      </c>
      <c r="C938" s="6">
        <v>46211</v>
      </c>
      <c r="D938" s="17" t="str">
        <f t="shared" si="172"/>
        <v>July</v>
      </c>
      <c r="E938" s="5" t="str">
        <f t="shared" ca="1" si="173"/>
        <v>STU-416</v>
      </c>
      <c r="F938" s="5" t="str">
        <f ca="1">IF(COUNTIF($E$2:E938,E938)=1,"New Customer","Returning Customer")</f>
        <v>Returning Customer</v>
      </c>
      <c r="G938" s="5" t="str">
        <f t="shared" ca="1" si="174"/>
        <v>Female</v>
      </c>
      <c r="H938" s="5" t="s">
        <v>142</v>
      </c>
      <c r="I938" s="5" t="str" cm="1">
        <f t="array" aca="1" ref="I938" ca="1">INDEX(Courses!$B$9:$B$16,RANDBETWEEN(1,8))</f>
        <v>Power BI</v>
      </c>
      <c r="J938" s="5" t="str">
        <f ca="1">VLOOKUP(I938,Courses!$B$9:$C$16,2,0)</f>
        <v>Data Analytics</v>
      </c>
      <c r="K938" s="7">
        <f ca="1">VLOOKUP(I938,Courses!$B$9:$D$16,3,0)</f>
        <v>59</v>
      </c>
      <c r="L938" s="5" t="str">
        <f t="shared" ca="1" si="175"/>
        <v>Paid</v>
      </c>
      <c r="M938" s="8" t="str" cm="1">
        <f t="array" aca="1" ref="M938" ca="1">INDEX('Payment Method'!$A$8:$A$12,RANDBETWEEN(1,5))</f>
        <v>Mastercard Debit</v>
      </c>
      <c r="N938" s="7">
        <f>IFERROR(SUMIF(Holiday!$A$8:$A$11,B938,Holiday!$C$8:$C$11),0)</f>
        <v>0</v>
      </c>
      <c r="O938" s="7">
        <f t="shared" ca="1" si="176"/>
        <v>59</v>
      </c>
      <c r="P938" s="19">
        <f t="shared" ca="1" si="177"/>
        <v>57.82</v>
      </c>
      <c r="Q938" s="7">
        <f t="shared" ca="1" si="178"/>
        <v>0</v>
      </c>
      <c r="R938" s="8">
        <f ca="1">VLOOKUP(M938,'Payment Method'!$A$8:$B$12,2,0)</f>
        <v>0.02</v>
      </c>
      <c r="S938" s="9">
        <f t="shared" ca="1" si="168"/>
        <v>1.1799999999999997</v>
      </c>
      <c r="T938" s="8">
        <v>0.01</v>
      </c>
      <c r="U938" s="9">
        <f t="shared" ca="1" si="169"/>
        <v>0.57820000000000249</v>
      </c>
      <c r="V938" s="7">
        <f t="shared" ca="1" si="170"/>
        <v>0</v>
      </c>
      <c r="W938" s="7">
        <f t="shared" ca="1" si="171"/>
        <v>57.241799999999998</v>
      </c>
      <c r="X938" s="5" t="str">
        <f t="shared" ca="1" si="179"/>
        <v>Facebook</v>
      </c>
      <c r="Y938" s="78" t="str">
        <f>IF(COUNTIF($C$1:C937,B937)=1,10,"")</f>
        <v/>
      </c>
    </row>
    <row r="939" spans="1:25" x14ac:dyDescent="0.3">
      <c r="A939" s="76">
        <v>938</v>
      </c>
      <c r="B939" s="6">
        <v>46206</v>
      </c>
      <c r="C939" s="6">
        <v>46208</v>
      </c>
      <c r="D939" s="17" t="str">
        <f t="shared" si="172"/>
        <v>July</v>
      </c>
      <c r="E939" s="5" t="str">
        <f t="shared" ca="1" si="173"/>
        <v>STU-175</v>
      </c>
      <c r="F939" s="5" t="str">
        <f ca="1">IF(COUNTIF($E$2:E939,E939)=1,"New Customer","Returning Customer")</f>
        <v>New Customer</v>
      </c>
      <c r="G939" s="5" t="str">
        <f t="shared" ca="1" si="174"/>
        <v>Not specified</v>
      </c>
      <c r="H939" s="5" t="s">
        <v>139</v>
      </c>
      <c r="I939" s="5" t="str" cm="1">
        <f t="array" aca="1" ref="I939" ca="1">INDEX(Courses!$B$9:$B$16,RANDBETWEEN(1,8))</f>
        <v>SQL</v>
      </c>
      <c r="J939" s="5" t="str">
        <f ca="1">VLOOKUP(I939,Courses!$B$9:$C$16,2,0)</f>
        <v>Data Analytics</v>
      </c>
      <c r="K939" s="7">
        <f ca="1">VLOOKUP(I939,Courses!$B$9:$D$16,3,0)</f>
        <v>99</v>
      </c>
      <c r="L939" s="5" t="str">
        <f t="shared" ca="1" si="175"/>
        <v>Refunded</v>
      </c>
      <c r="M939" s="8" t="str" cm="1">
        <f t="array" aca="1" ref="M939" ca="1">INDEX('Payment Method'!$A$8:$A$12,RANDBETWEEN(1,5))</f>
        <v>Mastercard Credit</v>
      </c>
      <c r="N939" s="7">
        <f>IFERROR(SUMIF(Holiday!$A$8:$A$11,B939,Holiday!$C$8:$C$11),0)</f>
        <v>0</v>
      </c>
      <c r="O939" s="7">
        <f t="shared" ca="1" si="176"/>
        <v>99</v>
      </c>
      <c r="P939" s="19">
        <f t="shared" ca="1" si="177"/>
        <v>95.534999999999997</v>
      </c>
      <c r="Q939" s="7">
        <f t="shared" ca="1" si="178"/>
        <v>0</v>
      </c>
      <c r="R939" s="8">
        <f ca="1">VLOOKUP(M939,'Payment Method'!$A$8:$B$12,2,0)</f>
        <v>3.5000000000000003E-2</v>
      </c>
      <c r="S939" s="9">
        <f t="shared" ca="1" si="168"/>
        <v>3.4650000000000034</v>
      </c>
      <c r="T939" s="8">
        <v>0.01</v>
      </c>
      <c r="U939" s="9">
        <f t="shared" ca="1" si="169"/>
        <v>0.9553499999999957</v>
      </c>
      <c r="V939" s="7">
        <f t="shared" ca="1" si="170"/>
        <v>94.579650000000001</v>
      </c>
      <c r="W939" s="7">
        <f t="shared" ca="1" si="171"/>
        <v>0</v>
      </c>
      <c r="X939" s="5" t="str">
        <f t="shared" ca="1" si="179"/>
        <v>Tiktok</v>
      </c>
      <c r="Y939" s="78" t="str">
        <f>IF(COUNTIF($C$1:C938,B938)=1,10,"")</f>
        <v/>
      </c>
    </row>
    <row r="940" spans="1:25" x14ac:dyDescent="0.3">
      <c r="A940" s="75">
        <v>939</v>
      </c>
      <c r="B940" s="6">
        <v>46154</v>
      </c>
      <c r="C940" s="6">
        <v>46159</v>
      </c>
      <c r="D940" s="17" t="str">
        <f t="shared" si="172"/>
        <v>May</v>
      </c>
      <c r="E940" s="5" t="str">
        <f t="shared" ca="1" si="173"/>
        <v>STU-968</v>
      </c>
      <c r="F940" s="5" t="str">
        <f ca="1">IF(COUNTIF($E$2:E940,E940)=1,"New Customer","Returning Customer")</f>
        <v>Returning Customer</v>
      </c>
      <c r="G940" s="5" t="str">
        <f t="shared" ca="1" si="174"/>
        <v>Not specified</v>
      </c>
      <c r="H940" s="5" t="s">
        <v>137</v>
      </c>
      <c r="I940" s="5" t="str" cm="1">
        <f t="array" aca="1" ref="I940" ca="1">INDEX(Courses!$B$9:$B$16,RANDBETWEEN(1,8))</f>
        <v>Adolescent Psychology</v>
      </c>
      <c r="J940" s="5" t="str">
        <f ca="1">VLOOKUP(I940,Courses!$B$9:$C$16,2,0)</f>
        <v>Psychology</v>
      </c>
      <c r="K940" s="7">
        <f ca="1">VLOOKUP(I940,Courses!$B$9:$D$16,3,0)</f>
        <v>29</v>
      </c>
      <c r="L940" s="5" t="str">
        <f t="shared" ca="1" si="175"/>
        <v>Pending</v>
      </c>
      <c r="M940" s="8" t="str" cm="1">
        <f t="array" aca="1" ref="M940" ca="1">INDEX('Payment Method'!$A$8:$A$12,RANDBETWEEN(1,5))</f>
        <v>Visa Debit</v>
      </c>
      <c r="N940" s="7">
        <f>IFERROR(SUMIF(Holiday!$A$8:$A$11,B940,Holiday!$C$8:$C$11),0)</f>
        <v>0</v>
      </c>
      <c r="O940" s="7">
        <f t="shared" ca="1" si="176"/>
        <v>29</v>
      </c>
      <c r="P940" s="19">
        <f t="shared" ca="1" si="177"/>
        <v>28.42</v>
      </c>
      <c r="Q940" s="7">
        <f t="shared" ca="1" si="178"/>
        <v>28.135800000000003</v>
      </c>
      <c r="R940" s="8">
        <f ca="1">VLOOKUP(M940,'Payment Method'!$A$8:$B$12,2,0)</f>
        <v>0.02</v>
      </c>
      <c r="S940" s="9">
        <f t="shared" ca="1" si="168"/>
        <v>0.57999999999999829</v>
      </c>
      <c r="T940" s="8">
        <v>0.01</v>
      </c>
      <c r="U940" s="9">
        <f t="shared" ca="1" si="169"/>
        <v>0.28419999999999845</v>
      </c>
      <c r="V940" s="7">
        <f t="shared" ca="1" si="170"/>
        <v>0</v>
      </c>
      <c r="W940" s="7">
        <f t="shared" ca="1" si="171"/>
        <v>0</v>
      </c>
      <c r="X940" s="5" t="str">
        <f t="shared" ca="1" si="179"/>
        <v>Facebook</v>
      </c>
      <c r="Y940" s="78" t="str">
        <f>IF(COUNTIF($C$1:C939,B939)=1,10,"")</f>
        <v/>
      </c>
    </row>
    <row r="941" spans="1:25" x14ac:dyDescent="0.3">
      <c r="A941" s="76">
        <v>940</v>
      </c>
      <c r="B941" s="6">
        <v>46125</v>
      </c>
      <c r="C941" s="6">
        <v>46128</v>
      </c>
      <c r="D941" s="17" t="str">
        <f t="shared" si="172"/>
        <v>April</v>
      </c>
      <c r="E941" s="5" t="str">
        <f t="shared" ca="1" si="173"/>
        <v>STU-285</v>
      </c>
      <c r="F941" s="5" t="str">
        <f ca="1">IF(COUNTIF($E$2:E941,E941)=1,"New Customer","Returning Customer")</f>
        <v>Returning Customer</v>
      </c>
      <c r="G941" s="5" t="str">
        <f t="shared" ca="1" si="174"/>
        <v>Male</v>
      </c>
      <c r="H941" s="5" t="s">
        <v>138</v>
      </c>
      <c r="I941" s="5" t="str" cm="1">
        <f t="array" aca="1" ref="I941" ca="1">INDEX(Courses!$B$9:$B$16,RANDBETWEEN(1,8))</f>
        <v>Excel Basics</v>
      </c>
      <c r="J941" s="5" t="str">
        <f ca="1">VLOOKUP(I941,Courses!$B$9:$C$16,2,0)</f>
        <v>Microsoft Office</v>
      </c>
      <c r="K941" s="7">
        <f ca="1">VLOOKUP(I941,Courses!$B$9:$D$16,3,0)</f>
        <v>29</v>
      </c>
      <c r="L941" s="5" t="str">
        <f t="shared" ca="1" si="175"/>
        <v>Paid</v>
      </c>
      <c r="M941" s="8" t="str" cm="1">
        <f t="array" aca="1" ref="M941" ca="1">INDEX('Payment Method'!$A$8:$A$12,RANDBETWEEN(1,5))</f>
        <v>Visa Credit</v>
      </c>
      <c r="N941" s="7">
        <f>IFERROR(SUMIF(Holiday!$A$8:$A$11,B941,Holiday!$C$8:$C$11),0)</f>
        <v>0</v>
      </c>
      <c r="O941" s="7">
        <f t="shared" ca="1" si="176"/>
        <v>29</v>
      </c>
      <c r="P941" s="19">
        <f t="shared" ca="1" si="177"/>
        <v>27.984999999999999</v>
      </c>
      <c r="Q941" s="7">
        <f t="shared" ca="1" si="178"/>
        <v>0</v>
      </c>
      <c r="R941" s="8">
        <f ca="1">VLOOKUP(M941,'Payment Method'!$A$8:$B$12,2,0)</f>
        <v>3.5000000000000003E-2</v>
      </c>
      <c r="S941" s="9">
        <f t="shared" ca="1" si="168"/>
        <v>1.0150000000000006</v>
      </c>
      <c r="T941" s="8">
        <v>0.01</v>
      </c>
      <c r="U941" s="9">
        <f t="shared" ca="1" si="169"/>
        <v>0.27984999999999971</v>
      </c>
      <c r="V941" s="7">
        <f t="shared" ca="1" si="170"/>
        <v>0</v>
      </c>
      <c r="W941" s="7">
        <f t="shared" ca="1" si="171"/>
        <v>27.70515</v>
      </c>
      <c r="X941" s="5" t="str">
        <f t="shared" ca="1" si="179"/>
        <v>Tiktok</v>
      </c>
      <c r="Y941" s="78" t="str">
        <f>IF(COUNTIF($C$1:C940,B940)=1,10,"")</f>
        <v/>
      </c>
    </row>
    <row r="942" spans="1:25" x14ac:dyDescent="0.3">
      <c r="A942" s="75">
        <v>941</v>
      </c>
      <c r="B942" s="6">
        <v>46037</v>
      </c>
      <c r="C942" s="6">
        <v>46037</v>
      </c>
      <c r="D942" s="17" t="str">
        <f t="shared" si="172"/>
        <v>January</v>
      </c>
      <c r="E942" s="5" t="str">
        <f t="shared" ca="1" si="173"/>
        <v>STU-241</v>
      </c>
      <c r="F942" s="5" t="str">
        <f ca="1">IF(COUNTIF($E$2:E942,E942)=1,"New Customer","Returning Customer")</f>
        <v>New Customer</v>
      </c>
      <c r="G942" s="5" t="str">
        <f t="shared" ca="1" si="174"/>
        <v>Not specified</v>
      </c>
      <c r="H942" s="5" t="s">
        <v>137</v>
      </c>
      <c r="I942" s="5" t="str" cm="1">
        <f t="array" aca="1" ref="I942" ca="1">INDEX(Courses!$B$9:$B$16,RANDBETWEEN(1,8))</f>
        <v>Microsoft Word</v>
      </c>
      <c r="J942" s="5" t="str">
        <f ca="1">VLOOKUP(I942,Courses!$B$9:$C$16,2,0)</f>
        <v>Microsoft Office</v>
      </c>
      <c r="K942" s="7">
        <f ca="1">VLOOKUP(I942,Courses!$B$9:$D$16,3,0)</f>
        <v>29</v>
      </c>
      <c r="L942" s="5" t="str">
        <f t="shared" ca="1" si="175"/>
        <v>Refunded</v>
      </c>
      <c r="M942" s="8" t="str" cm="1">
        <f t="array" aca="1" ref="M942" ca="1">INDEX('Payment Method'!$A$8:$A$12,RANDBETWEEN(1,5))</f>
        <v>Mastercard Credit</v>
      </c>
      <c r="N942" s="7">
        <f>IFERROR(SUMIF(Holiday!$A$8:$A$11,B942,Holiday!$C$8:$C$11),0)</f>
        <v>0</v>
      </c>
      <c r="O942" s="7">
        <f t="shared" ca="1" si="176"/>
        <v>29</v>
      </c>
      <c r="P942" s="19">
        <f t="shared" ca="1" si="177"/>
        <v>27.984999999999999</v>
      </c>
      <c r="Q942" s="7">
        <f t="shared" ca="1" si="178"/>
        <v>0</v>
      </c>
      <c r="R942" s="8">
        <f ca="1">VLOOKUP(M942,'Payment Method'!$A$8:$B$12,2,0)</f>
        <v>3.5000000000000003E-2</v>
      </c>
      <c r="S942" s="9">
        <f t="shared" ca="1" si="168"/>
        <v>1.0150000000000006</v>
      </c>
      <c r="T942" s="8">
        <v>0.01</v>
      </c>
      <c r="U942" s="9">
        <f t="shared" ca="1" si="169"/>
        <v>0.27984999999999971</v>
      </c>
      <c r="V942" s="7">
        <f t="shared" ca="1" si="170"/>
        <v>27.70515</v>
      </c>
      <c r="W942" s="7">
        <f t="shared" ca="1" si="171"/>
        <v>0</v>
      </c>
      <c r="X942" s="5" t="str">
        <f t="shared" ca="1" si="179"/>
        <v>Instagram</v>
      </c>
      <c r="Y942" s="78" t="str">
        <f>IF(COUNTIF($C$1:C941,B941)=1,10,"")</f>
        <v/>
      </c>
    </row>
    <row r="943" spans="1:25" x14ac:dyDescent="0.3">
      <c r="A943" s="76">
        <v>942</v>
      </c>
      <c r="B943" s="6">
        <v>46176</v>
      </c>
      <c r="C943" s="6">
        <v>46181</v>
      </c>
      <c r="D943" s="17" t="str">
        <f t="shared" si="172"/>
        <v>June</v>
      </c>
      <c r="E943" s="5" t="str">
        <f t="shared" ca="1" si="173"/>
        <v>STU-20</v>
      </c>
      <c r="F943" s="5" t="str">
        <f ca="1">IF(COUNTIF($E$2:E943,E943)=1,"New Customer","Returning Customer")</f>
        <v>Returning Customer</v>
      </c>
      <c r="G943" s="5" t="str">
        <f t="shared" ca="1" si="174"/>
        <v>Male</v>
      </c>
      <c r="H943" s="5" t="s">
        <v>141</v>
      </c>
      <c r="I943" s="5" t="str" cm="1">
        <f t="array" aca="1" ref="I943" ca="1">INDEX(Courses!$B$9:$B$16,RANDBETWEEN(1,8))</f>
        <v>Adolescent Psychology</v>
      </c>
      <c r="J943" s="5" t="str">
        <f ca="1">VLOOKUP(I943,Courses!$B$9:$C$16,2,0)</f>
        <v>Psychology</v>
      </c>
      <c r="K943" s="7">
        <f ca="1">VLOOKUP(I943,Courses!$B$9:$D$16,3,0)</f>
        <v>29</v>
      </c>
      <c r="L943" s="5" t="str">
        <f t="shared" ca="1" si="175"/>
        <v>Paid</v>
      </c>
      <c r="M943" s="8" t="str" cm="1">
        <f t="array" aca="1" ref="M943" ca="1">INDEX('Payment Method'!$A$8:$A$12,RANDBETWEEN(1,5))</f>
        <v>Visa Credit</v>
      </c>
      <c r="N943" s="7">
        <f>IFERROR(SUMIF(Holiday!$A$8:$A$11,B943,Holiday!$C$8:$C$11),0)</f>
        <v>0</v>
      </c>
      <c r="O943" s="7">
        <f t="shared" ca="1" si="176"/>
        <v>29</v>
      </c>
      <c r="P943" s="19">
        <f t="shared" ca="1" si="177"/>
        <v>27.984999999999999</v>
      </c>
      <c r="Q943" s="7">
        <f t="shared" ca="1" si="178"/>
        <v>0</v>
      </c>
      <c r="R943" s="8">
        <f ca="1">VLOOKUP(M943,'Payment Method'!$A$8:$B$12,2,0)</f>
        <v>3.5000000000000003E-2</v>
      </c>
      <c r="S943" s="9">
        <f t="shared" ca="1" si="168"/>
        <v>1.0150000000000006</v>
      </c>
      <c r="T943" s="8">
        <v>0.01</v>
      </c>
      <c r="U943" s="9">
        <f t="shared" ca="1" si="169"/>
        <v>0.27984999999999971</v>
      </c>
      <c r="V943" s="7">
        <f t="shared" ca="1" si="170"/>
        <v>0</v>
      </c>
      <c r="W943" s="7">
        <f t="shared" ca="1" si="171"/>
        <v>27.70515</v>
      </c>
      <c r="X943" s="5" t="str">
        <f t="shared" ca="1" si="179"/>
        <v>Facebook</v>
      </c>
      <c r="Y943" s="78" t="str">
        <f>IF(COUNTIF($C$1:C942,B942)=1,10,"")</f>
        <v/>
      </c>
    </row>
    <row r="944" spans="1:25" x14ac:dyDescent="0.3">
      <c r="A944" s="75">
        <v>943</v>
      </c>
      <c r="B944" s="6">
        <v>46206</v>
      </c>
      <c r="C944" s="6">
        <v>46206</v>
      </c>
      <c r="D944" s="17" t="str">
        <f t="shared" si="172"/>
        <v>July</v>
      </c>
      <c r="E944" s="5" t="str">
        <f t="shared" ca="1" si="173"/>
        <v>STU-81</v>
      </c>
      <c r="F944" s="5" t="str">
        <f ca="1">IF(COUNTIF($E$2:E944,E944)=1,"New Customer","Returning Customer")</f>
        <v>Returning Customer</v>
      </c>
      <c r="G944" s="5" t="str">
        <f t="shared" ca="1" si="174"/>
        <v>Not specified</v>
      </c>
      <c r="H944" s="5" t="s">
        <v>136</v>
      </c>
      <c r="I944" s="5" t="str" cm="1">
        <f t="array" aca="1" ref="I944" ca="1">INDEX(Courses!$B$9:$B$16,RANDBETWEEN(1,8))</f>
        <v>Tax Code</v>
      </c>
      <c r="J944" s="5" t="str">
        <f ca="1">VLOOKUP(I944,Courses!$B$9:$C$16,2,0)</f>
        <v>Finance &amp; Taxation</v>
      </c>
      <c r="K944" s="7">
        <f ca="1">VLOOKUP(I944,Courses!$B$9:$D$16,3,0)</f>
        <v>59</v>
      </c>
      <c r="L944" s="5" t="str">
        <f t="shared" ca="1" si="175"/>
        <v>Paid</v>
      </c>
      <c r="M944" s="8" t="str" cm="1">
        <f t="array" aca="1" ref="M944" ca="1">INDEX('Payment Method'!$A$8:$A$12,RANDBETWEEN(1,5))</f>
        <v>Mastercard Debit</v>
      </c>
      <c r="N944" s="7">
        <f>IFERROR(SUMIF(Holiday!$A$8:$A$11,B944,Holiday!$C$8:$C$11),0)</f>
        <v>0</v>
      </c>
      <c r="O944" s="7">
        <f t="shared" ca="1" si="176"/>
        <v>59</v>
      </c>
      <c r="P944" s="19">
        <f t="shared" ca="1" si="177"/>
        <v>57.82</v>
      </c>
      <c r="Q944" s="7">
        <f t="shared" ca="1" si="178"/>
        <v>0</v>
      </c>
      <c r="R944" s="8">
        <f ca="1">VLOOKUP(M944,'Payment Method'!$A$8:$B$12,2,0)</f>
        <v>0.02</v>
      </c>
      <c r="S944" s="9">
        <f t="shared" ca="1" si="168"/>
        <v>1.1799999999999997</v>
      </c>
      <c r="T944" s="8">
        <v>0.01</v>
      </c>
      <c r="U944" s="9">
        <f t="shared" ca="1" si="169"/>
        <v>0.57820000000000249</v>
      </c>
      <c r="V944" s="7">
        <f t="shared" ca="1" si="170"/>
        <v>0</v>
      </c>
      <c r="W944" s="7">
        <f t="shared" ca="1" si="171"/>
        <v>57.241799999999998</v>
      </c>
      <c r="X944" s="5" t="str">
        <f t="shared" ca="1" si="179"/>
        <v>Facebook</v>
      </c>
      <c r="Y944" s="78" t="str">
        <f>IF(COUNTIF($C$1:C943,B943)=1,10,"")</f>
        <v/>
      </c>
    </row>
    <row r="945" spans="1:25" x14ac:dyDescent="0.3">
      <c r="A945" s="76">
        <v>944</v>
      </c>
      <c r="B945" s="6">
        <v>46147</v>
      </c>
      <c r="C945" s="6">
        <v>46150</v>
      </c>
      <c r="D945" s="17" t="str">
        <f t="shared" si="172"/>
        <v>May</v>
      </c>
      <c r="E945" s="5" t="str">
        <f t="shared" ca="1" si="173"/>
        <v>STU-738</v>
      </c>
      <c r="F945" s="5" t="str">
        <f ca="1">IF(COUNTIF($E$2:E945,E945)=1,"New Customer","Returning Customer")</f>
        <v>New Customer</v>
      </c>
      <c r="G945" s="5" t="str">
        <f t="shared" ca="1" si="174"/>
        <v>Female</v>
      </c>
      <c r="H945" s="5" t="s">
        <v>140</v>
      </c>
      <c r="I945" s="5" t="str" cm="1">
        <f t="array" aca="1" ref="I945" ca="1">INDEX(Courses!$B$9:$B$16,RANDBETWEEN(1,8))</f>
        <v>Excel Basics</v>
      </c>
      <c r="J945" s="5" t="str">
        <f ca="1">VLOOKUP(I945,Courses!$B$9:$C$16,2,0)</f>
        <v>Microsoft Office</v>
      </c>
      <c r="K945" s="7">
        <f ca="1">VLOOKUP(I945,Courses!$B$9:$D$16,3,0)</f>
        <v>29</v>
      </c>
      <c r="L945" s="5" t="str">
        <f t="shared" ca="1" si="175"/>
        <v>Paid</v>
      </c>
      <c r="M945" s="8" t="str" cm="1">
        <f t="array" aca="1" ref="M945" ca="1">INDEX('Payment Method'!$A$8:$A$12,RANDBETWEEN(1,5))</f>
        <v>Bank Transfer</v>
      </c>
      <c r="N945" s="7">
        <f>IFERROR(SUMIF(Holiday!$A$8:$A$11,B945,Holiday!$C$8:$C$11),0)</f>
        <v>0</v>
      </c>
      <c r="O945" s="7">
        <f t="shared" ca="1" si="176"/>
        <v>29</v>
      </c>
      <c r="P945" s="19">
        <f t="shared" ca="1" si="177"/>
        <v>29</v>
      </c>
      <c r="Q945" s="7">
        <f t="shared" ca="1" si="178"/>
        <v>0</v>
      </c>
      <c r="R945" s="8">
        <f ca="1">VLOOKUP(M945,'Payment Method'!$A$8:$B$12,2,0)</f>
        <v>0</v>
      </c>
      <c r="S945" s="9">
        <f t="shared" ca="1" si="168"/>
        <v>0</v>
      </c>
      <c r="T945" s="8">
        <v>0.01</v>
      </c>
      <c r="U945" s="9">
        <f t="shared" ca="1" si="169"/>
        <v>0.28999999999999915</v>
      </c>
      <c r="V945" s="7">
        <f t="shared" ca="1" si="170"/>
        <v>0</v>
      </c>
      <c r="W945" s="7">
        <f t="shared" ca="1" si="171"/>
        <v>28.71</v>
      </c>
      <c r="X945" s="5" t="str">
        <f t="shared" ca="1" si="179"/>
        <v>Tiktok</v>
      </c>
      <c r="Y945" s="78" t="str">
        <f>IF(COUNTIF($C$1:C944,B944)=1,10,"")</f>
        <v/>
      </c>
    </row>
    <row r="946" spans="1:25" x14ac:dyDescent="0.3">
      <c r="A946" s="75">
        <v>945</v>
      </c>
      <c r="B946" s="6">
        <v>46212</v>
      </c>
      <c r="C946" s="6">
        <v>46213</v>
      </c>
      <c r="D946" s="17" t="str">
        <f t="shared" si="172"/>
        <v>July</v>
      </c>
      <c r="E946" s="5" t="str">
        <f t="shared" ca="1" si="173"/>
        <v>STU-44</v>
      </c>
      <c r="F946" s="5" t="str">
        <f ca="1">IF(COUNTIF($E$2:E946,E946)=1,"New Customer","Returning Customer")</f>
        <v>New Customer</v>
      </c>
      <c r="G946" s="5" t="str">
        <f t="shared" ca="1" si="174"/>
        <v>Male</v>
      </c>
      <c r="H946" s="5" t="s">
        <v>135</v>
      </c>
      <c r="I946" s="5" t="str" cm="1">
        <f t="array" aca="1" ref="I946" ca="1">INDEX(Courses!$B$9:$B$16,RANDBETWEEN(1,8))</f>
        <v>Tax Code</v>
      </c>
      <c r="J946" s="5" t="str">
        <f ca="1">VLOOKUP(I946,Courses!$B$9:$C$16,2,0)</f>
        <v>Finance &amp; Taxation</v>
      </c>
      <c r="K946" s="7">
        <f ca="1">VLOOKUP(I946,Courses!$B$9:$D$16,3,0)</f>
        <v>59</v>
      </c>
      <c r="L946" s="5" t="str">
        <f t="shared" ca="1" si="175"/>
        <v>Paid</v>
      </c>
      <c r="M946" s="8" t="str" cm="1">
        <f t="array" aca="1" ref="M946" ca="1">INDEX('Payment Method'!$A$8:$A$12,RANDBETWEEN(1,5))</f>
        <v>Bank Transfer</v>
      </c>
      <c r="N946" s="7">
        <f>IFERROR(SUMIF(Holiday!$A$8:$A$11,B946,Holiday!$C$8:$C$11),0)</f>
        <v>0</v>
      </c>
      <c r="O946" s="7">
        <f t="shared" ca="1" si="176"/>
        <v>59</v>
      </c>
      <c r="P946" s="19">
        <f t="shared" ca="1" si="177"/>
        <v>59</v>
      </c>
      <c r="Q946" s="7">
        <f t="shared" ca="1" si="178"/>
        <v>0</v>
      </c>
      <c r="R946" s="8">
        <f ca="1">VLOOKUP(M946,'Payment Method'!$A$8:$B$12,2,0)</f>
        <v>0</v>
      </c>
      <c r="S946" s="9">
        <f t="shared" ca="1" si="168"/>
        <v>0</v>
      </c>
      <c r="T946" s="8">
        <v>0.01</v>
      </c>
      <c r="U946" s="9">
        <f t="shared" ca="1" si="169"/>
        <v>0.59000000000000341</v>
      </c>
      <c r="V946" s="7">
        <f t="shared" ca="1" si="170"/>
        <v>0</v>
      </c>
      <c r="W946" s="7">
        <f t="shared" ca="1" si="171"/>
        <v>58.41</v>
      </c>
      <c r="X946" s="5" t="str">
        <f t="shared" ca="1" si="179"/>
        <v>Tiktok</v>
      </c>
      <c r="Y946" s="78" t="str">
        <f>IF(COUNTIF($C$1:C945,B945)=1,10,"")</f>
        <v/>
      </c>
    </row>
    <row r="947" spans="1:25" x14ac:dyDescent="0.3">
      <c r="A947" s="76">
        <v>946</v>
      </c>
      <c r="B947" s="6">
        <v>46066</v>
      </c>
      <c r="C947" s="6">
        <v>46066</v>
      </c>
      <c r="D947" s="17" t="str">
        <f t="shared" si="172"/>
        <v>February</v>
      </c>
      <c r="E947" s="5" t="str">
        <f t="shared" ca="1" si="173"/>
        <v>STU-821</v>
      </c>
      <c r="F947" s="5" t="str">
        <f ca="1">IF(COUNTIF($E$2:E947,E947)=1,"New Customer","Returning Customer")</f>
        <v>Returning Customer</v>
      </c>
      <c r="G947" s="5" t="str">
        <f t="shared" ca="1" si="174"/>
        <v>Not specified</v>
      </c>
      <c r="H947" s="5" t="s">
        <v>138</v>
      </c>
      <c r="I947" s="5" t="str" cm="1">
        <f t="array" aca="1" ref="I947" ca="1">INDEX(Courses!$B$9:$B$16,RANDBETWEEN(1,8))</f>
        <v>SQL</v>
      </c>
      <c r="J947" s="5" t="str">
        <f ca="1">VLOOKUP(I947,Courses!$B$9:$C$16,2,0)</f>
        <v>Data Analytics</v>
      </c>
      <c r="K947" s="7">
        <f ca="1">VLOOKUP(I947,Courses!$B$9:$D$16,3,0)</f>
        <v>99</v>
      </c>
      <c r="L947" s="5" t="str">
        <f t="shared" ca="1" si="175"/>
        <v>Paid</v>
      </c>
      <c r="M947" s="8" t="str" cm="1">
        <f t="array" aca="1" ref="M947" ca="1">INDEX('Payment Method'!$A$8:$A$12,RANDBETWEEN(1,5))</f>
        <v>Visa Credit</v>
      </c>
      <c r="N947" s="7">
        <f>IFERROR(SUMIF(Holiday!$A$8:$A$11,B947,Holiday!$C$8:$C$11),0)</f>
        <v>0</v>
      </c>
      <c r="O947" s="7">
        <f t="shared" ca="1" si="176"/>
        <v>99</v>
      </c>
      <c r="P947" s="19">
        <f t="shared" ca="1" si="177"/>
        <v>95.534999999999997</v>
      </c>
      <c r="Q947" s="7">
        <f t="shared" ca="1" si="178"/>
        <v>0</v>
      </c>
      <c r="R947" s="8">
        <f ca="1">VLOOKUP(M947,'Payment Method'!$A$8:$B$12,2,0)</f>
        <v>3.5000000000000003E-2</v>
      </c>
      <c r="S947" s="9">
        <f t="shared" ca="1" si="168"/>
        <v>3.4650000000000034</v>
      </c>
      <c r="T947" s="8">
        <v>0.01</v>
      </c>
      <c r="U947" s="9">
        <f t="shared" ca="1" si="169"/>
        <v>0.9553499999999957</v>
      </c>
      <c r="V947" s="7">
        <f t="shared" ca="1" si="170"/>
        <v>0</v>
      </c>
      <c r="W947" s="7">
        <f t="shared" ca="1" si="171"/>
        <v>94.579650000000001</v>
      </c>
      <c r="X947" s="5" t="str">
        <f t="shared" ca="1" si="179"/>
        <v>Tiktok</v>
      </c>
      <c r="Y947" s="78" t="str">
        <f>IF(COUNTIF($C$1:C946,B946)=1,10,"")</f>
        <v/>
      </c>
    </row>
    <row r="948" spans="1:25" x14ac:dyDescent="0.3">
      <c r="A948" s="75">
        <v>947</v>
      </c>
      <c r="B948" s="6">
        <v>46224</v>
      </c>
      <c r="C948" s="6">
        <v>46226</v>
      </c>
      <c r="D948" s="17" t="str">
        <f t="shared" si="172"/>
        <v>July</v>
      </c>
      <c r="E948" s="5" t="str">
        <f t="shared" ca="1" si="173"/>
        <v>STU-677</v>
      </c>
      <c r="F948" s="5" t="str">
        <f ca="1">IF(COUNTIF($E$2:E948,E948)=1,"New Customer","Returning Customer")</f>
        <v>New Customer</v>
      </c>
      <c r="G948" s="5" t="str">
        <f t="shared" ca="1" si="174"/>
        <v>Not specified</v>
      </c>
      <c r="H948" s="5" t="s">
        <v>139</v>
      </c>
      <c r="I948" s="5" t="str" cm="1">
        <f t="array" aca="1" ref="I948" ca="1">INDEX(Courses!$B$9:$B$16,RANDBETWEEN(1,8))</f>
        <v>Excel Basics</v>
      </c>
      <c r="J948" s="5" t="str">
        <f ca="1">VLOOKUP(I948,Courses!$B$9:$C$16,2,0)</f>
        <v>Microsoft Office</v>
      </c>
      <c r="K948" s="7">
        <f ca="1">VLOOKUP(I948,Courses!$B$9:$D$16,3,0)</f>
        <v>29</v>
      </c>
      <c r="L948" s="5" t="str">
        <f t="shared" ca="1" si="175"/>
        <v>Paid</v>
      </c>
      <c r="M948" s="8" t="str" cm="1">
        <f t="array" aca="1" ref="M948" ca="1">INDEX('Payment Method'!$A$8:$A$12,RANDBETWEEN(1,5))</f>
        <v>Visa Debit</v>
      </c>
      <c r="N948" s="7">
        <f>IFERROR(SUMIF(Holiday!$A$8:$A$11,B948,Holiday!$C$8:$C$11),0)</f>
        <v>0</v>
      </c>
      <c r="O948" s="7">
        <f t="shared" ca="1" si="176"/>
        <v>29</v>
      </c>
      <c r="P948" s="19">
        <f t="shared" ca="1" si="177"/>
        <v>28.42</v>
      </c>
      <c r="Q948" s="7">
        <f t="shared" ca="1" si="178"/>
        <v>0</v>
      </c>
      <c r="R948" s="8">
        <f ca="1">VLOOKUP(M948,'Payment Method'!$A$8:$B$12,2,0)</f>
        <v>0.02</v>
      </c>
      <c r="S948" s="9">
        <f t="shared" ca="1" si="168"/>
        <v>0.57999999999999829</v>
      </c>
      <c r="T948" s="8">
        <v>0.01</v>
      </c>
      <c r="U948" s="9">
        <f t="shared" ca="1" si="169"/>
        <v>0.28419999999999845</v>
      </c>
      <c r="V948" s="7">
        <f t="shared" ca="1" si="170"/>
        <v>0</v>
      </c>
      <c r="W948" s="7">
        <f t="shared" ca="1" si="171"/>
        <v>28.135800000000003</v>
      </c>
      <c r="X948" s="5" t="str">
        <f t="shared" ca="1" si="179"/>
        <v>Tiktok</v>
      </c>
      <c r="Y948" s="78" t="str">
        <f>IF(COUNTIF($C$1:C947,B947)=1,10,"")</f>
        <v/>
      </c>
    </row>
    <row r="949" spans="1:25" x14ac:dyDescent="0.3">
      <c r="A949" s="76">
        <v>948</v>
      </c>
      <c r="B949" s="6">
        <v>46228</v>
      </c>
      <c r="C949" s="6">
        <v>46229</v>
      </c>
      <c r="D949" s="17" t="str">
        <f t="shared" si="172"/>
        <v>July</v>
      </c>
      <c r="E949" s="5" t="str">
        <f t="shared" ca="1" si="173"/>
        <v>STU-988</v>
      </c>
      <c r="F949" s="5" t="str">
        <f ca="1">IF(COUNTIF($E$2:E949,E949)=1,"New Customer","Returning Customer")</f>
        <v>Returning Customer</v>
      </c>
      <c r="G949" s="5" t="str">
        <f t="shared" ca="1" si="174"/>
        <v>Male</v>
      </c>
      <c r="H949" s="5" t="s">
        <v>135</v>
      </c>
      <c r="I949" s="5" t="str" cm="1">
        <f t="array" aca="1" ref="I949" ca="1">INDEX(Courses!$B$9:$B$16,RANDBETWEEN(1,8))</f>
        <v>Tax Code</v>
      </c>
      <c r="J949" s="5" t="str">
        <f ca="1">VLOOKUP(I949,Courses!$B$9:$C$16,2,0)</f>
        <v>Finance &amp; Taxation</v>
      </c>
      <c r="K949" s="7">
        <f ca="1">VLOOKUP(I949,Courses!$B$9:$D$16,3,0)</f>
        <v>59</v>
      </c>
      <c r="L949" s="5" t="str">
        <f t="shared" ca="1" si="175"/>
        <v>Paid</v>
      </c>
      <c r="M949" s="8" t="str" cm="1">
        <f t="array" aca="1" ref="M949" ca="1">INDEX('Payment Method'!$A$8:$A$12,RANDBETWEEN(1,5))</f>
        <v>Mastercard Debit</v>
      </c>
      <c r="N949" s="7">
        <f>IFERROR(SUMIF(Holiday!$A$8:$A$11,B949,Holiday!$C$8:$C$11),0)</f>
        <v>0</v>
      </c>
      <c r="O949" s="7">
        <f t="shared" ca="1" si="176"/>
        <v>59</v>
      </c>
      <c r="P949" s="19">
        <f t="shared" ca="1" si="177"/>
        <v>57.82</v>
      </c>
      <c r="Q949" s="7">
        <f t="shared" ca="1" si="178"/>
        <v>0</v>
      </c>
      <c r="R949" s="8">
        <f ca="1">VLOOKUP(M949,'Payment Method'!$A$8:$B$12,2,0)</f>
        <v>0.02</v>
      </c>
      <c r="S949" s="9">
        <f t="shared" ca="1" si="168"/>
        <v>1.1799999999999997</v>
      </c>
      <c r="T949" s="8">
        <v>0.01</v>
      </c>
      <c r="U949" s="9">
        <f t="shared" ca="1" si="169"/>
        <v>0.57820000000000249</v>
      </c>
      <c r="V949" s="7">
        <f t="shared" ca="1" si="170"/>
        <v>0</v>
      </c>
      <c r="W949" s="7">
        <f t="shared" ca="1" si="171"/>
        <v>57.241799999999998</v>
      </c>
      <c r="X949" s="5" t="str">
        <f t="shared" ca="1" si="179"/>
        <v>Facebook</v>
      </c>
      <c r="Y949" s="78" t="str">
        <f>IF(COUNTIF($C$1:C948,B948)=1,10,"")</f>
        <v/>
      </c>
    </row>
    <row r="950" spans="1:25" x14ac:dyDescent="0.3">
      <c r="A950" s="75">
        <v>949</v>
      </c>
      <c r="B950" s="6">
        <v>46096</v>
      </c>
      <c r="C950" s="6">
        <v>46101</v>
      </c>
      <c r="D950" s="17" t="str">
        <f t="shared" si="172"/>
        <v>March</v>
      </c>
      <c r="E950" s="5" t="str">
        <f t="shared" ca="1" si="173"/>
        <v>STU-678</v>
      </c>
      <c r="F950" s="5" t="str">
        <f ca="1">IF(COUNTIF($E$2:E950,E950)=1,"New Customer","Returning Customer")</f>
        <v>Returning Customer</v>
      </c>
      <c r="G950" s="5" t="str">
        <f t="shared" ca="1" si="174"/>
        <v>Male</v>
      </c>
      <c r="H950" s="5" t="s">
        <v>138</v>
      </c>
      <c r="I950" s="5" t="str" cm="1">
        <f t="array" aca="1" ref="I950" ca="1">INDEX(Courses!$B$9:$B$16,RANDBETWEEN(1,8))</f>
        <v>Power BI</v>
      </c>
      <c r="J950" s="5" t="str">
        <f ca="1">VLOOKUP(I950,Courses!$B$9:$C$16,2,0)</f>
        <v>Data Analytics</v>
      </c>
      <c r="K950" s="7">
        <f ca="1">VLOOKUP(I950,Courses!$B$9:$D$16,3,0)</f>
        <v>59</v>
      </c>
      <c r="L950" s="5" t="str">
        <f t="shared" ca="1" si="175"/>
        <v>Paid</v>
      </c>
      <c r="M950" s="8" t="str" cm="1">
        <f t="array" aca="1" ref="M950" ca="1">INDEX('Payment Method'!$A$8:$A$12,RANDBETWEEN(1,5))</f>
        <v>Visa Debit</v>
      </c>
      <c r="N950" s="7">
        <f>IFERROR(SUMIF(Holiday!$A$8:$A$11,B950,Holiday!$C$8:$C$11),0)</f>
        <v>0</v>
      </c>
      <c r="O950" s="7">
        <f t="shared" ca="1" si="176"/>
        <v>59</v>
      </c>
      <c r="P950" s="19">
        <f t="shared" ca="1" si="177"/>
        <v>57.82</v>
      </c>
      <c r="Q950" s="7">
        <f t="shared" ca="1" si="178"/>
        <v>0</v>
      </c>
      <c r="R950" s="8">
        <f ca="1">VLOOKUP(M950,'Payment Method'!$A$8:$B$12,2,0)</f>
        <v>0.02</v>
      </c>
      <c r="S950" s="9">
        <f t="shared" ca="1" si="168"/>
        <v>1.1799999999999997</v>
      </c>
      <c r="T950" s="8">
        <v>0.01</v>
      </c>
      <c r="U950" s="9">
        <f t="shared" ca="1" si="169"/>
        <v>0.57820000000000249</v>
      </c>
      <c r="V950" s="7">
        <f t="shared" ca="1" si="170"/>
        <v>0</v>
      </c>
      <c r="W950" s="7">
        <f t="shared" ca="1" si="171"/>
        <v>57.241799999999998</v>
      </c>
      <c r="X950" s="5" t="str">
        <f t="shared" ca="1" si="179"/>
        <v>Tiktok</v>
      </c>
      <c r="Y950" s="78" t="str">
        <f>IF(COUNTIF($C$1:C949,B949)=1,10,"")</f>
        <v/>
      </c>
    </row>
    <row r="951" spans="1:25" x14ac:dyDescent="0.3">
      <c r="A951" s="76">
        <v>950</v>
      </c>
      <c r="B951" s="6">
        <v>46160</v>
      </c>
      <c r="C951" s="6">
        <v>46165</v>
      </c>
      <c r="D951" s="17" t="str">
        <f t="shared" si="172"/>
        <v>May</v>
      </c>
      <c r="E951" s="5" t="str">
        <f t="shared" ca="1" si="173"/>
        <v>STU-123</v>
      </c>
      <c r="F951" s="5" t="str">
        <f ca="1">IF(COUNTIF($E$2:E951,E951)=1,"New Customer","Returning Customer")</f>
        <v>Returning Customer</v>
      </c>
      <c r="G951" s="5" t="str">
        <f t="shared" ca="1" si="174"/>
        <v>Male</v>
      </c>
      <c r="H951" s="5" t="s">
        <v>142</v>
      </c>
      <c r="I951" s="5" t="str" cm="1">
        <f t="array" aca="1" ref="I951" ca="1">INDEX(Courses!$B$9:$B$16,RANDBETWEEN(1,8))</f>
        <v>Adolescent Psychology</v>
      </c>
      <c r="J951" s="5" t="str">
        <f ca="1">VLOOKUP(I951,Courses!$B$9:$C$16,2,0)</f>
        <v>Psychology</v>
      </c>
      <c r="K951" s="7">
        <f ca="1">VLOOKUP(I951,Courses!$B$9:$D$16,3,0)</f>
        <v>29</v>
      </c>
      <c r="L951" s="5" t="str">
        <f t="shared" ca="1" si="175"/>
        <v>Pending</v>
      </c>
      <c r="M951" s="8" t="str" cm="1">
        <f t="array" aca="1" ref="M951" ca="1">INDEX('Payment Method'!$A$8:$A$12,RANDBETWEEN(1,5))</f>
        <v>Mastercard Debit</v>
      </c>
      <c r="N951" s="7">
        <f>IFERROR(SUMIF(Holiday!$A$8:$A$11,B951,Holiday!$C$8:$C$11),0)</f>
        <v>0</v>
      </c>
      <c r="O951" s="7">
        <f t="shared" ca="1" si="176"/>
        <v>29</v>
      </c>
      <c r="P951" s="19">
        <f t="shared" ca="1" si="177"/>
        <v>28.42</v>
      </c>
      <c r="Q951" s="7">
        <f t="shared" ca="1" si="178"/>
        <v>28.135800000000003</v>
      </c>
      <c r="R951" s="8">
        <f ca="1">VLOOKUP(M951,'Payment Method'!$A$8:$B$12,2,0)</f>
        <v>0.02</v>
      </c>
      <c r="S951" s="9">
        <f t="shared" ca="1" si="168"/>
        <v>0.57999999999999829</v>
      </c>
      <c r="T951" s="8">
        <v>0.01</v>
      </c>
      <c r="U951" s="9">
        <f t="shared" ca="1" si="169"/>
        <v>0.28419999999999845</v>
      </c>
      <c r="V951" s="7">
        <f t="shared" ca="1" si="170"/>
        <v>0</v>
      </c>
      <c r="W951" s="7">
        <f t="shared" ca="1" si="171"/>
        <v>0</v>
      </c>
      <c r="X951" s="5" t="str">
        <f t="shared" ca="1" si="179"/>
        <v>Facebook</v>
      </c>
      <c r="Y951" s="78" t="str">
        <f>IF(COUNTIF($C$1:C950,B950)=1,10,"")</f>
        <v/>
      </c>
    </row>
    <row r="952" spans="1:25" x14ac:dyDescent="0.3">
      <c r="A952" s="75">
        <v>951</v>
      </c>
      <c r="B952" s="6">
        <v>46098</v>
      </c>
      <c r="C952" s="6">
        <v>46100</v>
      </c>
      <c r="D952" s="17" t="str">
        <f t="shared" si="172"/>
        <v>March</v>
      </c>
      <c r="E952" s="5" t="str">
        <f t="shared" ca="1" si="173"/>
        <v>STU-283</v>
      </c>
      <c r="F952" s="5" t="str">
        <f ca="1">IF(COUNTIF($E$2:E952,E952)=1,"New Customer","Returning Customer")</f>
        <v>New Customer</v>
      </c>
      <c r="G952" s="5" t="str">
        <f t="shared" ca="1" si="174"/>
        <v>Female</v>
      </c>
      <c r="H952" s="5" t="s">
        <v>136</v>
      </c>
      <c r="I952" s="5" t="str" cm="1">
        <f t="array" aca="1" ref="I952" ca="1">INDEX(Courses!$B$9:$B$16,RANDBETWEEN(1,8))</f>
        <v>SQL</v>
      </c>
      <c r="J952" s="5" t="str">
        <f ca="1">VLOOKUP(I952,Courses!$B$9:$C$16,2,0)</f>
        <v>Data Analytics</v>
      </c>
      <c r="K952" s="7">
        <f ca="1">VLOOKUP(I952,Courses!$B$9:$D$16,3,0)</f>
        <v>99</v>
      </c>
      <c r="L952" s="5" t="str">
        <f t="shared" ca="1" si="175"/>
        <v>Pending</v>
      </c>
      <c r="M952" s="8" t="str" cm="1">
        <f t="array" aca="1" ref="M952" ca="1">INDEX('Payment Method'!$A$8:$A$12,RANDBETWEEN(1,5))</f>
        <v>Mastercard Debit</v>
      </c>
      <c r="N952" s="7">
        <f>IFERROR(SUMIF(Holiday!$A$8:$A$11,B952,Holiday!$C$8:$C$11),0)</f>
        <v>0</v>
      </c>
      <c r="O952" s="7">
        <f t="shared" ca="1" si="176"/>
        <v>99</v>
      </c>
      <c r="P952" s="19">
        <f t="shared" ca="1" si="177"/>
        <v>97.02</v>
      </c>
      <c r="Q952" s="7">
        <f t="shared" ca="1" si="178"/>
        <v>96.049799999999991</v>
      </c>
      <c r="R952" s="8">
        <f ca="1">VLOOKUP(M952,'Payment Method'!$A$8:$B$12,2,0)</f>
        <v>0.02</v>
      </c>
      <c r="S952" s="9">
        <f t="shared" ca="1" si="168"/>
        <v>1.980000000000004</v>
      </c>
      <c r="T952" s="8">
        <v>0.01</v>
      </c>
      <c r="U952" s="9">
        <f t="shared" ca="1" si="169"/>
        <v>0.9702000000000055</v>
      </c>
      <c r="V952" s="7">
        <f t="shared" ca="1" si="170"/>
        <v>0</v>
      </c>
      <c r="W952" s="7">
        <f t="shared" ca="1" si="171"/>
        <v>0</v>
      </c>
      <c r="X952" s="5" t="str">
        <f t="shared" ca="1" si="179"/>
        <v>Tiktok</v>
      </c>
      <c r="Y952" s="78" t="str">
        <f>IF(COUNTIF($C$1:C951,B951)=1,10,"")</f>
        <v/>
      </c>
    </row>
    <row r="953" spans="1:25" x14ac:dyDescent="0.3">
      <c r="A953" s="76">
        <v>952</v>
      </c>
      <c r="B953" s="6">
        <v>46048</v>
      </c>
      <c r="C953" s="6">
        <v>46052</v>
      </c>
      <c r="D953" s="17" t="str">
        <f t="shared" si="172"/>
        <v>January</v>
      </c>
      <c r="E953" s="5" t="str">
        <f t="shared" ca="1" si="173"/>
        <v>STU-850</v>
      </c>
      <c r="F953" s="5" t="str">
        <f ca="1">IF(COUNTIF($E$2:E953,E953)=1,"New Customer","Returning Customer")</f>
        <v>Returning Customer</v>
      </c>
      <c r="G953" s="5" t="str">
        <f t="shared" ca="1" si="174"/>
        <v>Male</v>
      </c>
      <c r="H953" s="5" t="s">
        <v>140</v>
      </c>
      <c r="I953" s="5" t="str" cm="1">
        <f t="array" aca="1" ref="I953" ca="1">INDEX(Courses!$B$9:$B$16,RANDBETWEEN(1,8))</f>
        <v>SQL</v>
      </c>
      <c r="J953" s="5" t="str">
        <f ca="1">VLOOKUP(I953,Courses!$B$9:$C$16,2,0)</f>
        <v>Data Analytics</v>
      </c>
      <c r="K953" s="7">
        <f ca="1">VLOOKUP(I953,Courses!$B$9:$D$16,3,0)</f>
        <v>99</v>
      </c>
      <c r="L953" s="5" t="str">
        <f t="shared" ca="1" si="175"/>
        <v>Paid</v>
      </c>
      <c r="M953" s="8" t="str" cm="1">
        <f t="array" aca="1" ref="M953" ca="1">INDEX('Payment Method'!$A$8:$A$12,RANDBETWEEN(1,5))</f>
        <v>Mastercard Debit</v>
      </c>
      <c r="N953" s="7">
        <f>IFERROR(SUMIF(Holiday!$A$8:$A$11,B953,Holiday!$C$8:$C$11),0)</f>
        <v>0</v>
      </c>
      <c r="O953" s="7">
        <f t="shared" ca="1" si="176"/>
        <v>99</v>
      </c>
      <c r="P953" s="19">
        <f t="shared" ca="1" si="177"/>
        <v>97.02</v>
      </c>
      <c r="Q953" s="7">
        <f t="shared" ca="1" si="178"/>
        <v>0</v>
      </c>
      <c r="R953" s="8">
        <f ca="1">VLOOKUP(M953,'Payment Method'!$A$8:$B$12,2,0)</f>
        <v>0.02</v>
      </c>
      <c r="S953" s="9">
        <f t="shared" ca="1" si="168"/>
        <v>1.980000000000004</v>
      </c>
      <c r="T953" s="8">
        <v>0.01</v>
      </c>
      <c r="U953" s="9">
        <f t="shared" ca="1" si="169"/>
        <v>0.9702000000000055</v>
      </c>
      <c r="V953" s="7">
        <f t="shared" ca="1" si="170"/>
        <v>0</v>
      </c>
      <c r="W953" s="7">
        <f t="shared" ca="1" si="171"/>
        <v>96.049799999999991</v>
      </c>
      <c r="X953" s="5" t="str">
        <f t="shared" ca="1" si="179"/>
        <v>Tiktok</v>
      </c>
      <c r="Y953" s="78" t="str">
        <f>IF(COUNTIF($C$1:C952,B952)=1,10,"")</f>
        <v/>
      </c>
    </row>
    <row r="954" spans="1:25" x14ac:dyDescent="0.3">
      <c r="A954" s="75">
        <v>953</v>
      </c>
      <c r="B954" s="6">
        <v>46026</v>
      </c>
      <c r="C954" s="6">
        <v>46027</v>
      </c>
      <c r="D954" s="17" t="str">
        <f t="shared" si="172"/>
        <v>January</v>
      </c>
      <c r="E954" s="5" t="str">
        <f t="shared" ca="1" si="173"/>
        <v>STU-325</v>
      </c>
      <c r="F954" s="5" t="str">
        <f ca="1">IF(COUNTIF($E$2:E954,E954)=1,"New Customer","Returning Customer")</f>
        <v>Returning Customer</v>
      </c>
      <c r="G954" s="5" t="str">
        <f t="shared" ca="1" si="174"/>
        <v>Female</v>
      </c>
      <c r="H954" s="5" t="s">
        <v>136</v>
      </c>
      <c r="I954" s="5" t="str" cm="1">
        <f t="array" aca="1" ref="I954" ca="1">INDEX(Courses!$B$9:$B$16,RANDBETWEEN(1,8))</f>
        <v>Tax Code</v>
      </c>
      <c r="J954" s="5" t="str">
        <f ca="1">VLOOKUP(I954,Courses!$B$9:$C$16,2,0)</f>
        <v>Finance &amp; Taxation</v>
      </c>
      <c r="K954" s="7">
        <f ca="1">VLOOKUP(I954,Courses!$B$9:$D$16,3,0)</f>
        <v>59</v>
      </c>
      <c r="L954" s="5" t="str">
        <f t="shared" ca="1" si="175"/>
        <v>Paid</v>
      </c>
      <c r="M954" s="8" t="str" cm="1">
        <f t="array" aca="1" ref="M954" ca="1">INDEX('Payment Method'!$A$8:$A$12,RANDBETWEEN(1,5))</f>
        <v>Mastercard Debit</v>
      </c>
      <c r="N954" s="7">
        <f>IFERROR(SUMIF(Holiday!$A$8:$A$11,B954,Holiday!$C$8:$C$11),0)</f>
        <v>0</v>
      </c>
      <c r="O954" s="7">
        <f t="shared" ca="1" si="176"/>
        <v>59</v>
      </c>
      <c r="P954" s="19">
        <f t="shared" ca="1" si="177"/>
        <v>57.82</v>
      </c>
      <c r="Q954" s="7">
        <f t="shared" ca="1" si="178"/>
        <v>0</v>
      </c>
      <c r="R954" s="8">
        <f ca="1">VLOOKUP(M954,'Payment Method'!$A$8:$B$12,2,0)</f>
        <v>0.02</v>
      </c>
      <c r="S954" s="9">
        <f t="shared" ca="1" si="168"/>
        <v>1.1799999999999997</v>
      </c>
      <c r="T954" s="8">
        <v>0.01</v>
      </c>
      <c r="U954" s="9">
        <f t="shared" ca="1" si="169"/>
        <v>0.57820000000000249</v>
      </c>
      <c r="V954" s="7">
        <f t="shared" ca="1" si="170"/>
        <v>0</v>
      </c>
      <c r="W954" s="7">
        <f t="shared" ca="1" si="171"/>
        <v>57.241799999999998</v>
      </c>
      <c r="X954" s="5" t="str">
        <f t="shared" ca="1" si="179"/>
        <v>Tiktok</v>
      </c>
      <c r="Y954" s="78" t="str">
        <f>IF(COUNTIF($C$1:C953,B953)=1,10,"")</f>
        <v/>
      </c>
    </row>
    <row r="955" spans="1:25" x14ac:dyDescent="0.3">
      <c r="A955" s="76">
        <v>954</v>
      </c>
      <c r="B955" s="6">
        <v>46023</v>
      </c>
      <c r="C955" s="6">
        <v>46028</v>
      </c>
      <c r="D955" s="17" t="str">
        <f t="shared" si="172"/>
        <v>January</v>
      </c>
      <c r="E955" s="5" t="str">
        <f t="shared" ca="1" si="173"/>
        <v>STU-626</v>
      </c>
      <c r="F955" s="5" t="str">
        <f ca="1">IF(COUNTIF($E$2:E955,E955)=1,"New Customer","Returning Customer")</f>
        <v>Returning Customer</v>
      </c>
      <c r="G955" s="5" t="str">
        <f t="shared" ca="1" si="174"/>
        <v>Not specified</v>
      </c>
      <c r="H955" s="5" t="s">
        <v>139</v>
      </c>
      <c r="I955" s="5" t="str" cm="1">
        <f t="array" aca="1" ref="I955" ca="1">INDEX(Courses!$B$9:$B$16,RANDBETWEEN(1,8))</f>
        <v>Adolescent Psychology</v>
      </c>
      <c r="J955" s="5" t="str">
        <f ca="1">VLOOKUP(I955,Courses!$B$9:$C$16,2,0)</f>
        <v>Psychology</v>
      </c>
      <c r="K955" s="7">
        <f ca="1">VLOOKUP(I955,Courses!$B$9:$D$16,3,0)</f>
        <v>29</v>
      </c>
      <c r="L955" s="5" t="str">
        <f t="shared" ca="1" si="175"/>
        <v>Paid</v>
      </c>
      <c r="M955" s="8" t="str" cm="1">
        <f t="array" aca="1" ref="M955" ca="1">INDEX('Payment Method'!$A$8:$A$12,RANDBETWEEN(1,5))</f>
        <v>Bank Transfer</v>
      </c>
      <c r="N955" s="7">
        <f>IFERROR(SUMIF(Holiday!$A$8:$A$11,B955,Holiday!$C$8:$C$11),0)</f>
        <v>20</v>
      </c>
      <c r="O955" s="7">
        <f t="shared" ca="1" si="176"/>
        <v>-551</v>
      </c>
      <c r="P955" s="19">
        <f t="shared" ca="1" si="177"/>
        <v>-551</v>
      </c>
      <c r="Q955" s="7">
        <f t="shared" ca="1" si="178"/>
        <v>0</v>
      </c>
      <c r="R955" s="8">
        <f ca="1">VLOOKUP(M955,'Payment Method'!$A$8:$B$12,2,0)</f>
        <v>0</v>
      </c>
      <c r="S955" s="9">
        <f t="shared" ca="1" si="168"/>
        <v>0</v>
      </c>
      <c r="T955" s="8">
        <v>0.01</v>
      </c>
      <c r="U955" s="9">
        <f t="shared" ca="1" si="169"/>
        <v>-5.5099999999999909</v>
      </c>
      <c r="V955" s="7">
        <f t="shared" ca="1" si="170"/>
        <v>0</v>
      </c>
      <c r="W955" s="7">
        <f t="shared" ca="1" si="171"/>
        <v>-545.49</v>
      </c>
      <c r="X955" s="5" t="str">
        <f t="shared" ca="1" si="179"/>
        <v>Facebook</v>
      </c>
      <c r="Y955" s="78" t="str">
        <f>IF(COUNTIF($C$1:C954,B954)=1,10,"")</f>
        <v/>
      </c>
    </row>
    <row r="956" spans="1:25" x14ac:dyDescent="0.3">
      <c r="A956" s="75">
        <v>955</v>
      </c>
      <c r="B956" s="6">
        <v>46115</v>
      </c>
      <c r="C956" s="6">
        <v>46117</v>
      </c>
      <c r="D956" s="17" t="str">
        <f t="shared" si="172"/>
        <v>April</v>
      </c>
      <c r="E956" s="5" t="str">
        <f t="shared" ca="1" si="173"/>
        <v>STU-618</v>
      </c>
      <c r="F956" s="5" t="str">
        <f ca="1">IF(COUNTIF($E$2:E956,E956)=1,"New Customer","Returning Customer")</f>
        <v>New Customer</v>
      </c>
      <c r="G956" s="5" t="str">
        <f t="shared" ca="1" si="174"/>
        <v>Male</v>
      </c>
      <c r="H956" s="5" t="s">
        <v>138</v>
      </c>
      <c r="I956" s="5" t="str" cm="1">
        <f t="array" aca="1" ref="I956" ca="1">INDEX(Courses!$B$9:$B$16,RANDBETWEEN(1,8))</f>
        <v>Adolescent Psychology</v>
      </c>
      <c r="J956" s="5" t="str">
        <f ca="1">VLOOKUP(I956,Courses!$B$9:$C$16,2,0)</f>
        <v>Psychology</v>
      </c>
      <c r="K956" s="7">
        <f ca="1">VLOOKUP(I956,Courses!$B$9:$D$16,3,0)</f>
        <v>29</v>
      </c>
      <c r="L956" s="5" t="str">
        <f t="shared" ca="1" si="175"/>
        <v>Pending</v>
      </c>
      <c r="M956" s="8" t="str" cm="1">
        <f t="array" aca="1" ref="M956" ca="1">INDEX('Payment Method'!$A$8:$A$12,RANDBETWEEN(1,5))</f>
        <v>Visa Debit</v>
      </c>
      <c r="N956" s="7">
        <f>IFERROR(SUMIF(Holiday!$A$8:$A$11,B956,Holiday!$C$8:$C$11),0)</f>
        <v>0</v>
      </c>
      <c r="O956" s="7">
        <f t="shared" ca="1" si="176"/>
        <v>29</v>
      </c>
      <c r="P956" s="19">
        <f t="shared" ca="1" si="177"/>
        <v>28.42</v>
      </c>
      <c r="Q956" s="7">
        <f t="shared" ca="1" si="178"/>
        <v>28.135800000000003</v>
      </c>
      <c r="R956" s="8">
        <f ca="1">VLOOKUP(M956,'Payment Method'!$A$8:$B$12,2,0)</f>
        <v>0.02</v>
      </c>
      <c r="S956" s="9">
        <f t="shared" ca="1" si="168"/>
        <v>0.57999999999999829</v>
      </c>
      <c r="T956" s="8">
        <v>0.01</v>
      </c>
      <c r="U956" s="9">
        <f t="shared" ca="1" si="169"/>
        <v>0.28419999999999845</v>
      </c>
      <c r="V956" s="7">
        <f t="shared" ca="1" si="170"/>
        <v>0</v>
      </c>
      <c r="W956" s="7">
        <f t="shared" ca="1" si="171"/>
        <v>0</v>
      </c>
      <c r="X956" s="5" t="str">
        <f t="shared" ca="1" si="179"/>
        <v>Instagram</v>
      </c>
      <c r="Y956" s="78" t="str">
        <f>IF(COUNTIF($C$1:C955,B955)=1,10,"")</f>
        <v/>
      </c>
    </row>
    <row r="957" spans="1:25" x14ac:dyDescent="0.3">
      <c r="A957" s="76">
        <v>956</v>
      </c>
      <c r="B957" s="6">
        <v>46102</v>
      </c>
      <c r="C957" s="6">
        <v>46104</v>
      </c>
      <c r="D957" s="17" t="str">
        <f t="shared" si="172"/>
        <v>March</v>
      </c>
      <c r="E957" s="5" t="str">
        <f t="shared" ca="1" si="173"/>
        <v>STU-987</v>
      </c>
      <c r="F957" s="5" t="str">
        <f ca="1">IF(COUNTIF($E$2:E957,E957)=1,"New Customer","Returning Customer")</f>
        <v>Returning Customer</v>
      </c>
      <c r="G957" s="5" t="str">
        <f t="shared" ca="1" si="174"/>
        <v>Not specified</v>
      </c>
      <c r="H957" s="5" t="s">
        <v>141</v>
      </c>
      <c r="I957" s="5" t="str" cm="1">
        <f t="array" aca="1" ref="I957" ca="1">INDEX(Courses!$B$9:$B$16,RANDBETWEEN(1,8))</f>
        <v>Tax Code</v>
      </c>
      <c r="J957" s="5" t="str">
        <f ca="1">VLOOKUP(I957,Courses!$B$9:$C$16,2,0)</f>
        <v>Finance &amp; Taxation</v>
      </c>
      <c r="K957" s="7">
        <f ca="1">VLOOKUP(I957,Courses!$B$9:$D$16,3,0)</f>
        <v>59</v>
      </c>
      <c r="L957" s="5" t="str">
        <f t="shared" ca="1" si="175"/>
        <v>Pending</v>
      </c>
      <c r="M957" s="8" t="str" cm="1">
        <f t="array" aca="1" ref="M957" ca="1">INDEX('Payment Method'!$A$8:$A$12,RANDBETWEEN(1,5))</f>
        <v>Mastercard Credit</v>
      </c>
      <c r="N957" s="7">
        <f>IFERROR(SUMIF(Holiday!$A$8:$A$11,B957,Holiday!$C$8:$C$11),0)</f>
        <v>0</v>
      </c>
      <c r="O957" s="7">
        <f t="shared" ca="1" si="176"/>
        <v>59</v>
      </c>
      <c r="P957" s="19">
        <f t="shared" ca="1" si="177"/>
        <v>56.935000000000002</v>
      </c>
      <c r="Q957" s="7">
        <f t="shared" ca="1" si="178"/>
        <v>56.365650000000002</v>
      </c>
      <c r="R957" s="8">
        <f ca="1">VLOOKUP(M957,'Payment Method'!$A$8:$B$12,2,0)</f>
        <v>3.5000000000000003E-2</v>
      </c>
      <c r="S957" s="9">
        <f t="shared" ca="1" si="168"/>
        <v>2.0649999999999977</v>
      </c>
      <c r="T957" s="8">
        <v>0.01</v>
      </c>
      <c r="U957" s="9">
        <f t="shared" ca="1" si="169"/>
        <v>0.56935000000000002</v>
      </c>
      <c r="V957" s="7">
        <f t="shared" ca="1" si="170"/>
        <v>0</v>
      </c>
      <c r="W957" s="7">
        <f t="shared" ca="1" si="171"/>
        <v>0</v>
      </c>
      <c r="X957" s="5" t="str">
        <f t="shared" ca="1" si="179"/>
        <v>Facebook</v>
      </c>
      <c r="Y957" s="78" t="str">
        <f>IF(COUNTIF($C$1:C956,B956)=1,10,"")</f>
        <v/>
      </c>
    </row>
    <row r="958" spans="1:25" x14ac:dyDescent="0.3">
      <c r="A958" s="75">
        <v>957</v>
      </c>
      <c r="B958" s="6">
        <v>46139</v>
      </c>
      <c r="C958" s="6">
        <v>46142</v>
      </c>
      <c r="D958" s="17" t="str">
        <f t="shared" si="172"/>
        <v>April</v>
      </c>
      <c r="E958" s="5" t="str">
        <f t="shared" ca="1" si="173"/>
        <v>STU-149</v>
      </c>
      <c r="F958" s="5" t="str">
        <f ca="1">IF(COUNTIF($E$2:E958,E958)=1,"New Customer","Returning Customer")</f>
        <v>Returning Customer</v>
      </c>
      <c r="G958" s="5" t="str">
        <f t="shared" ca="1" si="174"/>
        <v>Female</v>
      </c>
      <c r="H958" s="5" t="s">
        <v>138</v>
      </c>
      <c r="I958" s="5" t="str" cm="1">
        <f t="array" aca="1" ref="I958" ca="1">INDEX(Courses!$B$9:$B$16,RANDBETWEEN(1,8))</f>
        <v>SQL</v>
      </c>
      <c r="J958" s="5" t="str">
        <f ca="1">VLOOKUP(I958,Courses!$B$9:$C$16,2,0)</f>
        <v>Data Analytics</v>
      </c>
      <c r="K958" s="7">
        <f ca="1">VLOOKUP(I958,Courses!$B$9:$D$16,3,0)</f>
        <v>99</v>
      </c>
      <c r="L958" s="5" t="str">
        <f t="shared" ca="1" si="175"/>
        <v>Refunded</v>
      </c>
      <c r="M958" s="8" t="str" cm="1">
        <f t="array" aca="1" ref="M958" ca="1">INDEX('Payment Method'!$A$8:$A$12,RANDBETWEEN(1,5))</f>
        <v>Bank Transfer</v>
      </c>
      <c r="N958" s="7">
        <f>IFERROR(SUMIF(Holiday!$A$8:$A$11,B958,Holiday!$C$8:$C$11),0)</f>
        <v>0</v>
      </c>
      <c r="O958" s="7">
        <f t="shared" ca="1" si="176"/>
        <v>99</v>
      </c>
      <c r="P958" s="19">
        <f t="shared" ca="1" si="177"/>
        <v>99</v>
      </c>
      <c r="Q958" s="7">
        <f t="shared" ca="1" si="178"/>
        <v>0</v>
      </c>
      <c r="R958" s="8">
        <f ca="1">VLOOKUP(M958,'Payment Method'!$A$8:$B$12,2,0)</f>
        <v>0</v>
      </c>
      <c r="S958" s="9">
        <f t="shared" ca="1" si="168"/>
        <v>0</v>
      </c>
      <c r="T958" s="8">
        <v>0.01</v>
      </c>
      <c r="U958" s="9">
        <f t="shared" ca="1" si="169"/>
        <v>0.98999999999999488</v>
      </c>
      <c r="V958" s="7">
        <f t="shared" ca="1" si="170"/>
        <v>98.01</v>
      </c>
      <c r="W958" s="7">
        <f t="shared" ca="1" si="171"/>
        <v>0</v>
      </c>
      <c r="X958" s="5" t="str">
        <f t="shared" ca="1" si="179"/>
        <v>Facebook</v>
      </c>
      <c r="Y958" s="78" t="str">
        <f>IF(COUNTIF($C$1:C957,B957)=1,10,"")</f>
        <v/>
      </c>
    </row>
    <row r="959" spans="1:25" x14ac:dyDescent="0.3">
      <c r="A959" s="76">
        <v>958</v>
      </c>
      <c r="B959" s="6">
        <v>46039</v>
      </c>
      <c r="C959" s="6">
        <v>46040</v>
      </c>
      <c r="D959" s="17" t="str">
        <f t="shared" si="172"/>
        <v>January</v>
      </c>
      <c r="E959" s="5" t="str">
        <f t="shared" ca="1" si="173"/>
        <v>STU-86</v>
      </c>
      <c r="F959" s="5" t="str">
        <f ca="1">IF(COUNTIF($E$2:E959,E959)=1,"New Customer","Returning Customer")</f>
        <v>New Customer</v>
      </c>
      <c r="G959" s="5" t="str">
        <f t="shared" ca="1" si="174"/>
        <v>Not specified</v>
      </c>
      <c r="H959" s="5" t="s">
        <v>142</v>
      </c>
      <c r="I959" s="5" t="str" cm="1">
        <f t="array" aca="1" ref="I959" ca="1">INDEX(Courses!$B$9:$B$16,RANDBETWEEN(1,8))</f>
        <v>Complete Excel Course</v>
      </c>
      <c r="J959" s="5" t="str">
        <f ca="1">VLOOKUP(I959,Courses!$B$9:$C$16,2,0)</f>
        <v>Microsoft Office</v>
      </c>
      <c r="K959" s="7">
        <f ca="1">VLOOKUP(I959,Courses!$B$9:$D$16,3,0)</f>
        <v>59</v>
      </c>
      <c r="L959" s="5" t="str">
        <f t="shared" ca="1" si="175"/>
        <v>Paid</v>
      </c>
      <c r="M959" s="8" t="str" cm="1">
        <f t="array" aca="1" ref="M959" ca="1">INDEX('Payment Method'!$A$8:$A$12,RANDBETWEEN(1,5))</f>
        <v>Bank Transfer</v>
      </c>
      <c r="N959" s="7">
        <f>IFERROR(SUMIF(Holiday!$A$8:$A$11,B959,Holiday!$C$8:$C$11),0)</f>
        <v>0</v>
      </c>
      <c r="O959" s="7">
        <f t="shared" ca="1" si="176"/>
        <v>59</v>
      </c>
      <c r="P959" s="19">
        <f t="shared" ca="1" si="177"/>
        <v>59</v>
      </c>
      <c r="Q959" s="7">
        <f t="shared" ca="1" si="178"/>
        <v>0</v>
      </c>
      <c r="R959" s="8">
        <f ca="1">VLOOKUP(M959,'Payment Method'!$A$8:$B$12,2,0)</f>
        <v>0</v>
      </c>
      <c r="S959" s="9">
        <f t="shared" ca="1" si="168"/>
        <v>0</v>
      </c>
      <c r="T959" s="8">
        <v>0.01</v>
      </c>
      <c r="U959" s="9">
        <f t="shared" ca="1" si="169"/>
        <v>0.59000000000000341</v>
      </c>
      <c r="V959" s="7">
        <f t="shared" ca="1" si="170"/>
        <v>0</v>
      </c>
      <c r="W959" s="7">
        <f t="shared" ca="1" si="171"/>
        <v>58.41</v>
      </c>
      <c r="X959" s="5" t="str">
        <f t="shared" ca="1" si="179"/>
        <v>Facebook</v>
      </c>
      <c r="Y959" s="78" t="str">
        <f>IF(COUNTIF($C$1:C958,B958)=1,10,"")</f>
        <v/>
      </c>
    </row>
    <row r="960" spans="1:25" x14ac:dyDescent="0.3">
      <c r="A960" s="75">
        <v>959</v>
      </c>
      <c r="B960" s="6">
        <v>46043</v>
      </c>
      <c r="C960" s="6">
        <v>46047</v>
      </c>
      <c r="D960" s="17" t="str">
        <f t="shared" si="172"/>
        <v>January</v>
      </c>
      <c r="E960" s="5" t="str">
        <f t="shared" ca="1" si="173"/>
        <v>STU-157</v>
      </c>
      <c r="F960" s="5" t="str">
        <f ca="1">IF(COUNTIF($E$2:E960,E960)=1,"New Customer","Returning Customer")</f>
        <v>Returning Customer</v>
      </c>
      <c r="G960" s="5" t="str">
        <f t="shared" ca="1" si="174"/>
        <v>Not specified</v>
      </c>
      <c r="H960" s="5" t="s">
        <v>136</v>
      </c>
      <c r="I960" s="5" t="str" cm="1">
        <f t="array" aca="1" ref="I960" ca="1">INDEX(Courses!$B$9:$B$16,RANDBETWEEN(1,8))</f>
        <v>Power BI</v>
      </c>
      <c r="J960" s="5" t="str">
        <f ca="1">VLOOKUP(I960,Courses!$B$9:$C$16,2,0)</f>
        <v>Data Analytics</v>
      </c>
      <c r="K960" s="7">
        <f ca="1">VLOOKUP(I960,Courses!$B$9:$D$16,3,0)</f>
        <v>59</v>
      </c>
      <c r="L960" s="5" t="str">
        <f t="shared" ca="1" si="175"/>
        <v>Paid</v>
      </c>
      <c r="M960" s="8" t="str" cm="1">
        <f t="array" aca="1" ref="M960" ca="1">INDEX('Payment Method'!$A$8:$A$12,RANDBETWEEN(1,5))</f>
        <v>Visa Debit</v>
      </c>
      <c r="N960" s="7">
        <f>IFERROR(SUMIF(Holiday!$A$8:$A$11,B960,Holiday!$C$8:$C$11),0)</f>
        <v>0</v>
      </c>
      <c r="O960" s="7">
        <f t="shared" ca="1" si="176"/>
        <v>59</v>
      </c>
      <c r="P960" s="19">
        <f t="shared" ca="1" si="177"/>
        <v>57.82</v>
      </c>
      <c r="Q960" s="7">
        <f t="shared" ca="1" si="178"/>
        <v>0</v>
      </c>
      <c r="R960" s="8">
        <f ca="1">VLOOKUP(M960,'Payment Method'!$A$8:$B$12,2,0)</f>
        <v>0.02</v>
      </c>
      <c r="S960" s="9">
        <f t="shared" ca="1" si="168"/>
        <v>1.1799999999999997</v>
      </c>
      <c r="T960" s="8">
        <v>0.01</v>
      </c>
      <c r="U960" s="9">
        <f t="shared" ca="1" si="169"/>
        <v>0.57820000000000249</v>
      </c>
      <c r="V960" s="7">
        <f t="shared" ca="1" si="170"/>
        <v>0</v>
      </c>
      <c r="W960" s="7">
        <f t="shared" ca="1" si="171"/>
        <v>57.241799999999998</v>
      </c>
      <c r="X960" s="5" t="str">
        <f t="shared" ca="1" si="179"/>
        <v>Instagram</v>
      </c>
      <c r="Y960" s="78" t="str">
        <f>IF(COUNTIF($C$1:C959,B959)=1,10,"")</f>
        <v/>
      </c>
    </row>
    <row r="961" spans="1:25" x14ac:dyDescent="0.3">
      <c r="A961" s="76">
        <v>960</v>
      </c>
      <c r="B961" s="6">
        <v>46145</v>
      </c>
      <c r="C961" s="6">
        <v>46148</v>
      </c>
      <c r="D961" s="17" t="str">
        <f t="shared" si="172"/>
        <v>May</v>
      </c>
      <c r="E961" s="5" t="str">
        <f t="shared" ca="1" si="173"/>
        <v>STU-84</v>
      </c>
      <c r="F961" s="5" t="str">
        <f ca="1">IF(COUNTIF($E$2:E961,E961)=1,"New Customer","Returning Customer")</f>
        <v>Returning Customer</v>
      </c>
      <c r="G961" s="5" t="str">
        <f t="shared" ca="1" si="174"/>
        <v>Not specified</v>
      </c>
      <c r="H961" s="5" t="s">
        <v>138</v>
      </c>
      <c r="I961" s="5" t="str" cm="1">
        <f t="array" aca="1" ref="I961" ca="1">INDEX(Courses!$B$9:$B$16,RANDBETWEEN(1,8))</f>
        <v>Complete Excel Course</v>
      </c>
      <c r="J961" s="5" t="str">
        <f ca="1">VLOOKUP(I961,Courses!$B$9:$C$16,2,0)</f>
        <v>Microsoft Office</v>
      </c>
      <c r="K961" s="7">
        <f ca="1">VLOOKUP(I961,Courses!$B$9:$D$16,3,0)</f>
        <v>59</v>
      </c>
      <c r="L961" s="5" t="str">
        <f t="shared" ca="1" si="175"/>
        <v>Pending</v>
      </c>
      <c r="M961" s="8" t="str" cm="1">
        <f t="array" aca="1" ref="M961" ca="1">INDEX('Payment Method'!$A$8:$A$12,RANDBETWEEN(1,5))</f>
        <v>Bank Transfer</v>
      </c>
      <c r="N961" s="7">
        <f>IFERROR(SUMIF(Holiday!$A$8:$A$11,B961,Holiday!$C$8:$C$11),0)</f>
        <v>0</v>
      </c>
      <c r="O961" s="7">
        <f t="shared" ca="1" si="176"/>
        <v>59</v>
      </c>
      <c r="P961" s="19">
        <f t="shared" ca="1" si="177"/>
        <v>59</v>
      </c>
      <c r="Q961" s="7">
        <f t="shared" ca="1" si="178"/>
        <v>58.41</v>
      </c>
      <c r="R961" s="8">
        <f ca="1">VLOOKUP(M961,'Payment Method'!$A$8:$B$12,2,0)</f>
        <v>0</v>
      </c>
      <c r="S961" s="9">
        <f t="shared" ca="1" si="168"/>
        <v>0</v>
      </c>
      <c r="T961" s="8">
        <v>0.01</v>
      </c>
      <c r="U961" s="9">
        <f t="shared" ca="1" si="169"/>
        <v>0.59000000000000341</v>
      </c>
      <c r="V961" s="7">
        <f t="shared" ca="1" si="170"/>
        <v>0</v>
      </c>
      <c r="W961" s="7">
        <f t="shared" ca="1" si="171"/>
        <v>0</v>
      </c>
      <c r="X961" s="5" t="str">
        <f t="shared" ca="1" si="179"/>
        <v>Tiktok</v>
      </c>
      <c r="Y961" s="78" t="str">
        <f>IF(COUNTIF($C$1:C960,B960)=1,10,"")</f>
        <v/>
      </c>
    </row>
    <row r="962" spans="1:25" x14ac:dyDescent="0.3">
      <c r="A962" s="75">
        <v>961</v>
      </c>
      <c r="B962" s="6">
        <v>46115</v>
      </c>
      <c r="C962" s="6">
        <v>46115</v>
      </c>
      <c r="D962" s="17" t="str">
        <f t="shared" si="172"/>
        <v>April</v>
      </c>
      <c r="E962" s="5" t="str">
        <f t="shared" ca="1" si="173"/>
        <v>STU-888</v>
      </c>
      <c r="F962" s="5" t="str">
        <f ca="1">IF(COUNTIF($E$2:E962,E962)=1,"New Customer","Returning Customer")</f>
        <v>Returning Customer</v>
      </c>
      <c r="G962" s="5" t="str">
        <f t="shared" ca="1" si="174"/>
        <v>Female</v>
      </c>
      <c r="H962" s="5" t="s">
        <v>135</v>
      </c>
      <c r="I962" s="5" t="str" cm="1">
        <f t="array" aca="1" ref="I962" ca="1">INDEX(Courses!$B$9:$B$16,RANDBETWEEN(1,8))</f>
        <v>SQL</v>
      </c>
      <c r="J962" s="5" t="str">
        <f ca="1">VLOOKUP(I962,Courses!$B$9:$C$16,2,0)</f>
        <v>Data Analytics</v>
      </c>
      <c r="K962" s="7">
        <f ca="1">VLOOKUP(I962,Courses!$B$9:$D$16,3,0)</f>
        <v>99</v>
      </c>
      <c r="L962" s="5" t="str">
        <f t="shared" ca="1" si="175"/>
        <v>Paid</v>
      </c>
      <c r="M962" s="8" t="str" cm="1">
        <f t="array" aca="1" ref="M962" ca="1">INDEX('Payment Method'!$A$8:$A$12,RANDBETWEEN(1,5))</f>
        <v>Mastercard Debit</v>
      </c>
      <c r="N962" s="7">
        <f>IFERROR(SUMIF(Holiday!$A$8:$A$11,B962,Holiday!$C$8:$C$11),0)</f>
        <v>0</v>
      </c>
      <c r="O962" s="7">
        <f t="shared" ca="1" si="176"/>
        <v>99</v>
      </c>
      <c r="P962" s="19">
        <f t="shared" ca="1" si="177"/>
        <v>97.02</v>
      </c>
      <c r="Q962" s="7">
        <f t="shared" ca="1" si="178"/>
        <v>0</v>
      </c>
      <c r="R962" s="8">
        <f ca="1">VLOOKUP(M962,'Payment Method'!$A$8:$B$12,2,0)</f>
        <v>0.02</v>
      </c>
      <c r="S962" s="9">
        <f t="shared" ref="S962:S1001" ca="1" si="180">O962-(O962-O962*R962)</f>
        <v>1.980000000000004</v>
      </c>
      <c r="T962" s="8">
        <v>0.01</v>
      </c>
      <c r="U962" s="9">
        <f t="shared" ref="U962:U1001" ca="1" si="181">O962-S962-((O962-S962)-(O962-S962)*T962)</f>
        <v>0.9702000000000055</v>
      </c>
      <c r="V962" s="7">
        <f t="shared" ref="V962:V1001" ca="1" si="182">IF(L962="refunded",(K962-K962*N962)-(K962-K962*N962)*R962-((K962-K962*N962)-(K962-K962*N962)*R962)*T962,0)</f>
        <v>0</v>
      </c>
      <c r="W962" s="7">
        <f t="shared" ref="W962:W1001" ca="1" si="183">IF(L962="paid",(K962-K962*N962)-(K962-K962*N962)*R962-((K962-K962*N962)-(K962-K962*N962)*R962)*T962,0)</f>
        <v>96.049799999999991</v>
      </c>
      <c r="X962" s="5" t="str">
        <f t="shared" ca="1" si="179"/>
        <v>Instagram</v>
      </c>
      <c r="Y962" s="78" t="str">
        <f>IF(COUNTIF($C$1:C961,B961)=1,10,"")</f>
        <v/>
      </c>
    </row>
    <row r="963" spans="1:25" x14ac:dyDescent="0.3">
      <c r="A963" s="76">
        <v>962</v>
      </c>
      <c r="B963" s="6">
        <v>46214</v>
      </c>
      <c r="C963" s="6">
        <v>46215</v>
      </c>
      <c r="D963" s="17" t="str">
        <f t="shared" ref="D963:D1001" si="184">TEXT(C963,"mmmm")</f>
        <v>July</v>
      </c>
      <c r="E963" s="5" t="str">
        <f t="shared" ref="E963:E1001" ca="1" si="185">"STU-"&amp;RANDBETWEEN(1,1000)</f>
        <v>STU-806</v>
      </c>
      <c r="F963" s="5" t="str">
        <f ca="1">IF(COUNTIF($E$2:E963,E963)=1,"New Customer","Returning Customer")</f>
        <v>New Customer</v>
      </c>
      <c r="G963" s="5" t="str">
        <f t="shared" ref="G963:G1001" ca="1" si="186">CHOOSE(RANDBETWEEN(1,3),"Male","Female","Not specified")</f>
        <v>Female</v>
      </c>
      <c r="H963" s="5" t="s">
        <v>139</v>
      </c>
      <c r="I963" s="5" t="str" cm="1">
        <f t="array" aca="1" ref="I963" ca="1">INDEX(Courses!$B$9:$B$16,RANDBETWEEN(1,8))</f>
        <v>Power BI</v>
      </c>
      <c r="J963" s="5" t="str">
        <f ca="1">VLOOKUP(I963,Courses!$B$9:$C$16,2,0)</f>
        <v>Data Analytics</v>
      </c>
      <c r="K963" s="7">
        <f ca="1">VLOOKUP(I963,Courses!$B$9:$D$16,3,0)</f>
        <v>59</v>
      </c>
      <c r="L963" s="5" t="str">
        <f t="shared" ref="L963:L1001" ca="1" si="187">IF(RAND()&lt;0.6,"Paid",IF(RAND()&lt;0.75,"Pending","Refunded"))</f>
        <v>Paid</v>
      </c>
      <c r="M963" s="8" t="str" cm="1">
        <f t="array" aca="1" ref="M963" ca="1">INDEX('Payment Method'!$A$8:$A$12,RANDBETWEEN(1,5))</f>
        <v>Bank Transfer</v>
      </c>
      <c r="N963" s="7">
        <f>IFERROR(SUMIF(Holiday!$A$8:$A$11,B963,Holiday!$C$8:$C$11),0)</f>
        <v>0</v>
      </c>
      <c r="O963" s="7">
        <f t="shared" ref="O963:O1001" ca="1" si="188">K963-K963*N963</f>
        <v>59</v>
      </c>
      <c r="P963" s="19">
        <f t="shared" ref="P963:P1001" ca="1" si="189">O963-S963</f>
        <v>59</v>
      </c>
      <c r="Q963" s="7">
        <f t="shared" ref="Q963:Q1001" ca="1" si="190">IF(L963="pending",(K963-K963*N963)-(K963-K963*N963)*R963-((K963-K963*N963)-(K963-K963*N963)*R963)*T963,0)</f>
        <v>0</v>
      </c>
      <c r="R963" s="8">
        <f ca="1">VLOOKUP(M963,'Payment Method'!$A$8:$B$12,2,0)</f>
        <v>0</v>
      </c>
      <c r="S963" s="9">
        <f t="shared" ca="1" si="180"/>
        <v>0</v>
      </c>
      <c r="T963" s="8">
        <v>0.01</v>
      </c>
      <c r="U963" s="9">
        <f t="shared" ca="1" si="181"/>
        <v>0.59000000000000341</v>
      </c>
      <c r="V963" s="7">
        <f t="shared" ca="1" si="182"/>
        <v>0</v>
      </c>
      <c r="W963" s="7">
        <f t="shared" ca="1" si="183"/>
        <v>58.41</v>
      </c>
      <c r="X963" s="5" t="str">
        <f t="shared" ref="X963:X1001" ca="1" si="191">CHOOSE(RANDBETWEEN(1,3),"Facebook","Instagram","Tiktok")</f>
        <v>Facebook</v>
      </c>
      <c r="Y963" s="78" t="str">
        <f>IF(COUNTIF($C$1:C962,B962)=1,10,"")</f>
        <v/>
      </c>
    </row>
    <row r="964" spans="1:25" x14ac:dyDescent="0.3">
      <c r="A964" s="75">
        <v>963</v>
      </c>
      <c r="B964" s="6">
        <v>46152</v>
      </c>
      <c r="C964" s="6">
        <v>46155</v>
      </c>
      <c r="D964" s="17" t="str">
        <f t="shared" si="184"/>
        <v>May</v>
      </c>
      <c r="E964" s="5" t="str">
        <f t="shared" ca="1" si="185"/>
        <v>STU-688</v>
      </c>
      <c r="F964" s="5" t="str">
        <f ca="1">IF(COUNTIF($E$2:E964,E964)=1,"New Customer","Returning Customer")</f>
        <v>New Customer</v>
      </c>
      <c r="G964" s="5" t="str">
        <f t="shared" ca="1" si="186"/>
        <v>Not specified</v>
      </c>
      <c r="H964" s="5" t="s">
        <v>139</v>
      </c>
      <c r="I964" s="5" t="str" cm="1">
        <f t="array" aca="1" ref="I964" ca="1">INDEX(Courses!$B$9:$B$16,RANDBETWEEN(1,8))</f>
        <v>SQL</v>
      </c>
      <c r="J964" s="5" t="str">
        <f ca="1">VLOOKUP(I964,Courses!$B$9:$C$16,2,0)</f>
        <v>Data Analytics</v>
      </c>
      <c r="K964" s="7">
        <f ca="1">VLOOKUP(I964,Courses!$B$9:$D$16,3,0)</f>
        <v>99</v>
      </c>
      <c r="L964" s="5" t="str">
        <f t="shared" ca="1" si="187"/>
        <v>Paid</v>
      </c>
      <c r="M964" s="8" t="str" cm="1">
        <f t="array" aca="1" ref="M964" ca="1">INDEX('Payment Method'!$A$8:$A$12,RANDBETWEEN(1,5))</f>
        <v>Visa Credit</v>
      </c>
      <c r="N964" s="7">
        <f>IFERROR(SUMIF(Holiday!$A$8:$A$11,B964,Holiday!$C$8:$C$11),0)</f>
        <v>0</v>
      </c>
      <c r="O964" s="7">
        <f t="shared" ca="1" si="188"/>
        <v>99</v>
      </c>
      <c r="P964" s="19">
        <f t="shared" ca="1" si="189"/>
        <v>95.534999999999997</v>
      </c>
      <c r="Q964" s="7">
        <f t="shared" ca="1" si="190"/>
        <v>0</v>
      </c>
      <c r="R964" s="8">
        <f ca="1">VLOOKUP(M964,'Payment Method'!$A$8:$B$12,2,0)</f>
        <v>3.5000000000000003E-2</v>
      </c>
      <c r="S964" s="9">
        <f t="shared" ca="1" si="180"/>
        <v>3.4650000000000034</v>
      </c>
      <c r="T964" s="8">
        <v>0.01</v>
      </c>
      <c r="U964" s="9">
        <f t="shared" ca="1" si="181"/>
        <v>0.9553499999999957</v>
      </c>
      <c r="V964" s="7">
        <f t="shared" ca="1" si="182"/>
        <v>0</v>
      </c>
      <c r="W964" s="7">
        <f t="shared" ca="1" si="183"/>
        <v>94.579650000000001</v>
      </c>
      <c r="X964" s="5" t="str">
        <f t="shared" ca="1" si="191"/>
        <v>Facebook</v>
      </c>
      <c r="Y964" s="78" t="str">
        <f>IF(COUNTIF($C$1:C963,B963)=1,10,"")</f>
        <v/>
      </c>
    </row>
    <row r="965" spans="1:25" x14ac:dyDescent="0.3">
      <c r="A965" s="76">
        <v>964</v>
      </c>
      <c r="B965" s="6">
        <v>46169</v>
      </c>
      <c r="C965" s="6">
        <v>46174</v>
      </c>
      <c r="D965" s="17" t="str">
        <f t="shared" si="184"/>
        <v>June</v>
      </c>
      <c r="E965" s="5" t="str">
        <f t="shared" ca="1" si="185"/>
        <v>STU-427</v>
      </c>
      <c r="F965" s="5" t="str">
        <f ca="1">IF(COUNTIF($E$2:E965,E965)=1,"New Customer","Returning Customer")</f>
        <v>Returning Customer</v>
      </c>
      <c r="G965" s="5" t="str">
        <f t="shared" ca="1" si="186"/>
        <v>Male</v>
      </c>
      <c r="H965" s="5" t="s">
        <v>141</v>
      </c>
      <c r="I965" s="5" t="str" cm="1">
        <f t="array" aca="1" ref="I965" ca="1">INDEX(Courses!$B$9:$B$16,RANDBETWEEN(1,8))</f>
        <v>PowerPoint</v>
      </c>
      <c r="J965" s="5" t="str">
        <f ca="1">VLOOKUP(I965,Courses!$B$9:$C$16,2,0)</f>
        <v>Microsoft Office</v>
      </c>
      <c r="K965" s="7">
        <f ca="1">VLOOKUP(I965,Courses!$B$9:$D$16,3,0)</f>
        <v>29</v>
      </c>
      <c r="L965" s="5" t="str">
        <f t="shared" ca="1" si="187"/>
        <v>Paid</v>
      </c>
      <c r="M965" s="8" t="str" cm="1">
        <f t="array" aca="1" ref="M965" ca="1">INDEX('Payment Method'!$A$8:$A$12,RANDBETWEEN(1,5))</f>
        <v>Visa Credit</v>
      </c>
      <c r="N965" s="7">
        <f>IFERROR(SUMIF(Holiday!$A$8:$A$11,B965,Holiday!$C$8:$C$11),0)</f>
        <v>0</v>
      </c>
      <c r="O965" s="7">
        <f t="shared" ca="1" si="188"/>
        <v>29</v>
      </c>
      <c r="P965" s="19">
        <f t="shared" ca="1" si="189"/>
        <v>27.984999999999999</v>
      </c>
      <c r="Q965" s="7">
        <f t="shared" ca="1" si="190"/>
        <v>0</v>
      </c>
      <c r="R965" s="8">
        <f ca="1">VLOOKUP(M965,'Payment Method'!$A$8:$B$12,2,0)</f>
        <v>3.5000000000000003E-2</v>
      </c>
      <c r="S965" s="9">
        <f t="shared" ca="1" si="180"/>
        <v>1.0150000000000006</v>
      </c>
      <c r="T965" s="8">
        <v>0.01</v>
      </c>
      <c r="U965" s="9">
        <f t="shared" ca="1" si="181"/>
        <v>0.27984999999999971</v>
      </c>
      <c r="V965" s="7">
        <f t="shared" ca="1" si="182"/>
        <v>0</v>
      </c>
      <c r="W965" s="7">
        <f t="shared" ca="1" si="183"/>
        <v>27.70515</v>
      </c>
      <c r="X965" s="5" t="str">
        <f t="shared" ca="1" si="191"/>
        <v>Tiktok</v>
      </c>
      <c r="Y965" s="78" t="str">
        <f>IF(COUNTIF($C$1:C964,B964)=1,10,"")</f>
        <v/>
      </c>
    </row>
    <row r="966" spans="1:25" x14ac:dyDescent="0.3">
      <c r="A966" s="75">
        <v>965</v>
      </c>
      <c r="B966" s="6">
        <v>46218</v>
      </c>
      <c r="C966" s="6">
        <v>46218</v>
      </c>
      <c r="D966" s="17" t="str">
        <f t="shared" si="184"/>
        <v>July</v>
      </c>
      <c r="E966" s="5" t="str">
        <f t="shared" ca="1" si="185"/>
        <v>STU-740</v>
      </c>
      <c r="F966" s="5" t="str">
        <f ca="1">IF(COUNTIF($E$2:E966,E966)=1,"New Customer","Returning Customer")</f>
        <v>New Customer</v>
      </c>
      <c r="G966" s="5" t="str">
        <f t="shared" ca="1" si="186"/>
        <v>Not specified</v>
      </c>
      <c r="H966" s="5" t="s">
        <v>135</v>
      </c>
      <c r="I966" s="5" t="str" cm="1">
        <f t="array" aca="1" ref="I966" ca="1">INDEX(Courses!$B$9:$B$16,RANDBETWEEN(1,8))</f>
        <v>PowerPoint</v>
      </c>
      <c r="J966" s="5" t="str">
        <f ca="1">VLOOKUP(I966,Courses!$B$9:$C$16,2,0)</f>
        <v>Microsoft Office</v>
      </c>
      <c r="K966" s="7">
        <f ca="1">VLOOKUP(I966,Courses!$B$9:$D$16,3,0)</f>
        <v>29</v>
      </c>
      <c r="L966" s="5" t="str">
        <f t="shared" ca="1" si="187"/>
        <v>Pending</v>
      </c>
      <c r="M966" s="8" t="str" cm="1">
        <f t="array" aca="1" ref="M966" ca="1">INDEX('Payment Method'!$A$8:$A$12,RANDBETWEEN(1,5))</f>
        <v>Visa Debit</v>
      </c>
      <c r="N966" s="7">
        <f>IFERROR(SUMIF(Holiday!$A$8:$A$11,B966,Holiday!$C$8:$C$11),0)</f>
        <v>0</v>
      </c>
      <c r="O966" s="7">
        <f t="shared" ca="1" si="188"/>
        <v>29</v>
      </c>
      <c r="P966" s="19">
        <f t="shared" ca="1" si="189"/>
        <v>28.42</v>
      </c>
      <c r="Q966" s="7">
        <f t="shared" ca="1" si="190"/>
        <v>28.135800000000003</v>
      </c>
      <c r="R966" s="8">
        <f ca="1">VLOOKUP(M966,'Payment Method'!$A$8:$B$12,2,0)</f>
        <v>0.02</v>
      </c>
      <c r="S966" s="9">
        <f t="shared" ca="1" si="180"/>
        <v>0.57999999999999829</v>
      </c>
      <c r="T966" s="8">
        <v>0.01</v>
      </c>
      <c r="U966" s="9">
        <f t="shared" ca="1" si="181"/>
        <v>0.28419999999999845</v>
      </c>
      <c r="V966" s="7">
        <f t="shared" ca="1" si="182"/>
        <v>0</v>
      </c>
      <c r="W966" s="7">
        <f t="shared" ca="1" si="183"/>
        <v>0</v>
      </c>
      <c r="X966" s="5" t="str">
        <f t="shared" ca="1" si="191"/>
        <v>Instagram</v>
      </c>
      <c r="Y966" s="78">
        <f>IF(COUNTIF($C$1:C965,B965)=1,10,"")</f>
        <v>10</v>
      </c>
    </row>
    <row r="967" spans="1:25" x14ac:dyDescent="0.3">
      <c r="A967" s="76">
        <v>966</v>
      </c>
      <c r="B967" s="6">
        <v>46164</v>
      </c>
      <c r="C967" s="6">
        <v>46166</v>
      </c>
      <c r="D967" s="17" t="str">
        <f t="shared" si="184"/>
        <v>May</v>
      </c>
      <c r="E967" s="5" t="str">
        <f t="shared" ca="1" si="185"/>
        <v>STU-570</v>
      </c>
      <c r="F967" s="5" t="str">
        <f ca="1">IF(COUNTIF($E$2:E967,E967)=1,"New Customer","Returning Customer")</f>
        <v>Returning Customer</v>
      </c>
      <c r="G967" s="5" t="str">
        <f t="shared" ca="1" si="186"/>
        <v>Not specified</v>
      </c>
      <c r="H967" s="5" t="s">
        <v>135</v>
      </c>
      <c r="I967" s="5" t="str" cm="1">
        <f t="array" aca="1" ref="I967" ca="1">INDEX(Courses!$B$9:$B$16,RANDBETWEEN(1,8))</f>
        <v>Tax Code</v>
      </c>
      <c r="J967" s="5" t="str">
        <f ca="1">VLOOKUP(I967,Courses!$B$9:$C$16,2,0)</f>
        <v>Finance &amp; Taxation</v>
      </c>
      <c r="K967" s="7">
        <f ca="1">VLOOKUP(I967,Courses!$B$9:$D$16,3,0)</f>
        <v>59</v>
      </c>
      <c r="L967" s="5" t="str">
        <f t="shared" ca="1" si="187"/>
        <v>Pending</v>
      </c>
      <c r="M967" s="8" t="str" cm="1">
        <f t="array" aca="1" ref="M967" ca="1">INDEX('Payment Method'!$A$8:$A$12,RANDBETWEEN(1,5))</f>
        <v>Mastercard Credit</v>
      </c>
      <c r="N967" s="7">
        <f>IFERROR(SUMIF(Holiday!$A$8:$A$11,B967,Holiday!$C$8:$C$11),0)</f>
        <v>0</v>
      </c>
      <c r="O967" s="7">
        <f t="shared" ca="1" si="188"/>
        <v>59</v>
      </c>
      <c r="P967" s="19">
        <f t="shared" ca="1" si="189"/>
        <v>56.935000000000002</v>
      </c>
      <c r="Q967" s="7">
        <f t="shared" ca="1" si="190"/>
        <v>56.365650000000002</v>
      </c>
      <c r="R967" s="8">
        <f ca="1">VLOOKUP(M967,'Payment Method'!$A$8:$B$12,2,0)</f>
        <v>3.5000000000000003E-2</v>
      </c>
      <c r="S967" s="9">
        <f t="shared" ca="1" si="180"/>
        <v>2.0649999999999977</v>
      </c>
      <c r="T967" s="8">
        <v>0.01</v>
      </c>
      <c r="U967" s="9">
        <f t="shared" ca="1" si="181"/>
        <v>0.56935000000000002</v>
      </c>
      <c r="V967" s="7">
        <f t="shared" ca="1" si="182"/>
        <v>0</v>
      </c>
      <c r="W967" s="7">
        <f t="shared" ca="1" si="183"/>
        <v>0</v>
      </c>
      <c r="X967" s="5" t="str">
        <f t="shared" ca="1" si="191"/>
        <v>Instagram</v>
      </c>
      <c r="Y967" s="78" t="str">
        <f>IF(COUNTIF($C$1:C966,B966)=1,10,"")</f>
        <v/>
      </c>
    </row>
    <row r="968" spans="1:25" x14ac:dyDescent="0.3">
      <c r="A968" s="75">
        <v>967</v>
      </c>
      <c r="B968" s="6">
        <v>46064</v>
      </c>
      <c r="C968" s="6">
        <v>46065</v>
      </c>
      <c r="D968" s="17" t="str">
        <f t="shared" si="184"/>
        <v>February</v>
      </c>
      <c r="E968" s="5" t="str">
        <f t="shared" ca="1" si="185"/>
        <v>STU-918</v>
      </c>
      <c r="F968" s="5" t="str">
        <f ca="1">IF(COUNTIF($E$2:E968,E968)=1,"New Customer","Returning Customer")</f>
        <v>Returning Customer</v>
      </c>
      <c r="G968" s="5" t="str">
        <f t="shared" ca="1" si="186"/>
        <v>Female</v>
      </c>
      <c r="H968" s="5" t="s">
        <v>140</v>
      </c>
      <c r="I968" s="5" t="str" cm="1">
        <f t="array" aca="1" ref="I968" ca="1">INDEX(Courses!$B$9:$B$16,RANDBETWEEN(1,8))</f>
        <v>PowerPoint</v>
      </c>
      <c r="J968" s="5" t="str">
        <f ca="1">VLOOKUP(I968,Courses!$B$9:$C$16,2,0)</f>
        <v>Microsoft Office</v>
      </c>
      <c r="K968" s="7">
        <f ca="1">VLOOKUP(I968,Courses!$B$9:$D$16,3,0)</f>
        <v>29</v>
      </c>
      <c r="L968" s="5" t="str">
        <f t="shared" ca="1" si="187"/>
        <v>Paid</v>
      </c>
      <c r="M968" s="8" t="str" cm="1">
        <f t="array" aca="1" ref="M968" ca="1">INDEX('Payment Method'!$A$8:$A$12,RANDBETWEEN(1,5))</f>
        <v>Visa Credit</v>
      </c>
      <c r="N968" s="7">
        <f>IFERROR(SUMIF(Holiday!$A$8:$A$11,B968,Holiday!$C$8:$C$11),0)</f>
        <v>0</v>
      </c>
      <c r="O968" s="7">
        <f t="shared" ca="1" si="188"/>
        <v>29</v>
      </c>
      <c r="P968" s="19">
        <f t="shared" ca="1" si="189"/>
        <v>27.984999999999999</v>
      </c>
      <c r="Q968" s="7">
        <f t="shared" ca="1" si="190"/>
        <v>0</v>
      </c>
      <c r="R968" s="8">
        <f ca="1">VLOOKUP(M968,'Payment Method'!$A$8:$B$12,2,0)</f>
        <v>3.5000000000000003E-2</v>
      </c>
      <c r="S968" s="9">
        <f t="shared" ca="1" si="180"/>
        <v>1.0150000000000006</v>
      </c>
      <c r="T968" s="8">
        <v>0.01</v>
      </c>
      <c r="U968" s="9">
        <f t="shared" ca="1" si="181"/>
        <v>0.27984999999999971</v>
      </c>
      <c r="V968" s="7">
        <f t="shared" ca="1" si="182"/>
        <v>0</v>
      </c>
      <c r="W968" s="7">
        <f t="shared" ca="1" si="183"/>
        <v>27.70515</v>
      </c>
      <c r="X968" s="5" t="str">
        <f t="shared" ca="1" si="191"/>
        <v>Facebook</v>
      </c>
      <c r="Y968" s="78" t="str">
        <f>IF(COUNTIF($C$1:C967,B967)=1,10,"")</f>
        <v/>
      </c>
    </row>
    <row r="969" spans="1:25" x14ac:dyDescent="0.3">
      <c r="A969" s="76">
        <v>968</v>
      </c>
      <c r="B969" s="6">
        <v>46078</v>
      </c>
      <c r="C969" s="6">
        <v>46080</v>
      </c>
      <c r="D969" s="17" t="str">
        <f t="shared" si="184"/>
        <v>February</v>
      </c>
      <c r="E969" s="5" t="str">
        <f t="shared" ca="1" si="185"/>
        <v>STU-92</v>
      </c>
      <c r="F969" s="5" t="str">
        <f ca="1">IF(COUNTIF($E$2:E969,E969)=1,"New Customer","Returning Customer")</f>
        <v>Returning Customer</v>
      </c>
      <c r="G969" s="5" t="str">
        <f t="shared" ca="1" si="186"/>
        <v>Male</v>
      </c>
      <c r="H969" s="5" t="s">
        <v>141</v>
      </c>
      <c r="I969" s="5" t="str" cm="1">
        <f t="array" aca="1" ref="I969" ca="1">INDEX(Courses!$B$9:$B$16,RANDBETWEEN(1,8))</f>
        <v>Complete Excel Course</v>
      </c>
      <c r="J969" s="5" t="str">
        <f ca="1">VLOOKUP(I969,Courses!$B$9:$C$16,2,0)</f>
        <v>Microsoft Office</v>
      </c>
      <c r="K969" s="7">
        <f ca="1">VLOOKUP(I969,Courses!$B$9:$D$16,3,0)</f>
        <v>59</v>
      </c>
      <c r="L969" s="5" t="str">
        <f t="shared" ca="1" si="187"/>
        <v>Paid</v>
      </c>
      <c r="M969" s="8" t="str" cm="1">
        <f t="array" aca="1" ref="M969" ca="1">INDEX('Payment Method'!$A$8:$A$12,RANDBETWEEN(1,5))</f>
        <v>Bank Transfer</v>
      </c>
      <c r="N969" s="7">
        <f>IFERROR(SUMIF(Holiday!$A$8:$A$11,B969,Holiday!$C$8:$C$11),0)</f>
        <v>0</v>
      </c>
      <c r="O969" s="7">
        <f t="shared" ca="1" si="188"/>
        <v>59</v>
      </c>
      <c r="P969" s="19">
        <f t="shared" ca="1" si="189"/>
        <v>59</v>
      </c>
      <c r="Q969" s="7">
        <f t="shared" ca="1" si="190"/>
        <v>0</v>
      </c>
      <c r="R969" s="8">
        <f ca="1">VLOOKUP(M969,'Payment Method'!$A$8:$B$12,2,0)</f>
        <v>0</v>
      </c>
      <c r="S969" s="9">
        <f t="shared" ca="1" si="180"/>
        <v>0</v>
      </c>
      <c r="T969" s="8">
        <v>0.01</v>
      </c>
      <c r="U969" s="9">
        <f t="shared" ca="1" si="181"/>
        <v>0.59000000000000341</v>
      </c>
      <c r="V969" s="7">
        <f t="shared" ca="1" si="182"/>
        <v>0</v>
      </c>
      <c r="W969" s="7">
        <f t="shared" ca="1" si="183"/>
        <v>58.41</v>
      </c>
      <c r="X969" s="5" t="str">
        <f t="shared" ca="1" si="191"/>
        <v>Instagram</v>
      </c>
      <c r="Y969" s="78" t="str">
        <f>IF(COUNTIF($C$1:C968,B968)=1,10,"")</f>
        <v/>
      </c>
    </row>
    <row r="970" spans="1:25" x14ac:dyDescent="0.3">
      <c r="A970" s="75">
        <v>969</v>
      </c>
      <c r="B970" s="6">
        <v>46123</v>
      </c>
      <c r="C970" s="6">
        <v>46125</v>
      </c>
      <c r="D970" s="17" t="str">
        <f t="shared" si="184"/>
        <v>April</v>
      </c>
      <c r="E970" s="5" t="str">
        <f t="shared" ca="1" si="185"/>
        <v>STU-843</v>
      </c>
      <c r="F970" s="5" t="str">
        <f ca="1">IF(COUNTIF($E$2:E970,E970)=1,"New Customer","Returning Customer")</f>
        <v>Returning Customer</v>
      </c>
      <c r="G970" s="5" t="str">
        <f t="shared" ca="1" si="186"/>
        <v>Male</v>
      </c>
      <c r="H970" s="5" t="s">
        <v>136</v>
      </c>
      <c r="I970" s="5" t="str" cm="1">
        <f t="array" aca="1" ref="I970" ca="1">INDEX(Courses!$B$9:$B$16,RANDBETWEEN(1,8))</f>
        <v>Adolescent Psychology</v>
      </c>
      <c r="J970" s="5" t="str">
        <f ca="1">VLOOKUP(I970,Courses!$B$9:$C$16,2,0)</f>
        <v>Psychology</v>
      </c>
      <c r="K970" s="7">
        <f ca="1">VLOOKUP(I970,Courses!$B$9:$D$16,3,0)</f>
        <v>29</v>
      </c>
      <c r="L970" s="5" t="str">
        <f t="shared" ca="1" si="187"/>
        <v>Paid</v>
      </c>
      <c r="M970" s="8" t="str" cm="1">
        <f t="array" aca="1" ref="M970" ca="1">INDEX('Payment Method'!$A$8:$A$12,RANDBETWEEN(1,5))</f>
        <v>Mastercard Debit</v>
      </c>
      <c r="N970" s="7">
        <f>IFERROR(SUMIF(Holiday!$A$8:$A$11,B970,Holiday!$C$8:$C$11),0)</f>
        <v>0</v>
      </c>
      <c r="O970" s="7">
        <f t="shared" ca="1" si="188"/>
        <v>29</v>
      </c>
      <c r="P970" s="19">
        <f t="shared" ca="1" si="189"/>
        <v>28.42</v>
      </c>
      <c r="Q970" s="7">
        <f t="shared" ca="1" si="190"/>
        <v>0</v>
      </c>
      <c r="R970" s="8">
        <f ca="1">VLOOKUP(M970,'Payment Method'!$A$8:$B$12,2,0)</f>
        <v>0.02</v>
      </c>
      <c r="S970" s="9">
        <f t="shared" ca="1" si="180"/>
        <v>0.57999999999999829</v>
      </c>
      <c r="T970" s="8">
        <v>0.01</v>
      </c>
      <c r="U970" s="9">
        <f t="shared" ca="1" si="181"/>
        <v>0.28419999999999845</v>
      </c>
      <c r="V970" s="7">
        <f t="shared" ca="1" si="182"/>
        <v>0</v>
      </c>
      <c r="W970" s="7">
        <f t="shared" ca="1" si="183"/>
        <v>28.135800000000003</v>
      </c>
      <c r="X970" s="5" t="str">
        <f t="shared" ca="1" si="191"/>
        <v>Tiktok</v>
      </c>
      <c r="Y970" s="78" t="str">
        <f>IF(COUNTIF($C$1:C969,B969)=1,10,"")</f>
        <v/>
      </c>
    </row>
    <row r="971" spans="1:25" x14ac:dyDescent="0.3">
      <c r="A971" s="76">
        <v>970</v>
      </c>
      <c r="B971" s="6">
        <v>46070</v>
      </c>
      <c r="C971" s="6">
        <v>46074</v>
      </c>
      <c r="D971" s="17" t="str">
        <f t="shared" si="184"/>
        <v>February</v>
      </c>
      <c r="E971" s="5" t="str">
        <f t="shared" ca="1" si="185"/>
        <v>STU-178</v>
      </c>
      <c r="F971" s="5" t="str">
        <f ca="1">IF(COUNTIF($E$2:E971,E971)=1,"New Customer","Returning Customer")</f>
        <v>Returning Customer</v>
      </c>
      <c r="G971" s="5" t="str">
        <f t="shared" ca="1" si="186"/>
        <v>Male</v>
      </c>
      <c r="H971" s="5" t="s">
        <v>136</v>
      </c>
      <c r="I971" s="5" t="str" cm="1">
        <f t="array" aca="1" ref="I971" ca="1">INDEX(Courses!$B$9:$B$16,RANDBETWEEN(1,8))</f>
        <v>Adolescent Psychology</v>
      </c>
      <c r="J971" s="5" t="str">
        <f ca="1">VLOOKUP(I971,Courses!$B$9:$C$16,2,0)</f>
        <v>Psychology</v>
      </c>
      <c r="K971" s="7">
        <f ca="1">VLOOKUP(I971,Courses!$B$9:$D$16,3,0)</f>
        <v>29</v>
      </c>
      <c r="L971" s="5" t="str">
        <f t="shared" ca="1" si="187"/>
        <v>Paid</v>
      </c>
      <c r="M971" s="8" t="str" cm="1">
        <f t="array" aca="1" ref="M971" ca="1">INDEX('Payment Method'!$A$8:$A$12,RANDBETWEEN(1,5))</f>
        <v>Visa Debit</v>
      </c>
      <c r="N971" s="7">
        <f>IFERROR(SUMIF(Holiday!$A$8:$A$11,B971,Holiday!$C$8:$C$11),0)</f>
        <v>0</v>
      </c>
      <c r="O971" s="7">
        <f t="shared" ca="1" si="188"/>
        <v>29</v>
      </c>
      <c r="P971" s="19">
        <f t="shared" ca="1" si="189"/>
        <v>28.42</v>
      </c>
      <c r="Q971" s="7">
        <f t="shared" ca="1" si="190"/>
        <v>0</v>
      </c>
      <c r="R971" s="8">
        <f ca="1">VLOOKUP(M971,'Payment Method'!$A$8:$B$12,2,0)</f>
        <v>0.02</v>
      </c>
      <c r="S971" s="9">
        <f t="shared" ca="1" si="180"/>
        <v>0.57999999999999829</v>
      </c>
      <c r="T971" s="8">
        <v>0.01</v>
      </c>
      <c r="U971" s="9">
        <f t="shared" ca="1" si="181"/>
        <v>0.28419999999999845</v>
      </c>
      <c r="V971" s="7">
        <f t="shared" ca="1" si="182"/>
        <v>0</v>
      </c>
      <c r="W971" s="7">
        <f t="shared" ca="1" si="183"/>
        <v>28.135800000000003</v>
      </c>
      <c r="X971" s="5" t="str">
        <f t="shared" ca="1" si="191"/>
        <v>Instagram</v>
      </c>
      <c r="Y971" s="78" t="str">
        <f>IF(COUNTIF($C$1:C970,B970)=1,10,"")</f>
        <v/>
      </c>
    </row>
    <row r="972" spans="1:25" x14ac:dyDescent="0.3">
      <c r="A972" s="75">
        <v>971</v>
      </c>
      <c r="B972" s="6">
        <v>46096</v>
      </c>
      <c r="C972" s="6">
        <v>46101</v>
      </c>
      <c r="D972" s="17" t="str">
        <f t="shared" si="184"/>
        <v>March</v>
      </c>
      <c r="E972" s="5" t="str">
        <f t="shared" ca="1" si="185"/>
        <v>STU-272</v>
      </c>
      <c r="F972" s="5" t="str">
        <f ca="1">IF(COUNTIF($E$2:E972,E972)=1,"New Customer","Returning Customer")</f>
        <v>Returning Customer</v>
      </c>
      <c r="G972" s="5" t="str">
        <f t="shared" ca="1" si="186"/>
        <v>Not specified</v>
      </c>
      <c r="H972" s="5" t="s">
        <v>137</v>
      </c>
      <c r="I972" s="5" t="str" cm="1">
        <f t="array" aca="1" ref="I972" ca="1">INDEX(Courses!$B$9:$B$16,RANDBETWEEN(1,8))</f>
        <v>PowerPoint</v>
      </c>
      <c r="J972" s="5" t="str">
        <f ca="1">VLOOKUP(I972,Courses!$B$9:$C$16,2,0)</f>
        <v>Microsoft Office</v>
      </c>
      <c r="K972" s="7">
        <f ca="1">VLOOKUP(I972,Courses!$B$9:$D$16,3,0)</f>
        <v>29</v>
      </c>
      <c r="L972" s="5" t="str">
        <f t="shared" ca="1" si="187"/>
        <v>Paid</v>
      </c>
      <c r="M972" s="8" t="str" cm="1">
        <f t="array" aca="1" ref="M972" ca="1">INDEX('Payment Method'!$A$8:$A$12,RANDBETWEEN(1,5))</f>
        <v>Mastercard Credit</v>
      </c>
      <c r="N972" s="7">
        <f>IFERROR(SUMIF(Holiday!$A$8:$A$11,B972,Holiday!$C$8:$C$11),0)</f>
        <v>0</v>
      </c>
      <c r="O972" s="7">
        <f t="shared" ca="1" si="188"/>
        <v>29</v>
      </c>
      <c r="P972" s="19">
        <f t="shared" ca="1" si="189"/>
        <v>27.984999999999999</v>
      </c>
      <c r="Q972" s="7">
        <f t="shared" ca="1" si="190"/>
        <v>0</v>
      </c>
      <c r="R972" s="8">
        <f ca="1">VLOOKUP(M972,'Payment Method'!$A$8:$B$12,2,0)</f>
        <v>3.5000000000000003E-2</v>
      </c>
      <c r="S972" s="9">
        <f t="shared" ca="1" si="180"/>
        <v>1.0150000000000006</v>
      </c>
      <c r="T972" s="8">
        <v>0.01</v>
      </c>
      <c r="U972" s="9">
        <f t="shared" ca="1" si="181"/>
        <v>0.27984999999999971</v>
      </c>
      <c r="V972" s="7">
        <f t="shared" ca="1" si="182"/>
        <v>0</v>
      </c>
      <c r="W972" s="7">
        <f t="shared" ca="1" si="183"/>
        <v>27.70515</v>
      </c>
      <c r="X972" s="5" t="str">
        <f t="shared" ca="1" si="191"/>
        <v>Facebook</v>
      </c>
      <c r="Y972" s="78" t="str">
        <f>IF(COUNTIF($C$1:C971,B971)=1,10,"")</f>
        <v/>
      </c>
    </row>
    <row r="973" spans="1:25" x14ac:dyDescent="0.3">
      <c r="A973" s="76">
        <v>972</v>
      </c>
      <c r="B973" s="6">
        <v>46046</v>
      </c>
      <c r="C973" s="6">
        <v>46050</v>
      </c>
      <c r="D973" s="17" t="str">
        <f t="shared" si="184"/>
        <v>January</v>
      </c>
      <c r="E973" s="5" t="str">
        <f t="shared" ca="1" si="185"/>
        <v>STU-82</v>
      </c>
      <c r="F973" s="5" t="str">
        <f ca="1">IF(COUNTIF($E$2:E973,E973)=1,"New Customer","Returning Customer")</f>
        <v>New Customer</v>
      </c>
      <c r="G973" s="5" t="str">
        <f t="shared" ca="1" si="186"/>
        <v>Female</v>
      </c>
      <c r="H973" s="5" t="s">
        <v>136</v>
      </c>
      <c r="I973" s="5" t="str" cm="1">
        <f t="array" aca="1" ref="I973" ca="1">INDEX(Courses!$B$9:$B$16,RANDBETWEEN(1,8))</f>
        <v>Microsoft Word</v>
      </c>
      <c r="J973" s="5" t="str">
        <f ca="1">VLOOKUP(I973,Courses!$B$9:$C$16,2,0)</f>
        <v>Microsoft Office</v>
      </c>
      <c r="K973" s="7">
        <f ca="1">VLOOKUP(I973,Courses!$B$9:$D$16,3,0)</f>
        <v>29</v>
      </c>
      <c r="L973" s="5" t="str">
        <f t="shared" ca="1" si="187"/>
        <v>Paid</v>
      </c>
      <c r="M973" s="8" t="str" cm="1">
        <f t="array" aca="1" ref="M973" ca="1">INDEX('Payment Method'!$A$8:$A$12,RANDBETWEEN(1,5))</f>
        <v>Mastercard Credit</v>
      </c>
      <c r="N973" s="7">
        <f>IFERROR(SUMIF(Holiday!$A$8:$A$11,B973,Holiday!$C$8:$C$11),0)</f>
        <v>0</v>
      </c>
      <c r="O973" s="7">
        <f t="shared" ca="1" si="188"/>
        <v>29</v>
      </c>
      <c r="P973" s="19">
        <f t="shared" ca="1" si="189"/>
        <v>27.984999999999999</v>
      </c>
      <c r="Q973" s="7">
        <f t="shared" ca="1" si="190"/>
        <v>0</v>
      </c>
      <c r="R973" s="8">
        <f ca="1">VLOOKUP(M973,'Payment Method'!$A$8:$B$12,2,0)</f>
        <v>3.5000000000000003E-2</v>
      </c>
      <c r="S973" s="9">
        <f t="shared" ca="1" si="180"/>
        <v>1.0150000000000006</v>
      </c>
      <c r="T973" s="8">
        <v>0.01</v>
      </c>
      <c r="U973" s="9">
        <f t="shared" ca="1" si="181"/>
        <v>0.27984999999999971</v>
      </c>
      <c r="V973" s="7">
        <f t="shared" ca="1" si="182"/>
        <v>0</v>
      </c>
      <c r="W973" s="7">
        <f t="shared" ca="1" si="183"/>
        <v>27.70515</v>
      </c>
      <c r="X973" s="5" t="str">
        <f t="shared" ca="1" si="191"/>
        <v>Instagram</v>
      </c>
      <c r="Y973" s="78" t="str">
        <f>IF(COUNTIF($C$1:C972,B972)=1,10,"")</f>
        <v/>
      </c>
    </row>
    <row r="974" spans="1:25" x14ac:dyDescent="0.3">
      <c r="A974" s="75">
        <v>973</v>
      </c>
      <c r="B974" s="6">
        <v>46127</v>
      </c>
      <c r="C974" s="6">
        <v>46132</v>
      </c>
      <c r="D974" s="17" t="str">
        <f t="shared" si="184"/>
        <v>April</v>
      </c>
      <c r="E974" s="5" t="str">
        <f t="shared" ca="1" si="185"/>
        <v>STU-845</v>
      </c>
      <c r="F974" s="5" t="str">
        <f ca="1">IF(COUNTIF($E$2:E974,E974)=1,"New Customer","Returning Customer")</f>
        <v>New Customer</v>
      </c>
      <c r="G974" s="5" t="str">
        <f t="shared" ca="1" si="186"/>
        <v>Female</v>
      </c>
      <c r="H974" s="5" t="s">
        <v>138</v>
      </c>
      <c r="I974" s="5" t="str" cm="1">
        <f t="array" aca="1" ref="I974" ca="1">INDEX(Courses!$B$9:$B$16,RANDBETWEEN(1,8))</f>
        <v>Microsoft Word</v>
      </c>
      <c r="J974" s="5" t="str">
        <f ca="1">VLOOKUP(I974,Courses!$B$9:$C$16,2,0)</f>
        <v>Microsoft Office</v>
      </c>
      <c r="K974" s="7">
        <f ca="1">VLOOKUP(I974,Courses!$B$9:$D$16,3,0)</f>
        <v>29</v>
      </c>
      <c r="L974" s="5" t="str">
        <f t="shared" ca="1" si="187"/>
        <v>Pending</v>
      </c>
      <c r="M974" s="8" t="str" cm="1">
        <f t="array" aca="1" ref="M974" ca="1">INDEX('Payment Method'!$A$8:$A$12,RANDBETWEEN(1,5))</f>
        <v>Mastercard Credit</v>
      </c>
      <c r="N974" s="7">
        <f>IFERROR(SUMIF(Holiday!$A$8:$A$11,B974,Holiday!$C$8:$C$11),0)</f>
        <v>0</v>
      </c>
      <c r="O974" s="7">
        <f t="shared" ca="1" si="188"/>
        <v>29</v>
      </c>
      <c r="P974" s="19">
        <f t="shared" ca="1" si="189"/>
        <v>27.984999999999999</v>
      </c>
      <c r="Q974" s="7">
        <f t="shared" ca="1" si="190"/>
        <v>27.70515</v>
      </c>
      <c r="R974" s="8">
        <f ca="1">VLOOKUP(M974,'Payment Method'!$A$8:$B$12,2,0)</f>
        <v>3.5000000000000003E-2</v>
      </c>
      <c r="S974" s="9">
        <f t="shared" ca="1" si="180"/>
        <v>1.0150000000000006</v>
      </c>
      <c r="T974" s="8">
        <v>0.01</v>
      </c>
      <c r="U974" s="9">
        <f t="shared" ca="1" si="181"/>
        <v>0.27984999999999971</v>
      </c>
      <c r="V974" s="7">
        <f t="shared" ca="1" si="182"/>
        <v>0</v>
      </c>
      <c r="W974" s="7">
        <f t="shared" ca="1" si="183"/>
        <v>0</v>
      </c>
      <c r="X974" s="5" t="str">
        <f t="shared" ca="1" si="191"/>
        <v>Facebook</v>
      </c>
      <c r="Y974" s="78" t="str">
        <f>IF(COUNTIF($C$1:C973,B973)=1,10,"")</f>
        <v/>
      </c>
    </row>
    <row r="975" spans="1:25" x14ac:dyDescent="0.3">
      <c r="A975" s="76">
        <v>974</v>
      </c>
      <c r="B975" s="6">
        <v>46047</v>
      </c>
      <c r="C975" s="6">
        <v>46050</v>
      </c>
      <c r="D975" s="17" t="str">
        <f t="shared" si="184"/>
        <v>January</v>
      </c>
      <c r="E975" s="5" t="str">
        <f t="shared" ca="1" si="185"/>
        <v>STU-180</v>
      </c>
      <c r="F975" s="5" t="str">
        <f ca="1">IF(COUNTIF($E$2:E975,E975)=1,"New Customer","Returning Customer")</f>
        <v>Returning Customer</v>
      </c>
      <c r="G975" s="5" t="str">
        <f t="shared" ca="1" si="186"/>
        <v>Male</v>
      </c>
      <c r="H975" s="5" t="s">
        <v>139</v>
      </c>
      <c r="I975" s="5" t="str" cm="1">
        <f t="array" aca="1" ref="I975" ca="1">INDEX(Courses!$B$9:$B$16,RANDBETWEEN(1,8))</f>
        <v>Adolescent Psychology</v>
      </c>
      <c r="J975" s="5" t="str">
        <f ca="1">VLOOKUP(I975,Courses!$B$9:$C$16,2,0)</f>
        <v>Psychology</v>
      </c>
      <c r="K975" s="7">
        <f ca="1">VLOOKUP(I975,Courses!$B$9:$D$16,3,0)</f>
        <v>29</v>
      </c>
      <c r="L975" s="5" t="str">
        <f t="shared" ca="1" si="187"/>
        <v>Paid</v>
      </c>
      <c r="M975" s="8" t="str" cm="1">
        <f t="array" aca="1" ref="M975" ca="1">INDEX('Payment Method'!$A$8:$A$12,RANDBETWEEN(1,5))</f>
        <v>Mastercard Credit</v>
      </c>
      <c r="N975" s="7">
        <f>IFERROR(SUMIF(Holiday!$A$8:$A$11,B975,Holiday!$C$8:$C$11),0)</f>
        <v>0</v>
      </c>
      <c r="O975" s="7">
        <f t="shared" ca="1" si="188"/>
        <v>29</v>
      </c>
      <c r="P975" s="19">
        <f t="shared" ca="1" si="189"/>
        <v>27.984999999999999</v>
      </c>
      <c r="Q975" s="7">
        <f t="shared" ca="1" si="190"/>
        <v>0</v>
      </c>
      <c r="R975" s="8">
        <f ca="1">VLOOKUP(M975,'Payment Method'!$A$8:$B$12,2,0)</f>
        <v>3.5000000000000003E-2</v>
      </c>
      <c r="S975" s="9">
        <f t="shared" ca="1" si="180"/>
        <v>1.0150000000000006</v>
      </c>
      <c r="T975" s="8">
        <v>0.01</v>
      </c>
      <c r="U975" s="9">
        <f t="shared" ca="1" si="181"/>
        <v>0.27984999999999971</v>
      </c>
      <c r="V975" s="7">
        <f t="shared" ca="1" si="182"/>
        <v>0</v>
      </c>
      <c r="W975" s="7">
        <f t="shared" ca="1" si="183"/>
        <v>27.70515</v>
      </c>
      <c r="X975" s="5" t="str">
        <f t="shared" ca="1" si="191"/>
        <v>Instagram</v>
      </c>
      <c r="Y975" s="78" t="str">
        <f>IF(COUNTIF($C$1:C974,B974)=1,10,"")</f>
        <v/>
      </c>
    </row>
    <row r="976" spans="1:25" x14ac:dyDescent="0.3">
      <c r="A976" s="75">
        <v>975</v>
      </c>
      <c r="B976" s="6">
        <v>46171</v>
      </c>
      <c r="C976" s="6">
        <v>46175</v>
      </c>
      <c r="D976" s="17" t="str">
        <f t="shared" si="184"/>
        <v>June</v>
      </c>
      <c r="E976" s="5" t="str">
        <f t="shared" ca="1" si="185"/>
        <v>STU-879</v>
      </c>
      <c r="F976" s="5" t="str">
        <f ca="1">IF(COUNTIF($E$2:E976,E976)=1,"New Customer","Returning Customer")</f>
        <v>New Customer</v>
      </c>
      <c r="G976" s="5" t="str">
        <f t="shared" ca="1" si="186"/>
        <v>Female</v>
      </c>
      <c r="H976" s="5" t="s">
        <v>138</v>
      </c>
      <c r="I976" s="5" t="str" cm="1">
        <f t="array" aca="1" ref="I976" ca="1">INDEX(Courses!$B$9:$B$16,RANDBETWEEN(1,8))</f>
        <v>SQL</v>
      </c>
      <c r="J976" s="5" t="str">
        <f ca="1">VLOOKUP(I976,Courses!$B$9:$C$16,2,0)</f>
        <v>Data Analytics</v>
      </c>
      <c r="K976" s="7">
        <f ca="1">VLOOKUP(I976,Courses!$B$9:$D$16,3,0)</f>
        <v>99</v>
      </c>
      <c r="L976" s="5" t="str">
        <f t="shared" ca="1" si="187"/>
        <v>Paid</v>
      </c>
      <c r="M976" s="8" t="str" cm="1">
        <f t="array" aca="1" ref="M976" ca="1">INDEX('Payment Method'!$A$8:$A$12,RANDBETWEEN(1,5))</f>
        <v>Bank Transfer</v>
      </c>
      <c r="N976" s="7">
        <f>IFERROR(SUMIF(Holiday!$A$8:$A$11,B976,Holiday!$C$8:$C$11),0)</f>
        <v>0</v>
      </c>
      <c r="O976" s="7">
        <f t="shared" ca="1" si="188"/>
        <v>99</v>
      </c>
      <c r="P976" s="19">
        <f t="shared" ca="1" si="189"/>
        <v>99</v>
      </c>
      <c r="Q976" s="7">
        <f t="shared" ca="1" si="190"/>
        <v>0</v>
      </c>
      <c r="R976" s="8">
        <f ca="1">VLOOKUP(M976,'Payment Method'!$A$8:$B$12,2,0)</f>
        <v>0</v>
      </c>
      <c r="S976" s="9">
        <f t="shared" ca="1" si="180"/>
        <v>0</v>
      </c>
      <c r="T976" s="8">
        <v>0.01</v>
      </c>
      <c r="U976" s="9">
        <f t="shared" ca="1" si="181"/>
        <v>0.98999999999999488</v>
      </c>
      <c r="V976" s="7">
        <f t="shared" ca="1" si="182"/>
        <v>0</v>
      </c>
      <c r="W976" s="7">
        <f t="shared" ca="1" si="183"/>
        <v>98.01</v>
      </c>
      <c r="X976" s="5" t="str">
        <f t="shared" ca="1" si="191"/>
        <v>Facebook</v>
      </c>
      <c r="Y976" s="78" t="str">
        <f>IF(COUNTIF($C$1:C975,B975)=1,10,"")</f>
        <v/>
      </c>
    </row>
    <row r="977" spans="1:25" x14ac:dyDescent="0.3">
      <c r="A977" s="76">
        <v>976</v>
      </c>
      <c r="B977" s="6">
        <v>46079</v>
      </c>
      <c r="C977" s="6">
        <v>46080</v>
      </c>
      <c r="D977" s="17" t="str">
        <f t="shared" si="184"/>
        <v>February</v>
      </c>
      <c r="E977" s="5" t="str">
        <f t="shared" ca="1" si="185"/>
        <v>STU-333</v>
      </c>
      <c r="F977" s="5" t="str">
        <f ca="1">IF(COUNTIF($E$2:E977,E977)=1,"New Customer","Returning Customer")</f>
        <v>Returning Customer</v>
      </c>
      <c r="G977" s="5" t="str">
        <f t="shared" ca="1" si="186"/>
        <v>Male</v>
      </c>
      <c r="H977" s="5" t="s">
        <v>142</v>
      </c>
      <c r="I977" s="5" t="str" cm="1">
        <f t="array" aca="1" ref="I977" ca="1">INDEX(Courses!$B$9:$B$16,RANDBETWEEN(1,8))</f>
        <v>Complete Excel Course</v>
      </c>
      <c r="J977" s="5" t="str">
        <f ca="1">VLOOKUP(I977,Courses!$B$9:$C$16,2,0)</f>
        <v>Microsoft Office</v>
      </c>
      <c r="K977" s="7">
        <f ca="1">VLOOKUP(I977,Courses!$B$9:$D$16,3,0)</f>
        <v>59</v>
      </c>
      <c r="L977" s="5" t="str">
        <f t="shared" ca="1" si="187"/>
        <v>Pending</v>
      </c>
      <c r="M977" s="8" t="str" cm="1">
        <f t="array" aca="1" ref="M977" ca="1">INDEX('Payment Method'!$A$8:$A$12,RANDBETWEEN(1,5))</f>
        <v>Visa Credit</v>
      </c>
      <c r="N977" s="7">
        <f>IFERROR(SUMIF(Holiday!$A$8:$A$11,B977,Holiday!$C$8:$C$11),0)</f>
        <v>0</v>
      </c>
      <c r="O977" s="7">
        <f t="shared" ca="1" si="188"/>
        <v>59</v>
      </c>
      <c r="P977" s="19">
        <f t="shared" ca="1" si="189"/>
        <v>56.935000000000002</v>
      </c>
      <c r="Q977" s="7">
        <f t="shared" ca="1" si="190"/>
        <v>56.365650000000002</v>
      </c>
      <c r="R977" s="8">
        <f ca="1">VLOOKUP(M977,'Payment Method'!$A$8:$B$12,2,0)</f>
        <v>3.5000000000000003E-2</v>
      </c>
      <c r="S977" s="9">
        <f t="shared" ca="1" si="180"/>
        <v>2.0649999999999977</v>
      </c>
      <c r="T977" s="8">
        <v>0.01</v>
      </c>
      <c r="U977" s="9">
        <f t="shared" ca="1" si="181"/>
        <v>0.56935000000000002</v>
      </c>
      <c r="V977" s="7">
        <f t="shared" ca="1" si="182"/>
        <v>0</v>
      </c>
      <c r="W977" s="7">
        <f t="shared" ca="1" si="183"/>
        <v>0</v>
      </c>
      <c r="X977" s="5" t="str">
        <f t="shared" ca="1" si="191"/>
        <v>Tiktok</v>
      </c>
      <c r="Y977" s="78" t="str">
        <f>IF(COUNTIF($C$1:C976,B976)=1,10,"")</f>
        <v/>
      </c>
    </row>
    <row r="978" spans="1:25" x14ac:dyDescent="0.3">
      <c r="A978" s="75">
        <v>977</v>
      </c>
      <c r="B978" s="6">
        <v>46110</v>
      </c>
      <c r="C978" s="6">
        <v>46111</v>
      </c>
      <c r="D978" s="17" t="str">
        <f t="shared" si="184"/>
        <v>March</v>
      </c>
      <c r="E978" s="5" t="str">
        <f t="shared" ca="1" si="185"/>
        <v>STU-91</v>
      </c>
      <c r="F978" s="5" t="str">
        <f ca="1">IF(COUNTIF($E$2:E978,E978)=1,"New Customer","Returning Customer")</f>
        <v>Returning Customer</v>
      </c>
      <c r="G978" s="5" t="str">
        <f t="shared" ca="1" si="186"/>
        <v>Female</v>
      </c>
      <c r="H978" s="5" t="s">
        <v>142</v>
      </c>
      <c r="I978" s="5" t="str" cm="1">
        <f t="array" aca="1" ref="I978" ca="1">INDEX(Courses!$B$9:$B$16,RANDBETWEEN(1,8))</f>
        <v>Power BI</v>
      </c>
      <c r="J978" s="5" t="str">
        <f ca="1">VLOOKUP(I978,Courses!$B$9:$C$16,2,0)</f>
        <v>Data Analytics</v>
      </c>
      <c r="K978" s="7">
        <f ca="1">VLOOKUP(I978,Courses!$B$9:$D$16,3,0)</f>
        <v>59</v>
      </c>
      <c r="L978" s="5" t="str">
        <f t="shared" ca="1" si="187"/>
        <v>Pending</v>
      </c>
      <c r="M978" s="8" t="str" cm="1">
        <f t="array" aca="1" ref="M978" ca="1">INDEX('Payment Method'!$A$8:$A$12,RANDBETWEEN(1,5))</f>
        <v>Mastercard Credit</v>
      </c>
      <c r="N978" s="7">
        <f>IFERROR(SUMIF(Holiday!$A$8:$A$11,B978,Holiday!$C$8:$C$11),0)</f>
        <v>0</v>
      </c>
      <c r="O978" s="7">
        <f t="shared" ca="1" si="188"/>
        <v>59</v>
      </c>
      <c r="P978" s="19">
        <f t="shared" ca="1" si="189"/>
        <v>56.935000000000002</v>
      </c>
      <c r="Q978" s="7">
        <f t="shared" ca="1" si="190"/>
        <v>56.365650000000002</v>
      </c>
      <c r="R978" s="8">
        <f ca="1">VLOOKUP(M978,'Payment Method'!$A$8:$B$12,2,0)</f>
        <v>3.5000000000000003E-2</v>
      </c>
      <c r="S978" s="9">
        <f t="shared" ca="1" si="180"/>
        <v>2.0649999999999977</v>
      </c>
      <c r="T978" s="8">
        <v>0.01</v>
      </c>
      <c r="U978" s="9">
        <f t="shared" ca="1" si="181"/>
        <v>0.56935000000000002</v>
      </c>
      <c r="V978" s="7">
        <f t="shared" ca="1" si="182"/>
        <v>0</v>
      </c>
      <c r="W978" s="7">
        <f t="shared" ca="1" si="183"/>
        <v>0</v>
      </c>
      <c r="X978" s="5" t="str">
        <f t="shared" ca="1" si="191"/>
        <v>Tiktok</v>
      </c>
      <c r="Y978" s="78" t="str">
        <f>IF(COUNTIF($C$1:C977,B977)=1,10,"")</f>
        <v/>
      </c>
    </row>
    <row r="979" spans="1:25" x14ac:dyDescent="0.3">
      <c r="A979" s="76">
        <v>978</v>
      </c>
      <c r="B979" s="6">
        <v>46043</v>
      </c>
      <c r="C979" s="6">
        <v>46043</v>
      </c>
      <c r="D979" s="17" t="str">
        <f t="shared" si="184"/>
        <v>January</v>
      </c>
      <c r="E979" s="5" t="str">
        <f t="shared" ca="1" si="185"/>
        <v>STU-21</v>
      </c>
      <c r="F979" s="5" t="str">
        <f ca="1">IF(COUNTIF($E$2:E979,E979)=1,"New Customer","Returning Customer")</f>
        <v>New Customer</v>
      </c>
      <c r="G979" s="5" t="str">
        <f t="shared" ca="1" si="186"/>
        <v>Female</v>
      </c>
      <c r="H979" s="5" t="s">
        <v>142</v>
      </c>
      <c r="I979" s="5" t="str" cm="1">
        <f t="array" aca="1" ref="I979" ca="1">INDEX(Courses!$B$9:$B$16,RANDBETWEEN(1,8))</f>
        <v>Adolescent Psychology</v>
      </c>
      <c r="J979" s="5" t="str">
        <f ca="1">VLOOKUP(I979,Courses!$B$9:$C$16,2,0)</f>
        <v>Psychology</v>
      </c>
      <c r="K979" s="7">
        <f ca="1">VLOOKUP(I979,Courses!$B$9:$D$16,3,0)</f>
        <v>29</v>
      </c>
      <c r="L979" s="5" t="str">
        <f t="shared" ca="1" si="187"/>
        <v>Pending</v>
      </c>
      <c r="M979" s="8" t="str" cm="1">
        <f t="array" aca="1" ref="M979" ca="1">INDEX('Payment Method'!$A$8:$A$12,RANDBETWEEN(1,5))</f>
        <v>Mastercard Credit</v>
      </c>
      <c r="N979" s="7">
        <f>IFERROR(SUMIF(Holiday!$A$8:$A$11,B979,Holiday!$C$8:$C$11),0)</f>
        <v>0</v>
      </c>
      <c r="O979" s="7">
        <f t="shared" ca="1" si="188"/>
        <v>29</v>
      </c>
      <c r="P979" s="19">
        <f t="shared" ca="1" si="189"/>
        <v>27.984999999999999</v>
      </c>
      <c r="Q979" s="7">
        <f t="shared" ca="1" si="190"/>
        <v>27.70515</v>
      </c>
      <c r="R979" s="8">
        <f ca="1">VLOOKUP(M979,'Payment Method'!$A$8:$B$12,2,0)</f>
        <v>3.5000000000000003E-2</v>
      </c>
      <c r="S979" s="9">
        <f t="shared" ca="1" si="180"/>
        <v>1.0150000000000006</v>
      </c>
      <c r="T979" s="8">
        <v>0.01</v>
      </c>
      <c r="U979" s="9">
        <f t="shared" ca="1" si="181"/>
        <v>0.27984999999999971</v>
      </c>
      <c r="V979" s="7">
        <f t="shared" ca="1" si="182"/>
        <v>0</v>
      </c>
      <c r="W979" s="7">
        <f t="shared" ca="1" si="183"/>
        <v>0</v>
      </c>
      <c r="X979" s="5" t="str">
        <f t="shared" ca="1" si="191"/>
        <v>Facebook</v>
      </c>
      <c r="Y979" s="78" t="str">
        <f>IF(COUNTIF($C$1:C978,B978)=1,10,"")</f>
        <v/>
      </c>
    </row>
    <row r="980" spans="1:25" x14ac:dyDescent="0.3">
      <c r="A980" s="75">
        <v>979</v>
      </c>
      <c r="B980" s="6">
        <v>46082</v>
      </c>
      <c r="C980" s="6">
        <v>46083</v>
      </c>
      <c r="D980" s="17" t="str">
        <f t="shared" si="184"/>
        <v>March</v>
      </c>
      <c r="E980" s="5" t="str">
        <f t="shared" ca="1" si="185"/>
        <v>STU-762</v>
      </c>
      <c r="F980" s="5" t="str">
        <f ca="1">IF(COUNTIF($E$2:E980,E980)=1,"New Customer","Returning Customer")</f>
        <v>Returning Customer</v>
      </c>
      <c r="G980" s="5" t="str">
        <f t="shared" ca="1" si="186"/>
        <v>Male</v>
      </c>
      <c r="H980" s="5" t="s">
        <v>142</v>
      </c>
      <c r="I980" s="5" t="str" cm="1">
        <f t="array" aca="1" ref="I980" ca="1">INDEX(Courses!$B$9:$B$16,RANDBETWEEN(1,8))</f>
        <v>Excel Basics</v>
      </c>
      <c r="J980" s="5" t="str">
        <f ca="1">VLOOKUP(I980,Courses!$B$9:$C$16,2,0)</f>
        <v>Microsoft Office</v>
      </c>
      <c r="K980" s="7">
        <f ca="1">VLOOKUP(I980,Courses!$B$9:$D$16,3,0)</f>
        <v>29</v>
      </c>
      <c r="L980" s="5" t="str">
        <f t="shared" ca="1" si="187"/>
        <v>Paid</v>
      </c>
      <c r="M980" s="8" t="str" cm="1">
        <f t="array" aca="1" ref="M980" ca="1">INDEX('Payment Method'!$A$8:$A$12,RANDBETWEEN(1,5))</f>
        <v>Visa Credit</v>
      </c>
      <c r="N980" s="7">
        <f>IFERROR(SUMIF(Holiday!$A$8:$A$11,B980,Holiday!$C$8:$C$11),0)</f>
        <v>0</v>
      </c>
      <c r="O980" s="7">
        <f t="shared" ca="1" si="188"/>
        <v>29</v>
      </c>
      <c r="P980" s="19">
        <f t="shared" ca="1" si="189"/>
        <v>27.984999999999999</v>
      </c>
      <c r="Q980" s="7">
        <f t="shared" ca="1" si="190"/>
        <v>0</v>
      </c>
      <c r="R980" s="8">
        <f ca="1">VLOOKUP(M980,'Payment Method'!$A$8:$B$12,2,0)</f>
        <v>3.5000000000000003E-2</v>
      </c>
      <c r="S980" s="9">
        <f t="shared" ca="1" si="180"/>
        <v>1.0150000000000006</v>
      </c>
      <c r="T980" s="8">
        <v>0.01</v>
      </c>
      <c r="U980" s="9">
        <f t="shared" ca="1" si="181"/>
        <v>0.27984999999999971</v>
      </c>
      <c r="V980" s="7">
        <f t="shared" ca="1" si="182"/>
        <v>0</v>
      </c>
      <c r="W980" s="7">
        <f t="shared" ca="1" si="183"/>
        <v>27.70515</v>
      </c>
      <c r="X980" s="5" t="str">
        <f t="shared" ca="1" si="191"/>
        <v>Instagram</v>
      </c>
      <c r="Y980" s="78" t="str">
        <f>IF(COUNTIF($C$1:C979,B979)=1,10,"")</f>
        <v/>
      </c>
    </row>
    <row r="981" spans="1:25" x14ac:dyDescent="0.3">
      <c r="A981" s="76">
        <v>980</v>
      </c>
      <c r="B981" s="6">
        <v>46036</v>
      </c>
      <c r="C981" s="6">
        <v>46040</v>
      </c>
      <c r="D981" s="17" t="str">
        <f t="shared" si="184"/>
        <v>January</v>
      </c>
      <c r="E981" s="5" t="str">
        <f t="shared" ca="1" si="185"/>
        <v>STU-584</v>
      </c>
      <c r="F981" s="5" t="str">
        <f ca="1">IF(COUNTIF($E$2:E981,E981)=1,"New Customer","Returning Customer")</f>
        <v>Returning Customer</v>
      </c>
      <c r="G981" s="5" t="str">
        <f t="shared" ca="1" si="186"/>
        <v>Female</v>
      </c>
      <c r="H981" s="5" t="s">
        <v>135</v>
      </c>
      <c r="I981" s="5" t="str" cm="1">
        <f t="array" aca="1" ref="I981" ca="1">INDEX(Courses!$B$9:$B$16,RANDBETWEEN(1,8))</f>
        <v>Microsoft Word</v>
      </c>
      <c r="J981" s="5" t="str">
        <f ca="1">VLOOKUP(I981,Courses!$B$9:$C$16,2,0)</f>
        <v>Microsoft Office</v>
      </c>
      <c r="K981" s="7">
        <f ca="1">VLOOKUP(I981,Courses!$B$9:$D$16,3,0)</f>
        <v>29</v>
      </c>
      <c r="L981" s="5" t="str">
        <f t="shared" ca="1" si="187"/>
        <v>Pending</v>
      </c>
      <c r="M981" s="8" t="str" cm="1">
        <f t="array" aca="1" ref="M981" ca="1">INDEX('Payment Method'!$A$8:$A$12,RANDBETWEEN(1,5))</f>
        <v>Visa Credit</v>
      </c>
      <c r="N981" s="7">
        <f>IFERROR(SUMIF(Holiday!$A$8:$A$11,B981,Holiday!$C$8:$C$11),0)</f>
        <v>0</v>
      </c>
      <c r="O981" s="7">
        <f t="shared" ca="1" si="188"/>
        <v>29</v>
      </c>
      <c r="P981" s="19">
        <f t="shared" ca="1" si="189"/>
        <v>27.984999999999999</v>
      </c>
      <c r="Q981" s="7">
        <f t="shared" ca="1" si="190"/>
        <v>27.70515</v>
      </c>
      <c r="R981" s="8">
        <f ca="1">VLOOKUP(M981,'Payment Method'!$A$8:$B$12,2,0)</f>
        <v>3.5000000000000003E-2</v>
      </c>
      <c r="S981" s="9">
        <f t="shared" ca="1" si="180"/>
        <v>1.0150000000000006</v>
      </c>
      <c r="T981" s="8">
        <v>0.01</v>
      </c>
      <c r="U981" s="9">
        <f t="shared" ca="1" si="181"/>
        <v>0.27984999999999971</v>
      </c>
      <c r="V981" s="7">
        <f t="shared" ca="1" si="182"/>
        <v>0</v>
      </c>
      <c r="W981" s="7">
        <f t="shared" ca="1" si="183"/>
        <v>0</v>
      </c>
      <c r="X981" s="5" t="str">
        <f t="shared" ca="1" si="191"/>
        <v>Instagram</v>
      </c>
      <c r="Y981" s="78" t="str">
        <f>IF(COUNTIF($C$1:C980,B980)=1,10,"")</f>
        <v/>
      </c>
    </row>
    <row r="982" spans="1:25" x14ac:dyDescent="0.3">
      <c r="A982" s="75">
        <v>981</v>
      </c>
      <c r="B982" s="6">
        <v>46144</v>
      </c>
      <c r="C982" s="6">
        <v>46144</v>
      </c>
      <c r="D982" s="17" t="str">
        <f t="shared" si="184"/>
        <v>May</v>
      </c>
      <c r="E982" s="5" t="str">
        <f t="shared" ca="1" si="185"/>
        <v>STU-58</v>
      </c>
      <c r="F982" s="5" t="str">
        <f ca="1">IF(COUNTIF($E$2:E982,E982)=1,"New Customer","Returning Customer")</f>
        <v>Returning Customer</v>
      </c>
      <c r="G982" s="5" t="str">
        <f t="shared" ca="1" si="186"/>
        <v>Female</v>
      </c>
      <c r="H982" s="5" t="s">
        <v>137</v>
      </c>
      <c r="I982" s="5" t="str" cm="1">
        <f t="array" aca="1" ref="I982" ca="1">INDEX(Courses!$B$9:$B$16,RANDBETWEEN(1,8))</f>
        <v>Adolescent Psychology</v>
      </c>
      <c r="J982" s="5" t="str">
        <f ca="1">VLOOKUP(I982,Courses!$B$9:$C$16,2,0)</f>
        <v>Psychology</v>
      </c>
      <c r="K982" s="7">
        <f ca="1">VLOOKUP(I982,Courses!$B$9:$D$16,3,0)</f>
        <v>29</v>
      </c>
      <c r="L982" s="5" t="str">
        <f t="shared" ca="1" si="187"/>
        <v>Paid</v>
      </c>
      <c r="M982" s="8" t="str" cm="1">
        <f t="array" aca="1" ref="M982" ca="1">INDEX('Payment Method'!$A$8:$A$12,RANDBETWEEN(1,5))</f>
        <v>Visa Credit</v>
      </c>
      <c r="N982" s="7">
        <f>IFERROR(SUMIF(Holiday!$A$8:$A$11,B982,Holiday!$C$8:$C$11),0)</f>
        <v>0</v>
      </c>
      <c r="O982" s="7">
        <f t="shared" ca="1" si="188"/>
        <v>29</v>
      </c>
      <c r="P982" s="19">
        <f t="shared" ca="1" si="189"/>
        <v>27.984999999999999</v>
      </c>
      <c r="Q982" s="7">
        <f t="shared" ca="1" si="190"/>
        <v>0</v>
      </c>
      <c r="R982" s="8">
        <f ca="1">VLOOKUP(M982,'Payment Method'!$A$8:$B$12,2,0)</f>
        <v>3.5000000000000003E-2</v>
      </c>
      <c r="S982" s="9">
        <f t="shared" ca="1" si="180"/>
        <v>1.0150000000000006</v>
      </c>
      <c r="T982" s="8">
        <v>0.01</v>
      </c>
      <c r="U982" s="9">
        <f t="shared" ca="1" si="181"/>
        <v>0.27984999999999971</v>
      </c>
      <c r="V982" s="7">
        <f t="shared" ca="1" si="182"/>
        <v>0</v>
      </c>
      <c r="W982" s="7">
        <f t="shared" ca="1" si="183"/>
        <v>27.70515</v>
      </c>
      <c r="X982" s="5" t="str">
        <f t="shared" ca="1" si="191"/>
        <v>Instagram</v>
      </c>
      <c r="Y982" s="78" t="str">
        <f>IF(COUNTIF($C$1:C981,B981)=1,10,"")</f>
        <v/>
      </c>
    </row>
    <row r="983" spans="1:25" x14ac:dyDescent="0.3">
      <c r="A983" s="76">
        <v>982</v>
      </c>
      <c r="B983" s="6">
        <v>46151</v>
      </c>
      <c r="C983" s="6">
        <v>46152</v>
      </c>
      <c r="D983" s="17" t="str">
        <f t="shared" si="184"/>
        <v>May</v>
      </c>
      <c r="E983" s="5" t="str">
        <f t="shared" ca="1" si="185"/>
        <v>STU-669</v>
      </c>
      <c r="F983" s="5" t="str">
        <f ca="1">IF(COUNTIF($E$2:E983,E983)=1,"New Customer","Returning Customer")</f>
        <v>Returning Customer</v>
      </c>
      <c r="G983" s="5" t="str">
        <f t="shared" ca="1" si="186"/>
        <v>Male</v>
      </c>
      <c r="H983" s="5" t="s">
        <v>140</v>
      </c>
      <c r="I983" s="5" t="str" cm="1">
        <f t="array" aca="1" ref="I983" ca="1">INDEX(Courses!$B$9:$B$16,RANDBETWEEN(1,8))</f>
        <v>Excel Basics</v>
      </c>
      <c r="J983" s="5" t="str">
        <f ca="1">VLOOKUP(I983,Courses!$B$9:$C$16,2,0)</f>
        <v>Microsoft Office</v>
      </c>
      <c r="K983" s="7">
        <f ca="1">VLOOKUP(I983,Courses!$B$9:$D$16,3,0)</f>
        <v>29</v>
      </c>
      <c r="L983" s="5" t="str">
        <f t="shared" ca="1" si="187"/>
        <v>Paid</v>
      </c>
      <c r="M983" s="8" t="str" cm="1">
        <f t="array" aca="1" ref="M983" ca="1">INDEX('Payment Method'!$A$8:$A$12,RANDBETWEEN(1,5))</f>
        <v>Mastercard Debit</v>
      </c>
      <c r="N983" s="7">
        <f>IFERROR(SUMIF(Holiday!$A$8:$A$11,B983,Holiday!$C$8:$C$11),0)</f>
        <v>0</v>
      </c>
      <c r="O983" s="7">
        <f t="shared" ca="1" si="188"/>
        <v>29</v>
      </c>
      <c r="P983" s="19">
        <f t="shared" ca="1" si="189"/>
        <v>28.42</v>
      </c>
      <c r="Q983" s="7">
        <f t="shared" ca="1" si="190"/>
        <v>0</v>
      </c>
      <c r="R983" s="8">
        <f ca="1">VLOOKUP(M983,'Payment Method'!$A$8:$B$12,2,0)</f>
        <v>0.02</v>
      </c>
      <c r="S983" s="9">
        <f t="shared" ca="1" si="180"/>
        <v>0.57999999999999829</v>
      </c>
      <c r="T983" s="8">
        <v>0.01</v>
      </c>
      <c r="U983" s="9">
        <f t="shared" ca="1" si="181"/>
        <v>0.28419999999999845</v>
      </c>
      <c r="V983" s="7">
        <f t="shared" ca="1" si="182"/>
        <v>0</v>
      </c>
      <c r="W983" s="7">
        <f t="shared" ca="1" si="183"/>
        <v>28.135800000000003</v>
      </c>
      <c r="X983" s="5" t="str">
        <f t="shared" ca="1" si="191"/>
        <v>Tiktok</v>
      </c>
      <c r="Y983" s="78" t="str">
        <f>IF(COUNTIF($C$1:C982,B982)=1,10,"")</f>
        <v/>
      </c>
    </row>
    <row r="984" spans="1:25" x14ac:dyDescent="0.3">
      <c r="A984" s="75">
        <v>983</v>
      </c>
      <c r="B984" s="6">
        <v>46037</v>
      </c>
      <c r="C984" s="6">
        <v>46039</v>
      </c>
      <c r="D984" s="17" t="str">
        <f t="shared" si="184"/>
        <v>January</v>
      </c>
      <c r="E984" s="5" t="str">
        <f t="shared" ca="1" si="185"/>
        <v>STU-668</v>
      </c>
      <c r="F984" s="5" t="str">
        <f ca="1">IF(COUNTIF($E$2:E984,E984)=1,"New Customer","Returning Customer")</f>
        <v>Returning Customer</v>
      </c>
      <c r="G984" s="5" t="str">
        <f t="shared" ca="1" si="186"/>
        <v>Female</v>
      </c>
      <c r="H984" s="5" t="s">
        <v>137</v>
      </c>
      <c r="I984" s="5" t="str" cm="1">
        <f t="array" aca="1" ref="I984" ca="1">INDEX(Courses!$B$9:$B$16,RANDBETWEEN(1,8))</f>
        <v>Complete Excel Course</v>
      </c>
      <c r="J984" s="5" t="str">
        <f ca="1">VLOOKUP(I984,Courses!$B$9:$C$16,2,0)</f>
        <v>Microsoft Office</v>
      </c>
      <c r="K984" s="7">
        <f ca="1">VLOOKUP(I984,Courses!$B$9:$D$16,3,0)</f>
        <v>59</v>
      </c>
      <c r="L984" s="5" t="str">
        <f t="shared" ca="1" si="187"/>
        <v>Pending</v>
      </c>
      <c r="M984" s="8" t="str" cm="1">
        <f t="array" aca="1" ref="M984" ca="1">INDEX('Payment Method'!$A$8:$A$12,RANDBETWEEN(1,5))</f>
        <v>Bank Transfer</v>
      </c>
      <c r="N984" s="7">
        <f>IFERROR(SUMIF(Holiday!$A$8:$A$11,B984,Holiday!$C$8:$C$11),0)</f>
        <v>0</v>
      </c>
      <c r="O984" s="7">
        <f t="shared" ca="1" si="188"/>
        <v>59</v>
      </c>
      <c r="P984" s="19">
        <f t="shared" ca="1" si="189"/>
        <v>59</v>
      </c>
      <c r="Q984" s="7">
        <f t="shared" ca="1" si="190"/>
        <v>58.41</v>
      </c>
      <c r="R984" s="8">
        <f ca="1">VLOOKUP(M984,'Payment Method'!$A$8:$B$12,2,0)</f>
        <v>0</v>
      </c>
      <c r="S984" s="9">
        <f t="shared" ca="1" si="180"/>
        <v>0</v>
      </c>
      <c r="T984" s="8">
        <v>0.01</v>
      </c>
      <c r="U984" s="9">
        <f t="shared" ca="1" si="181"/>
        <v>0.59000000000000341</v>
      </c>
      <c r="V984" s="7">
        <f t="shared" ca="1" si="182"/>
        <v>0</v>
      </c>
      <c r="W984" s="7">
        <f t="shared" ca="1" si="183"/>
        <v>0</v>
      </c>
      <c r="X984" s="5" t="str">
        <f t="shared" ca="1" si="191"/>
        <v>Instagram</v>
      </c>
      <c r="Y984" s="78" t="str">
        <f>IF(COUNTIF($C$1:C983,B983)=1,10,"")</f>
        <v/>
      </c>
    </row>
    <row r="985" spans="1:25" x14ac:dyDescent="0.3">
      <c r="A985" s="76">
        <v>984</v>
      </c>
      <c r="B985" s="6">
        <v>46217</v>
      </c>
      <c r="C985" s="6">
        <v>46218</v>
      </c>
      <c r="D985" s="17" t="str">
        <f t="shared" si="184"/>
        <v>July</v>
      </c>
      <c r="E985" s="5" t="str">
        <f t="shared" ca="1" si="185"/>
        <v>STU-9</v>
      </c>
      <c r="F985" s="5" t="str">
        <f ca="1">IF(COUNTIF($E$2:E985,E985)=1,"New Customer","Returning Customer")</f>
        <v>New Customer</v>
      </c>
      <c r="G985" s="5" t="str">
        <f t="shared" ca="1" si="186"/>
        <v>Female</v>
      </c>
      <c r="H985" s="5" t="s">
        <v>135</v>
      </c>
      <c r="I985" s="5" t="str" cm="1">
        <f t="array" aca="1" ref="I985" ca="1">INDEX(Courses!$B$9:$B$16,RANDBETWEEN(1,8))</f>
        <v>Microsoft Word</v>
      </c>
      <c r="J985" s="5" t="str">
        <f ca="1">VLOOKUP(I985,Courses!$B$9:$C$16,2,0)</f>
        <v>Microsoft Office</v>
      </c>
      <c r="K985" s="7">
        <f ca="1">VLOOKUP(I985,Courses!$B$9:$D$16,3,0)</f>
        <v>29</v>
      </c>
      <c r="L985" s="5" t="str">
        <f t="shared" ca="1" si="187"/>
        <v>Paid</v>
      </c>
      <c r="M985" s="8" t="str" cm="1">
        <f t="array" aca="1" ref="M985" ca="1">INDEX('Payment Method'!$A$8:$A$12,RANDBETWEEN(1,5))</f>
        <v>Mastercard Debit</v>
      </c>
      <c r="N985" s="7">
        <f>IFERROR(SUMIF(Holiday!$A$8:$A$11,B985,Holiday!$C$8:$C$11),0)</f>
        <v>0</v>
      </c>
      <c r="O985" s="7">
        <f t="shared" ca="1" si="188"/>
        <v>29</v>
      </c>
      <c r="P985" s="19">
        <f t="shared" ca="1" si="189"/>
        <v>28.42</v>
      </c>
      <c r="Q985" s="7">
        <f t="shared" ca="1" si="190"/>
        <v>0</v>
      </c>
      <c r="R985" s="8">
        <f ca="1">VLOOKUP(M985,'Payment Method'!$A$8:$B$12,2,0)</f>
        <v>0.02</v>
      </c>
      <c r="S985" s="9">
        <f t="shared" ca="1" si="180"/>
        <v>0.57999999999999829</v>
      </c>
      <c r="T985" s="8">
        <v>0.01</v>
      </c>
      <c r="U985" s="9">
        <f t="shared" ca="1" si="181"/>
        <v>0.28419999999999845</v>
      </c>
      <c r="V985" s="7">
        <f t="shared" ca="1" si="182"/>
        <v>0</v>
      </c>
      <c r="W985" s="7">
        <f t="shared" ca="1" si="183"/>
        <v>28.135800000000003</v>
      </c>
      <c r="X985" s="5" t="str">
        <f t="shared" ca="1" si="191"/>
        <v>Tiktok</v>
      </c>
      <c r="Y985" s="78" t="str">
        <f>IF(COUNTIF($C$1:C984,B984)=1,10,"")</f>
        <v/>
      </c>
    </row>
    <row r="986" spans="1:25" x14ac:dyDescent="0.3">
      <c r="A986" s="75">
        <v>985</v>
      </c>
      <c r="B986" s="6">
        <v>46173</v>
      </c>
      <c r="C986" s="6">
        <v>46175</v>
      </c>
      <c r="D986" s="17" t="str">
        <f t="shared" si="184"/>
        <v>June</v>
      </c>
      <c r="E986" s="5" t="str">
        <f t="shared" ca="1" si="185"/>
        <v>STU-175</v>
      </c>
      <c r="F986" s="5" t="str">
        <f ca="1">IF(COUNTIF($E$2:E986,E986)=1,"New Customer","Returning Customer")</f>
        <v>Returning Customer</v>
      </c>
      <c r="G986" s="5" t="str">
        <f t="shared" ca="1" si="186"/>
        <v>Not specified</v>
      </c>
      <c r="H986" s="5" t="s">
        <v>140</v>
      </c>
      <c r="I986" s="5" t="str" cm="1">
        <f t="array" aca="1" ref="I986" ca="1">INDEX(Courses!$B$9:$B$16,RANDBETWEEN(1,8))</f>
        <v>Excel Basics</v>
      </c>
      <c r="J986" s="5" t="str">
        <f ca="1">VLOOKUP(I986,Courses!$B$9:$C$16,2,0)</f>
        <v>Microsoft Office</v>
      </c>
      <c r="K986" s="7">
        <f ca="1">VLOOKUP(I986,Courses!$B$9:$D$16,3,0)</f>
        <v>29</v>
      </c>
      <c r="L986" s="5" t="str">
        <f t="shared" ca="1" si="187"/>
        <v>Paid</v>
      </c>
      <c r="M986" s="8" t="str" cm="1">
        <f t="array" aca="1" ref="M986" ca="1">INDEX('Payment Method'!$A$8:$A$12,RANDBETWEEN(1,5))</f>
        <v>Mastercard Credit</v>
      </c>
      <c r="N986" s="7">
        <f>IFERROR(SUMIF(Holiday!$A$8:$A$11,B986,Holiday!$C$8:$C$11),0)</f>
        <v>0</v>
      </c>
      <c r="O986" s="7">
        <f t="shared" ca="1" si="188"/>
        <v>29</v>
      </c>
      <c r="P986" s="19">
        <f t="shared" ca="1" si="189"/>
        <v>27.984999999999999</v>
      </c>
      <c r="Q986" s="7">
        <f t="shared" ca="1" si="190"/>
        <v>0</v>
      </c>
      <c r="R986" s="8">
        <f ca="1">VLOOKUP(M986,'Payment Method'!$A$8:$B$12,2,0)</f>
        <v>3.5000000000000003E-2</v>
      </c>
      <c r="S986" s="9">
        <f t="shared" ca="1" si="180"/>
        <v>1.0150000000000006</v>
      </c>
      <c r="T986" s="8">
        <v>0.01</v>
      </c>
      <c r="U986" s="9">
        <f t="shared" ca="1" si="181"/>
        <v>0.27984999999999971</v>
      </c>
      <c r="V986" s="7">
        <f t="shared" ca="1" si="182"/>
        <v>0</v>
      </c>
      <c r="W986" s="7">
        <f t="shared" ca="1" si="183"/>
        <v>27.70515</v>
      </c>
      <c r="X986" s="5" t="str">
        <f t="shared" ca="1" si="191"/>
        <v>Facebook</v>
      </c>
      <c r="Y986" s="78">
        <f>IF(COUNTIF($C$1:C985,B985)=1,10,"")</f>
        <v>10</v>
      </c>
    </row>
    <row r="987" spans="1:25" x14ac:dyDescent="0.3">
      <c r="A987" s="76">
        <v>986</v>
      </c>
      <c r="B987" s="6">
        <v>46217</v>
      </c>
      <c r="C987" s="6">
        <v>46220</v>
      </c>
      <c r="D987" s="17" t="str">
        <f t="shared" si="184"/>
        <v>July</v>
      </c>
      <c r="E987" s="5" t="str">
        <f t="shared" ca="1" si="185"/>
        <v>STU-171</v>
      </c>
      <c r="F987" s="5" t="str">
        <f ca="1">IF(COUNTIF($E$2:E987,E987)=1,"New Customer","Returning Customer")</f>
        <v>Returning Customer</v>
      </c>
      <c r="G987" s="5" t="str">
        <f t="shared" ca="1" si="186"/>
        <v>Female</v>
      </c>
      <c r="H987" s="5" t="s">
        <v>137</v>
      </c>
      <c r="I987" s="5" t="str" cm="1">
        <f t="array" aca="1" ref="I987" ca="1">INDEX(Courses!$B$9:$B$16,RANDBETWEEN(1,8))</f>
        <v>SQL</v>
      </c>
      <c r="J987" s="5" t="str">
        <f ca="1">VLOOKUP(I987,Courses!$B$9:$C$16,2,0)</f>
        <v>Data Analytics</v>
      </c>
      <c r="K987" s="7">
        <f ca="1">VLOOKUP(I987,Courses!$B$9:$D$16,3,0)</f>
        <v>99</v>
      </c>
      <c r="L987" s="5" t="str">
        <f t="shared" ca="1" si="187"/>
        <v>Paid</v>
      </c>
      <c r="M987" s="8" t="str" cm="1">
        <f t="array" aca="1" ref="M987" ca="1">INDEX('Payment Method'!$A$8:$A$12,RANDBETWEEN(1,5))</f>
        <v>Bank Transfer</v>
      </c>
      <c r="N987" s="7">
        <f>IFERROR(SUMIF(Holiday!$A$8:$A$11,B987,Holiday!$C$8:$C$11),0)</f>
        <v>0</v>
      </c>
      <c r="O987" s="7">
        <f t="shared" ca="1" si="188"/>
        <v>99</v>
      </c>
      <c r="P987" s="19">
        <f t="shared" ca="1" si="189"/>
        <v>99</v>
      </c>
      <c r="Q987" s="7">
        <f t="shared" ca="1" si="190"/>
        <v>0</v>
      </c>
      <c r="R987" s="8">
        <f ca="1">VLOOKUP(M987,'Payment Method'!$A$8:$B$12,2,0)</f>
        <v>0</v>
      </c>
      <c r="S987" s="9">
        <f t="shared" ca="1" si="180"/>
        <v>0</v>
      </c>
      <c r="T987" s="8">
        <v>0.01</v>
      </c>
      <c r="U987" s="9">
        <f t="shared" ca="1" si="181"/>
        <v>0.98999999999999488</v>
      </c>
      <c r="V987" s="7">
        <f t="shared" ca="1" si="182"/>
        <v>0</v>
      </c>
      <c r="W987" s="7">
        <f t="shared" ca="1" si="183"/>
        <v>98.01</v>
      </c>
      <c r="X987" s="5" t="str">
        <f t="shared" ca="1" si="191"/>
        <v>Instagram</v>
      </c>
      <c r="Y987" s="78">
        <f>IF(COUNTIF($C$1:C986,B986)=1,10,"")</f>
        <v>10</v>
      </c>
    </row>
    <row r="988" spans="1:25" x14ac:dyDescent="0.3">
      <c r="A988" s="75">
        <v>987</v>
      </c>
      <c r="B988" s="6">
        <v>46141</v>
      </c>
      <c r="C988" s="6">
        <v>46143</v>
      </c>
      <c r="D988" s="17" t="str">
        <f t="shared" si="184"/>
        <v>May</v>
      </c>
      <c r="E988" s="5" t="str">
        <f t="shared" ca="1" si="185"/>
        <v>STU-430</v>
      </c>
      <c r="F988" s="5" t="str">
        <f ca="1">IF(COUNTIF($E$2:E988,E988)=1,"New Customer","Returning Customer")</f>
        <v>Returning Customer</v>
      </c>
      <c r="G988" s="5" t="str">
        <f t="shared" ca="1" si="186"/>
        <v>Not specified</v>
      </c>
      <c r="H988" s="5" t="s">
        <v>142</v>
      </c>
      <c r="I988" s="5" t="str" cm="1">
        <f t="array" aca="1" ref="I988" ca="1">INDEX(Courses!$B$9:$B$16,RANDBETWEEN(1,8))</f>
        <v>Power BI</v>
      </c>
      <c r="J988" s="5" t="str">
        <f ca="1">VLOOKUP(I988,Courses!$B$9:$C$16,2,0)</f>
        <v>Data Analytics</v>
      </c>
      <c r="K988" s="7">
        <f ca="1">VLOOKUP(I988,Courses!$B$9:$D$16,3,0)</f>
        <v>59</v>
      </c>
      <c r="L988" s="5" t="str">
        <f t="shared" ca="1" si="187"/>
        <v>Refunded</v>
      </c>
      <c r="M988" s="8" t="str" cm="1">
        <f t="array" aca="1" ref="M988" ca="1">INDEX('Payment Method'!$A$8:$A$12,RANDBETWEEN(1,5))</f>
        <v>Visa Credit</v>
      </c>
      <c r="N988" s="7">
        <f>IFERROR(SUMIF(Holiday!$A$8:$A$11,B988,Holiday!$C$8:$C$11),0)</f>
        <v>0</v>
      </c>
      <c r="O988" s="7">
        <f t="shared" ca="1" si="188"/>
        <v>59</v>
      </c>
      <c r="P988" s="19">
        <f t="shared" ca="1" si="189"/>
        <v>56.935000000000002</v>
      </c>
      <c r="Q988" s="7">
        <f t="shared" ca="1" si="190"/>
        <v>0</v>
      </c>
      <c r="R988" s="8">
        <f ca="1">VLOOKUP(M988,'Payment Method'!$A$8:$B$12,2,0)</f>
        <v>3.5000000000000003E-2</v>
      </c>
      <c r="S988" s="9">
        <f t="shared" ca="1" si="180"/>
        <v>2.0649999999999977</v>
      </c>
      <c r="T988" s="8">
        <v>0.01</v>
      </c>
      <c r="U988" s="9">
        <f t="shared" ca="1" si="181"/>
        <v>0.56935000000000002</v>
      </c>
      <c r="V988" s="7">
        <f t="shared" ca="1" si="182"/>
        <v>56.365650000000002</v>
      </c>
      <c r="W988" s="7">
        <f t="shared" ca="1" si="183"/>
        <v>0</v>
      </c>
      <c r="X988" s="5" t="str">
        <f t="shared" ca="1" si="191"/>
        <v>Facebook</v>
      </c>
      <c r="Y988" s="78">
        <f>IF(COUNTIF($C$1:C987,B987)=1,10,"")</f>
        <v>10</v>
      </c>
    </row>
    <row r="989" spans="1:25" x14ac:dyDescent="0.3">
      <c r="A989" s="76">
        <v>988</v>
      </c>
      <c r="B989" s="6">
        <v>46178</v>
      </c>
      <c r="C989" s="6">
        <v>46183</v>
      </c>
      <c r="D989" s="17" t="str">
        <f t="shared" si="184"/>
        <v>June</v>
      </c>
      <c r="E989" s="5" t="str">
        <f t="shared" ca="1" si="185"/>
        <v>STU-191</v>
      </c>
      <c r="F989" s="5" t="str">
        <f ca="1">IF(COUNTIF($E$2:E989,E989)=1,"New Customer","Returning Customer")</f>
        <v>Returning Customer</v>
      </c>
      <c r="G989" s="5" t="str">
        <f t="shared" ca="1" si="186"/>
        <v>Male</v>
      </c>
      <c r="H989" s="5" t="s">
        <v>142</v>
      </c>
      <c r="I989" s="5" t="str" cm="1">
        <f t="array" aca="1" ref="I989" ca="1">INDEX(Courses!$B$9:$B$16,RANDBETWEEN(1,8))</f>
        <v>SQL</v>
      </c>
      <c r="J989" s="5" t="str">
        <f ca="1">VLOOKUP(I989,Courses!$B$9:$C$16,2,0)</f>
        <v>Data Analytics</v>
      </c>
      <c r="K989" s="7">
        <f ca="1">VLOOKUP(I989,Courses!$B$9:$D$16,3,0)</f>
        <v>99</v>
      </c>
      <c r="L989" s="5" t="str">
        <f t="shared" ca="1" si="187"/>
        <v>Pending</v>
      </c>
      <c r="M989" s="8" t="str" cm="1">
        <f t="array" aca="1" ref="M989" ca="1">INDEX('Payment Method'!$A$8:$A$12,RANDBETWEEN(1,5))</f>
        <v>Mastercard Credit</v>
      </c>
      <c r="N989" s="7">
        <f>IFERROR(SUMIF(Holiday!$A$8:$A$11,B989,Holiday!$C$8:$C$11),0)</f>
        <v>0</v>
      </c>
      <c r="O989" s="7">
        <f t="shared" ca="1" si="188"/>
        <v>99</v>
      </c>
      <c r="P989" s="19">
        <f t="shared" ca="1" si="189"/>
        <v>95.534999999999997</v>
      </c>
      <c r="Q989" s="7">
        <f t="shared" ca="1" si="190"/>
        <v>94.579650000000001</v>
      </c>
      <c r="R989" s="8">
        <f ca="1">VLOOKUP(M989,'Payment Method'!$A$8:$B$12,2,0)</f>
        <v>3.5000000000000003E-2</v>
      </c>
      <c r="S989" s="9">
        <f t="shared" ca="1" si="180"/>
        <v>3.4650000000000034</v>
      </c>
      <c r="T989" s="8">
        <v>0.01</v>
      </c>
      <c r="U989" s="9">
        <f t="shared" ca="1" si="181"/>
        <v>0.9553499999999957</v>
      </c>
      <c r="V989" s="7">
        <f t="shared" ca="1" si="182"/>
        <v>0</v>
      </c>
      <c r="W989" s="7">
        <f t="shared" ca="1" si="183"/>
        <v>0</v>
      </c>
      <c r="X989" s="5" t="str">
        <f t="shared" ca="1" si="191"/>
        <v>Facebook</v>
      </c>
      <c r="Y989" s="78" t="str">
        <f>IF(COUNTIF($C$1:C988,B988)=1,10,"")</f>
        <v/>
      </c>
    </row>
    <row r="990" spans="1:25" x14ac:dyDescent="0.3">
      <c r="A990" s="75">
        <v>989</v>
      </c>
      <c r="B990" s="6">
        <v>46135</v>
      </c>
      <c r="C990" s="6">
        <v>46140</v>
      </c>
      <c r="D990" s="17" t="str">
        <f t="shared" si="184"/>
        <v>April</v>
      </c>
      <c r="E990" s="5" t="str">
        <f t="shared" ca="1" si="185"/>
        <v>STU-776</v>
      </c>
      <c r="F990" s="5" t="str">
        <f ca="1">IF(COUNTIF($E$2:E990,E990)=1,"New Customer","Returning Customer")</f>
        <v>Returning Customer</v>
      </c>
      <c r="G990" s="5" t="str">
        <f t="shared" ca="1" si="186"/>
        <v>Male</v>
      </c>
      <c r="H990" s="5" t="s">
        <v>137</v>
      </c>
      <c r="I990" s="5" t="str" cm="1">
        <f t="array" aca="1" ref="I990" ca="1">INDEX(Courses!$B$9:$B$16,RANDBETWEEN(1,8))</f>
        <v>PowerPoint</v>
      </c>
      <c r="J990" s="5" t="str">
        <f ca="1">VLOOKUP(I990,Courses!$B$9:$C$16,2,0)</f>
        <v>Microsoft Office</v>
      </c>
      <c r="K990" s="7">
        <f ca="1">VLOOKUP(I990,Courses!$B$9:$D$16,3,0)</f>
        <v>29</v>
      </c>
      <c r="L990" s="5" t="str">
        <f t="shared" ca="1" si="187"/>
        <v>Refunded</v>
      </c>
      <c r="M990" s="8" t="str" cm="1">
        <f t="array" aca="1" ref="M990" ca="1">INDEX('Payment Method'!$A$8:$A$12,RANDBETWEEN(1,5))</f>
        <v>Visa Debit</v>
      </c>
      <c r="N990" s="7">
        <f>IFERROR(SUMIF(Holiday!$A$8:$A$11,B990,Holiday!$C$8:$C$11),0)</f>
        <v>0</v>
      </c>
      <c r="O990" s="7">
        <f t="shared" ca="1" si="188"/>
        <v>29</v>
      </c>
      <c r="P990" s="19">
        <f t="shared" ca="1" si="189"/>
        <v>28.42</v>
      </c>
      <c r="Q990" s="7">
        <f t="shared" ca="1" si="190"/>
        <v>0</v>
      </c>
      <c r="R990" s="8">
        <f ca="1">VLOOKUP(M990,'Payment Method'!$A$8:$B$12,2,0)</f>
        <v>0.02</v>
      </c>
      <c r="S990" s="9">
        <f t="shared" ca="1" si="180"/>
        <v>0.57999999999999829</v>
      </c>
      <c r="T990" s="8">
        <v>0.01</v>
      </c>
      <c r="U990" s="9">
        <f t="shared" ca="1" si="181"/>
        <v>0.28419999999999845</v>
      </c>
      <c r="V990" s="7">
        <f t="shared" ca="1" si="182"/>
        <v>28.135800000000003</v>
      </c>
      <c r="W990" s="7">
        <f t="shared" ca="1" si="183"/>
        <v>0</v>
      </c>
      <c r="X990" s="5" t="str">
        <f t="shared" ca="1" si="191"/>
        <v>Tiktok</v>
      </c>
      <c r="Y990" s="78" t="str">
        <f>IF(COUNTIF($C$1:C989,B989)=1,10,"")</f>
        <v/>
      </c>
    </row>
    <row r="991" spans="1:25" x14ac:dyDescent="0.3">
      <c r="A991" s="76">
        <v>990</v>
      </c>
      <c r="B991" s="6">
        <v>46210</v>
      </c>
      <c r="C991" s="6">
        <v>46215</v>
      </c>
      <c r="D991" s="17" t="str">
        <f t="shared" si="184"/>
        <v>July</v>
      </c>
      <c r="E991" s="5" t="str">
        <f t="shared" ca="1" si="185"/>
        <v>STU-188</v>
      </c>
      <c r="F991" s="5" t="str">
        <f ca="1">IF(COUNTIF($E$2:E991,E991)=1,"New Customer","Returning Customer")</f>
        <v>New Customer</v>
      </c>
      <c r="G991" s="5" t="str">
        <f t="shared" ca="1" si="186"/>
        <v>Not specified</v>
      </c>
      <c r="H991" s="5" t="s">
        <v>141</v>
      </c>
      <c r="I991" s="5" t="str" cm="1">
        <f t="array" aca="1" ref="I991" ca="1">INDEX(Courses!$B$9:$B$16,RANDBETWEEN(1,8))</f>
        <v>SQL</v>
      </c>
      <c r="J991" s="5" t="str">
        <f ca="1">VLOOKUP(I991,Courses!$B$9:$C$16,2,0)</f>
        <v>Data Analytics</v>
      </c>
      <c r="K991" s="7">
        <f ca="1">VLOOKUP(I991,Courses!$B$9:$D$16,3,0)</f>
        <v>99</v>
      </c>
      <c r="L991" s="5" t="str">
        <f t="shared" ca="1" si="187"/>
        <v>Paid</v>
      </c>
      <c r="M991" s="8" t="str" cm="1">
        <f t="array" aca="1" ref="M991" ca="1">INDEX('Payment Method'!$A$8:$A$12,RANDBETWEEN(1,5))</f>
        <v>Mastercard Credit</v>
      </c>
      <c r="N991" s="7">
        <f>IFERROR(SUMIF(Holiday!$A$8:$A$11,B991,Holiday!$C$8:$C$11),0)</f>
        <v>0</v>
      </c>
      <c r="O991" s="7">
        <f t="shared" ca="1" si="188"/>
        <v>99</v>
      </c>
      <c r="P991" s="19">
        <f t="shared" ca="1" si="189"/>
        <v>95.534999999999997</v>
      </c>
      <c r="Q991" s="7">
        <f t="shared" ca="1" si="190"/>
        <v>0</v>
      </c>
      <c r="R991" s="8">
        <f ca="1">VLOOKUP(M991,'Payment Method'!$A$8:$B$12,2,0)</f>
        <v>3.5000000000000003E-2</v>
      </c>
      <c r="S991" s="9">
        <f t="shared" ca="1" si="180"/>
        <v>3.4650000000000034</v>
      </c>
      <c r="T991" s="8">
        <v>0.01</v>
      </c>
      <c r="U991" s="9">
        <f t="shared" ca="1" si="181"/>
        <v>0.9553499999999957</v>
      </c>
      <c r="V991" s="7">
        <f t="shared" ca="1" si="182"/>
        <v>0</v>
      </c>
      <c r="W991" s="7">
        <f t="shared" ca="1" si="183"/>
        <v>94.579650000000001</v>
      </c>
      <c r="X991" s="5" t="str">
        <f t="shared" ca="1" si="191"/>
        <v>Instagram</v>
      </c>
      <c r="Y991" s="78" t="str">
        <f>IF(COUNTIF($C$1:C990,B990)=1,10,"")</f>
        <v/>
      </c>
    </row>
    <row r="992" spans="1:25" x14ac:dyDescent="0.3">
      <c r="A992" s="75">
        <v>991</v>
      </c>
      <c r="B992" s="6">
        <v>46087</v>
      </c>
      <c r="C992" s="6">
        <v>46092</v>
      </c>
      <c r="D992" s="17" t="str">
        <f t="shared" si="184"/>
        <v>March</v>
      </c>
      <c r="E992" s="5" t="str">
        <f t="shared" ca="1" si="185"/>
        <v>STU-889</v>
      </c>
      <c r="F992" s="5" t="str">
        <f ca="1">IF(COUNTIF($E$2:E992,E992)=1,"New Customer","Returning Customer")</f>
        <v>Returning Customer</v>
      </c>
      <c r="G992" s="5" t="str">
        <f t="shared" ca="1" si="186"/>
        <v>Female</v>
      </c>
      <c r="H992" s="5" t="s">
        <v>142</v>
      </c>
      <c r="I992" s="5" t="str" cm="1">
        <f t="array" aca="1" ref="I992" ca="1">INDEX(Courses!$B$9:$B$16,RANDBETWEEN(1,8))</f>
        <v>Microsoft Word</v>
      </c>
      <c r="J992" s="5" t="str">
        <f ca="1">VLOOKUP(I992,Courses!$B$9:$C$16,2,0)</f>
        <v>Microsoft Office</v>
      </c>
      <c r="K992" s="7">
        <f ca="1">VLOOKUP(I992,Courses!$B$9:$D$16,3,0)</f>
        <v>29</v>
      </c>
      <c r="L992" s="5" t="str">
        <f t="shared" ca="1" si="187"/>
        <v>Paid</v>
      </c>
      <c r="M992" s="8" t="str" cm="1">
        <f t="array" aca="1" ref="M992" ca="1">INDEX('Payment Method'!$A$8:$A$12,RANDBETWEEN(1,5))</f>
        <v>Visa Debit</v>
      </c>
      <c r="N992" s="7">
        <f>IFERROR(SUMIF(Holiday!$A$8:$A$11,B992,Holiday!$C$8:$C$11),0)</f>
        <v>0</v>
      </c>
      <c r="O992" s="7">
        <f t="shared" ca="1" si="188"/>
        <v>29</v>
      </c>
      <c r="P992" s="19">
        <f t="shared" ca="1" si="189"/>
        <v>28.42</v>
      </c>
      <c r="Q992" s="7">
        <f t="shared" ca="1" si="190"/>
        <v>0</v>
      </c>
      <c r="R992" s="8">
        <f ca="1">VLOOKUP(M992,'Payment Method'!$A$8:$B$12,2,0)</f>
        <v>0.02</v>
      </c>
      <c r="S992" s="9">
        <f t="shared" ca="1" si="180"/>
        <v>0.57999999999999829</v>
      </c>
      <c r="T992" s="8">
        <v>0.01</v>
      </c>
      <c r="U992" s="9">
        <f t="shared" ca="1" si="181"/>
        <v>0.28419999999999845</v>
      </c>
      <c r="V992" s="7">
        <f t="shared" ca="1" si="182"/>
        <v>0</v>
      </c>
      <c r="W992" s="7">
        <f t="shared" ca="1" si="183"/>
        <v>28.135800000000003</v>
      </c>
      <c r="X992" s="5" t="str">
        <f t="shared" ca="1" si="191"/>
        <v>Tiktok</v>
      </c>
      <c r="Y992" s="78" t="str">
        <f>IF(COUNTIF($C$1:C991,B991)=1,10,"")</f>
        <v/>
      </c>
    </row>
    <row r="993" spans="1:25" x14ac:dyDescent="0.3">
      <c r="A993" s="76">
        <v>992</v>
      </c>
      <c r="B993" s="6">
        <v>46086</v>
      </c>
      <c r="C993" s="6">
        <v>46091</v>
      </c>
      <c r="D993" s="17" t="str">
        <f t="shared" si="184"/>
        <v>March</v>
      </c>
      <c r="E993" s="5" t="str">
        <f t="shared" ca="1" si="185"/>
        <v>STU-822</v>
      </c>
      <c r="F993" s="5" t="str">
        <f ca="1">IF(COUNTIF($E$2:E993,E993)=1,"New Customer","Returning Customer")</f>
        <v>Returning Customer</v>
      </c>
      <c r="G993" s="5" t="str">
        <f t="shared" ca="1" si="186"/>
        <v>Not specified</v>
      </c>
      <c r="H993" s="5" t="s">
        <v>139</v>
      </c>
      <c r="I993" s="5" t="str" cm="1">
        <f t="array" aca="1" ref="I993" ca="1">INDEX(Courses!$B$9:$B$16,RANDBETWEEN(1,8))</f>
        <v>Power BI</v>
      </c>
      <c r="J993" s="5" t="str">
        <f ca="1">VLOOKUP(I993,Courses!$B$9:$C$16,2,0)</f>
        <v>Data Analytics</v>
      </c>
      <c r="K993" s="7">
        <f ca="1">VLOOKUP(I993,Courses!$B$9:$D$16,3,0)</f>
        <v>59</v>
      </c>
      <c r="L993" s="5" t="str">
        <f t="shared" ca="1" si="187"/>
        <v>Paid</v>
      </c>
      <c r="M993" s="8" t="str" cm="1">
        <f t="array" aca="1" ref="M993" ca="1">INDEX('Payment Method'!$A$8:$A$12,RANDBETWEEN(1,5))</f>
        <v>Visa Debit</v>
      </c>
      <c r="N993" s="7">
        <f>IFERROR(SUMIF(Holiday!$A$8:$A$11,B993,Holiday!$C$8:$C$11),0)</f>
        <v>0</v>
      </c>
      <c r="O993" s="7">
        <f t="shared" ca="1" si="188"/>
        <v>59</v>
      </c>
      <c r="P993" s="19">
        <f t="shared" ca="1" si="189"/>
        <v>57.82</v>
      </c>
      <c r="Q993" s="7">
        <f t="shared" ca="1" si="190"/>
        <v>0</v>
      </c>
      <c r="R993" s="8">
        <f ca="1">VLOOKUP(M993,'Payment Method'!$A$8:$B$12,2,0)</f>
        <v>0.02</v>
      </c>
      <c r="S993" s="9">
        <f t="shared" ca="1" si="180"/>
        <v>1.1799999999999997</v>
      </c>
      <c r="T993" s="8">
        <v>0.01</v>
      </c>
      <c r="U993" s="9">
        <f t="shared" ca="1" si="181"/>
        <v>0.57820000000000249</v>
      </c>
      <c r="V993" s="7">
        <f t="shared" ca="1" si="182"/>
        <v>0</v>
      </c>
      <c r="W993" s="7">
        <f t="shared" ca="1" si="183"/>
        <v>57.241799999999998</v>
      </c>
      <c r="X993" s="5" t="str">
        <f t="shared" ca="1" si="191"/>
        <v>Tiktok</v>
      </c>
      <c r="Y993" s="78" t="str">
        <f>IF(COUNTIF($C$1:C992,B992)=1,10,"")</f>
        <v/>
      </c>
    </row>
    <row r="994" spans="1:25" x14ac:dyDescent="0.3">
      <c r="A994" s="75">
        <v>993</v>
      </c>
      <c r="B994" s="6">
        <v>46122</v>
      </c>
      <c r="C994" s="6">
        <v>46125</v>
      </c>
      <c r="D994" s="17" t="str">
        <f t="shared" si="184"/>
        <v>April</v>
      </c>
      <c r="E994" s="5" t="str">
        <f t="shared" ca="1" si="185"/>
        <v>STU-463</v>
      </c>
      <c r="F994" s="5" t="str">
        <f ca="1">IF(COUNTIF($E$2:E994,E994)=1,"New Customer","Returning Customer")</f>
        <v>Returning Customer</v>
      </c>
      <c r="G994" s="5" t="str">
        <f t="shared" ca="1" si="186"/>
        <v>Not specified</v>
      </c>
      <c r="H994" s="5" t="s">
        <v>136</v>
      </c>
      <c r="I994" s="5" t="str" cm="1">
        <f t="array" aca="1" ref="I994" ca="1">INDEX(Courses!$B$9:$B$16,RANDBETWEEN(1,8))</f>
        <v>SQL</v>
      </c>
      <c r="J994" s="5" t="str">
        <f ca="1">VLOOKUP(I994,Courses!$B$9:$C$16,2,0)</f>
        <v>Data Analytics</v>
      </c>
      <c r="K994" s="7">
        <f ca="1">VLOOKUP(I994,Courses!$B$9:$D$16,3,0)</f>
        <v>99</v>
      </c>
      <c r="L994" s="5" t="str">
        <f t="shared" ca="1" si="187"/>
        <v>Pending</v>
      </c>
      <c r="M994" s="8" t="str" cm="1">
        <f t="array" aca="1" ref="M994" ca="1">INDEX('Payment Method'!$A$8:$A$12,RANDBETWEEN(1,5))</f>
        <v>Bank Transfer</v>
      </c>
      <c r="N994" s="7">
        <f>IFERROR(SUMIF(Holiday!$A$8:$A$11,B994,Holiday!$C$8:$C$11),0)</f>
        <v>0</v>
      </c>
      <c r="O994" s="7">
        <f t="shared" ca="1" si="188"/>
        <v>99</v>
      </c>
      <c r="P994" s="19">
        <f t="shared" ca="1" si="189"/>
        <v>99</v>
      </c>
      <c r="Q994" s="7">
        <f t="shared" ca="1" si="190"/>
        <v>98.01</v>
      </c>
      <c r="R994" s="8">
        <f ca="1">VLOOKUP(M994,'Payment Method'!$A$8:$B$12,2,0)</f>
        <v>0</v>
      </c>
      <c r="S994" s="9">
        <f t="shared" ca="1" si="180"/>
        <v>0</v>
      </c>
      <c r="T994" s="8">
        <v>0.01</v>
      </c>
      <c r="U994" s="9">
        <f t="shared" ca="1" si="181"/>
        <v>0.98999999999999488</v>
      </c>
      <c r="V994" s="7">
        <f t="shared" ca="1" si="182"/>
        <v>0</v>
      </c>
      <c r="W994" s="7">
        <f t="shared" ca="1" si="183"/>
        <v>0</v>
      </c>
      <c r="X994" s="5" t="str">
        <f t="shared" ca="1" si="191"/>
        <v>Tiktok</v>
      </c>
      <c r="Y994" s="78" t="str">
        <f>IF(COUNTIF($C$1:C993,B993)=1,10,"")</f>
        <v/>
      </c>
    </row>
    <row r="995" spans="1:25" x14ac:dyDescent="0.3">
      <c r="A995" s="76">
        <v>994</v>
      </c>
      <c r="B995" s="6">
        <v>46165</v>
      </c>
      <c r="C995" s="6">
        <v>46168</v>
      </c>
      <c r="D995" s="17" t="str">
        <f t="shared" si="184"/>
        <v>May</v>
      </c>
      <c r="E995" s="5" t="str">
        <f t="shared" ca="1" si="185"/>
        <v>STU-737</v>
      </c>
      <c r="F995" s="5" t="str">
        <f ca="1">IF(COUNTIF($E$2:E995,E995)=1,"New Customer","Returning Customer")</f>
        <v>Returning Customer</v>
      </c>
      <c r="G995" s="5" t="str">
        <f t="shared" ca="1" si="186"/>
        <v>Female</v>
      </c>
      <c r="H995" s="5" t="s">
        <v>136</v>
      </c>
      <c r="I995" s="5" t="str" cm="1">
        <f t="array" aca="1" ref="I995" ca="1">INDEX(Courses!$B$9:$B$16,RANDBETWEEN(1,8))</f>
        <v>Power BI</v>
      </c>
      <c r="J995" s="5" t="str">
        <f ca="1">VLOOKUP(I995,Courses!$B$9:$C$16,2,0)</f>
        <v>Data Analytics</v>
      </c>
      <c r="K995" s="7">
        <f ca="1">VLOOKUP(I995,Courses!$B$9:$D$16,3,0)</f>
        <v>59</v>
      </c>
      <c r="L995" s="5" t="str">
        <f t="shared" ca="1" si="187"/>
        <v>Paid</v>
      </c>
      <c r="M995" s="8" t="str" cm="1">
        <f t="array" aca="1" ref="M995" ca="1">INDEX('Payment Method'!$A$8:$A$12,RANDBETWEEN(1,5))</f>
        <v>Visa Debit</v>
      </c>
      <c r="N995" s="7">
        <f>IFERROR(SUMIF(Holiday!$A$8:$A$11,B995,Holiday!$C$8:$C$11),0)</f>
        <v>0</v>
      </c>
      <c r="O995" s="7">
        <f t="shared" ca="1" si="188"/>
        <v>59</v>
      </c>
      <c r="P995" s="19">
        <f t="shared" ca="1" si="189"/>
        <v>57.82</v>
      </c>
      <c r="Q995" s="7">
        <f t="shared" ca="1" si="190"/>
        <v>0</v>
      </c>
      <c r="R995" s="8">
        <f ca="1">VLOOKUP(M995,'Payment Method'!$A$8:$B$12,2,0)</f>
        <v>0.02</v>
      </c>
      <c r="S995" s="9">
        <f t="shared" ca="1" si="180"/>
        <v>1.1799999999999997</v>
      </c>
      <c r="T995" s="8">
        <v>0.01</v>
      </c>
      <c r="U995" s="9">
        <f t="shared" ca="1" si="181"/>
        <v>0.57820000000000249</v>
      </c>
      <c r="V995" s="7">
        <f t="shared" ca="1" si="182"/>
        <v>0</v>
      </c>
      <c r="W995" s="7">
        <f t="shared" ca="1" si="183"/>
        <v>57.241799999999998</v>
      </c>
      <c r="X995" s="5" t="str">
        <f t="shared" ca="1" si="191"/>
        <v>Facebook</v>
      </c>
      <c r="Y995" s="78" t="str">
        <f>IF(COUNTIF($C$1:C994,B994)=1,10,"")</f>
        <v/>
      </c>
    </row>
    <row r="996" spans="1:25" x14ac:dyDescent="0.3">
      <c r="A996" s="75">
        <v>995</v>
      </c>
      <c r="B996" s="6">
        <v>46188</v>
      </c>
      <c r="C996" s="6">
        <v>46192</v>
      </c>
      <c r="D996" s="17" t="str">
        <f t="shared" si="184"/>
        <v>June</v>
      </c>
      <c r="E996" s="5" t="str">
        <f t="shared" ca="1" si="185"/>
        <v>STU-352</v>
      </c>
      <c r="F996" s="5" t="str">
        <f ca="1">IF(COUNTIF($E$2:E996,E996)=1,"New Customer","Returning Customer")</f>
        <v>Returning Customer</v>
      </c>
      <c r="G996" s="5" t="str">
        <f t="shared" ca="1" si="186"/>
        <v>Male</v>
      </c>
      <c r="H996" s="5" t="s">
        <v>139</v>
      </c>
      <c r="I996" s="5" t="str" cm="1">
        <f t="array" aca="1" ref="I996" ca="1">INDEX(Courses!$B$9:$B$16,RANDBETWEEN(1,8))</f>
        <v>Power BI</v>
      </c>
      <c r="J996" s="5" t="str">
        <f ca="1">VLOOKUP(I996,Courses!$B$9:$C$16,2,0)</f>
        <v>Data Analytics</v>
      </c>
      <c r="K996" s="7">
        <f ca="1">VLOOKUP(I996,Courses!$B$9:$D$16,3,0)</f>
        <v>59</v>
      </c>
      <c r="L996" s="5" t="str">
        <f t="shared" ca="1" si="187"/>
        <v>Paid</v>
      </c>
      <c r="M996" s="8" t="str" cm="1">
        <f t="array" aca="1" ref="M996" ca="1">INDEX('Payment Method'!$A$8:$A$12,RANDBETWEEN(1,5))</f>
        <v>Visa Debit</v>
      </c>
      <c r="N996" s="7">
        <f>IFERROR(SUMIF(Holiday!$A$8:$A$11,B996,Holiday!$C$8:$C$11),0)</f>
        <v>0</v>
      </c>
      <c r="O996" s="7">
        <f t="shared" ca="1" si="188"/>
        <v>59</v>
      </c>
      <c r="P996" s="19">
        <f t="shared" ca="1" si="189"/>
        <v>57.82</v>
      </c>
      <c r="Q996" s="7">
        <f t="shared" ca="1" si="190"/>
        <v>0</v>
      </c>
      <c r="R996" s="8">
        <f ca="1">VLOOKUP(M996,'Payment Method'!$A$8:$B$12,2,0)</f>
        <v>0.02</v>
      </c>
      <c r="S996" s="9">
        <f t="shared" ca="1" si="180"/>
        <v>1.1799999999999997</v>
      </c>
      <c r="T996" s="8">
        <v>0.01</v>
      </c>
      <c r="U996" s="9">
        <f t="shared" ca="1" si="181"/>
        <v>0.57820000000000249</v>
      </c>
      <c r="V996" s="7">
        <f t="shared" ca="1" si="182"/>
        <v>0</v>
      </c>
      <c r="W996" s="7">
        <f t="shared" ca="1" si="183"/>
        <v>57.241799999999998</v>
      </c>
      <c r="X996" s="5" t="str">
        <f t="shared" ca="1" si="191"/>
        <v>Facebook</v>
      </c>
      <c r="Y996" s="78" t="str">
        <f>IF(COUNTIF($C$1:C995,B995)=1,10,"")</f>
        <v/>
      </c>
    </row>
    <row r="997" spans="1:25" x14ac:dyDescent="0.3">
      <c r="A997" s="76">
        <v>996</v>
      </c>
      <c r="B997" s="6">
        <v>46085</v>
      </c>
      <c r="C997" s="6">
        <v>46090</v>
      </c>
      <c r="D997" s="17" t="str">
        <f t="shared" si="184"/>
        <v>March</v>
      </c>
      <c r="E997" s="5" t="str">
        <f t="shared" ca="1" si="185"/>
        <v>STU-975</v>
      </c>
      <c r="F997" s="5" t="str">
        <f ca="1">IF(COUNTIF($E$2:E997,E997)=1,"New Customer","Returning Customer")</f>
        <v>New Customer</v>
      </c>
      <c r="G997" s="5" t="str">
        <f t="shared" ca="1" si="186"/>
        <v>Not specified</v>
      </c>
      <c r="H997" s="5" t="s">
        <v>135</v>
      </c>
      <c r="I997" s="5" t="str" cm="1">
        <f t="array" aca="1" ref="I997" ca="1">INDEX(Courses!$B$9:$B$16,RANDBETWEEN(1,8))</f>
        <v>PowerPoint</v>
      </c>
      <c r="J997" s="5" t="str">
        <f ca="1">VLOOKUP(I997,Courses!$B$9:$C$16,2,0)</f>
        <v>Microsoft Office</v>
      </c>
      <c r="K997" s="7">
        <f ca="1">VLOOKUP(I997,Courses!$B$9:$D$16,3,0)</f>
        <v>29</v>
      </c>
      <c r="L997" s="5" t="str">
        <f t="shared" ca="1" si="187"/>
        <v>Paid</v>
      </c>
      <c r="M997" s="8" t="str" cm="1">
        <f t="array" aca="1" ref="M997" ca="1">INDEX('Payment Method'!$A$8:$A$12,RANDBETWEEN(1,5))</f>
        <v>Visa Debit</v>
      </c>
      <c r="N997" s="7">
        <f>IFERROR(SUMIF(Holiday!$A$8:$A$11,B997,Holiday!$C$8:$C$11),0)</f>
        <v>0</v>
      </c>
      <c r="O997" s="7">
        <f t="shared" ca="1" si="188"/>
        <v>29</v>
      </c>
      <c r="P997" s="19">
        <f t="shared" ca="1" si="189"/>
        <v>28.42</v>
      </c>
      <c r="Q997" s="7">
        <f t="shared" ca="1" si="190"/>
        <v>0</v>
      </c>
      <c r="R997" s="8">
        <f ca="1">VLOOKUP(M997,'Payment Method'!$A$8:$B$12,2,0)</f>
        <v>0.02</v>
      </c>
      <c r="S997" s="9">
        <f t="shared" ca="1" si="180"/>
        <v>0.57999999999999829</v>
      </c>
      <c r="T997" s="8">
        <v>0.01</v>
      </c>
      <c r="U997" s="9">
        <f t="shared" ca="1" si="181"/>
        <v>0.28419999999999845</v>
      </c>
      <c r="V997" s="7">
        <f t="shared" ca="1" si="182"/>
        <v>0</v>
      </c>
      <c r="W997" s="7">
        <f t="shared" ca="1" si="183"/>
        <v>28.135800000000003</v>
      </c>
      <c r="X997" s="5" t="str">
        <f t="shared" ca="1" si="191"/>
        <v>Instagram</v>
      </c>
      <c r="Y997" s="78" t="str">
        <f>IF(COUNTIF($C$1:C996,B996)=1,10,"")</f>
        <v/>
      </c>
    </row>
    <row r="998" spans="1:25" x14ac:dyDescent="0.3">
      <c r="A998" s="75">
        <v>997</v>
      </c>
      <c r="B998" s="6">
        <v>46202</v>
      </c>
      <c r="C998" s="6">
        <v>46206</v>
      </c>
      <c r="D998" s="17" t="str">
        <f t="shared" si="184"/>
        <v>July</v>
      </c>
      <c r="E998" s="5" t="str">
        <f t="shared" ca="1" si="185"/>
        <v>STU-959</v>
      </c>
      <c r="F998" s="5" t="str">
        <f ca="1">IF(COUNTIF($E$2:E998,E998)=1,"New Customer","Returning Customer")</f>
        <v>Returning Customer</v>
      </c>
      <c r="G998" s="5" t="str">
        <f t="shared" ca="1" si="186"/>
        <v>Male</v>
      </c>
      <c r="H998" s="5" t="s">
        <v>139</v>
      </c>
      <c r="I998" s="5" t="str" cm="1">
        <f t="array" aca="1" ref="I998" ca="1">INDEX(Courses!$B$9:$B$16,RANDBETWEEN(1,8))</f>
        <v>Adolescent Psychology</v>
      </c>
      <c r="J998" s="5" t="str">
        <f ca="1">VLOOKUP(I998,Courses!$B$9:$C$16,2,0)</f>
        <v>Psychology</v>
      </c>
      <c r="K998" s="7">
        <f ca="1">VLOOKUP(I998,Courses!$B$9:$D$16,3,0)</f>
        <v>29</v>
      </c>
      <c r="L998" s="5" t="str">
        <f t="shared" ca="1" si="187"/>
        <v>Pending</v>
      </c>
      <c r="M998" s="8" t="str" cm="1">
        <f t="array" aca="1" ref="M998" ca="1">INDEX('Payment Method'!$A$8:$A$12,RANDBETWEEN(1,5))</f>
        <v>Bank Transfer</v>
      </c>
      <c r="N998" s="7">
        <f>IFERROR(SUMIF(Holiday!$A$8:$A$11,B998,Holiday!$C$8:$C$11),0)</f>
        <v>0</v>
      </c>
      <c r="O998" s="7">
        <f t="shared" ca="1" si="188"/>
        <v>29</v>
      </c>
      <c r="P998" s="19">
        <f t="shared" ca="1" si="189"/>
        <v>29</v>
      </c>
      <c r="Q998" s="7">
        <f t="shared" ca="1" si="190"/>
        <v>28.71</v>
      </c>
      <c r="R998" s="8">
        <f ca="1">VLOOKUP(M998,'Payment Method'!$A$8:$B$12,2,0)</f>
        <v>0</v>
      </c>
      <c r="S998" s="9">
        <f t="shared" ca="1" si="180"/>
        <v>0</v>
      </c>
      <c r="T998" s="8">
        <v>0.01</v>
      </c>
      <c r="U998" s="9">
        <f t="shared" ca="1" si="181"/>
        <v>0.28999999999999915</v>
      </c>
      <c r="V998" s="7">
        <f t="shared" ca="1" si="182"/>
        <v>0</v>
      </c>
      <c r="W998" s="7">
        <f t="shared" ca="1" si="183"/>
        <v>0</v>
      </c>
      <c r="X998" s="5" t="str">
        <f t="shared" ca="1" si="191"/>
        <v>Tiktok</v>
      </c>
      <c r="Y998" s="78" t="str">
        <f>IF(COUNTIF($C$1:C997,B997)=1,10,"")</f>
        <v/>
      </c>
    </row>
    <row r="999" spans="1:25" x14ac:dyDescent="0.3">
      <c r="A999" s="76">
        <v>998</v>
      </c>
      <c r="B999" s="6">
        <v>46097</v>
      </c>
      <c r="C999" s="6">
        <v>46097</v>
      </c>
      <c r="D999" s="17" t="str">
        <f t="shared" si="184"/>
        <v>March</v>
      </c>
      <c r="E999" s="5" t="str">
        <f t="shared" ca="1" si="185"/>
        <v>STU-874</v>
      </c>
      <c r="F999" s="5" t="str">
        <f ca="1">IF(COUNTIF($E$2:E999,E999)=1,"New Customer","Returning Customer")</f>
        <v>New Customer</v>
      </c>
      <c r="G999" s="5" t="str">
        <f t="shared" ca="1" si="186"/>
        <v>Male</v>
      </c>
      <c r="H999" s="5" t="s">
        <v>135</v>
      </c>
      <c r="I999" s="5" t="str" cm="1">
        <f t="array" aca="1" ref="I999" ca="1">INDEX(Courses!$B$9:$B$16,RANDBETWEEN(1,8))</f>
        <v>Excel Basics</v>
      </c>
      <c r="J999" s="5" t="str">
        <f ca="1">VLOOKUP(I999,Courses!$B$9:$C$16,2,0)</f>
        <v>Microsoft Office</v>
      </c>
      <c r="K999" s="7">
        <f ca="1">VLOOKUP(I999,Courses!$B$9:$D$16,3,0)</f>
        <v>29</v>
      </c>
      <c r="L999" s="5" t="str">
        <f t="shared" ca="1" si="187"/>
        <v>Pending</v>
      </c>
      <c r="M999" s="8" t="str" cm="1">
        <f t="array" aca="1" ref="M999" ca="1">INDEX('Payment Method'!$A$8:$A$12,RANDBETWEEN(1,5))</f>
        <v>Mastercard Credit</v>
      </c>
      <c r="N999" s="7">
        <f>IFERROR(SUMIF(Holiday!$A$8:$A$11,B999,Holiday!$C$8:$C$11),0)</f>
        <v>0</v>
      </c>
      <c r="O999" s="7">
        <f t="shared" ca="1" si="188"/>
        <v>29</v>
      </c>
      <c r="P999" s="19">
        <f t="shared" ca="1" si="189"/>
        <v>27.984999999999999</v>
      </c>
      <c r="Q999" s="7">
        <f t="shared" ca="1" si="190"/>
        <v>27.70515</v>
      </c>
      <c r="R999" s="8">
        <f ca="1">VLOOKUP(M999,'Payment Method'!$A$8:$B$12,2,0)</f>
        <v>3.5000000000000003E-2</v>
      </c>
      <c r="S999" s="9">
        <f t="shared" ca="1" si="180"/>
        <v>1.0150000000000006</v>
      </c>
      <c r="T999" s="8">
        <v>0.01</v>
      </c>
      <c r="U999" s="9">
        <f t="shared" ca="1" si="181"/>
        <v>0.27984999999999971</v>
      </c>
      <c r="V999" s="7">
        <f t="shared" ca="1" si="182"/>
        <v>0</v>
      </c>
      <c r="W999" s="7">
        <f t="shared" ca="1" si="183"/>
        <v>0</v>
      </c>
      <c r="X999" s="5" t="str">
        <f t="shared" ca="1" si="191"/>
        <v>Facebook</v>
      </c>
      <c r="Y999" s="78" t="str">
        <f>IF(COUNTIF($C$1:C998,B998)=1,10,"")</f>
        <v/>
      </c>
    </row>
    <row r="1000" spans="1:25" x14ac:dyDescent="0.3">
      <c r="A1000" s="75">
        <v>999</v>
      </c>
      <c r="B1000" s="6">
        <v>46222</v>
      </c>
      <c r="C1000" s="6">
        <v>46227</v>
      </c>
      <c r="D1000" s="17" t="str">
        <f t="shared" si="184"/>
        <v>July</v>
      </c>
      <c r="E1000" s="5" t="str">
        <f t="shared" ca="1" si="185"/>
        <v>STU-927</v>
      </c>
      <c r="F1000" s="5" t="str">
        <f ca="1">IF(COUNTIF($E$2:E1000,E1000)=1,"New Customer","Returning Customer")</f>
        <v>Returning Customer</v>
      </c>
      <c r="G1000" s="5" t="str">
        <f t="shared" ca="1" si="186"/>
        <v>Male</v>
      </c>
      <c r="H1000" s="5" t="s">
        <v>139</v>
      </c>
      <c r="I1000" s="5" t="str" cm="1">
        <f t="array" aca="1" ref="I1000" ca="1">INDEX(Courses!$B$9:$B$16,RANDBETWEEN(1,8))</f>
        <v>Adolescent Psychology</v>
      </c>
      <c r="J1000" s="5" t="str">
        <f ca="1">VLOOKUP(I1000,Courses!$B$9:$C$16,2,0)</f>
        <v>Psychology</v>
      </c>
      <c r="K1000" s="7">
        <f ca="1">VLOOKUP(I1000,Courses!$B$9:$D$16,3,0)</f>
        <v>29</v>
      </c>
      <c r="L1000" s="5" t="str">
        <f t="shared" ca="1" si="187"/>
        <v>Pending</v>
      </c>
      <c r="M1000" s="8" t="str" cm="1">
        <f t="array" aca="1" ref="M1000" ca="1">INDEX('Payment Method'!$A$8:$A$12,RANDBETWEEN(1,5))</f>
        <v>Visa Credit</v>
      </c>
      <c r="N1000" s="7">
        <f>IFERROR(SUMIF(Holiday!$A$8:$A$11,B1000,Holiday!$C$8:$C$11),0)</f>
        <v>0</v>
      </c>
      <c r="O1000" s="7">
        <f t="shared" ca="1" si="188"/>
        <v>29</v>
      </c>
      <c r="P1000" s="19">
        <f t="shared" ca="1" si="189"/>
        <v>27.984999999999999</v>
      </c>
      <c r="Q1000" s="7">
        <f t="shared" ca="1" si="190"/>
        <v>27.70515</v>
      </c>
      <c r="R1000" s="8">
        <f ca="1">VLOOKUP(M1000,'Payment Method'!$A$8:$B$12,2,0)</f>
        <v>3.5000000000000003E-2</v>
      </c>
      <c r="S1000" s="9">
        <f t="shared" ca="1" si="180"/>
        <v>1.0150000000000006</v>
      </c>
      <c r="T1000" s="8">
        <v>0.01</v>
      </c>
      <c r="U1000" s="9">
        <f t="shared" ca="1" si="181"/>
        <v>0.27984999999999971</v>
      </c>
      <c r="V1000" s="7">
        <f t="shared" ca="1" si="182"/>
        <v>0</v>
      </c>
      <c r="W1000" s="7">
        <f t="shared" ca="1" si="183"/>
        <v>0</v>
      </c>
      <c r="X1000" s="5" t="str">
        <f t="shared" ca="1" si="191"/>
        <v>Instagram</v>
      </c>
      <c r="Y1000" s="78" t="str">
        <f>IF(COUNTIF($C$1:C999,B999)=1,10,"")</f>
        <v/>
      </c>
    </row>
    <row r="1001" spans="1:25" ht="15" thickBot="1" x14ac:dyDescent="0.35">
      <c r="A1001" s="76">
        <v>1000</v>
      </c>
      <c r="B1001" s="12">
        <v>46104</v>
      </c>
      <c r="C1001" s="12">
        <v>46104</v>
      </c>
      <c r="D1001" s="17" t="str">
        <f t="shared" si="184"/>
        <v>March</v>
      </c>
      <c r="E1001" s="13" t="str">
        <f t="shared" ca="1" si="185"/>
        <v>STU-267</v>
      </c>
      <c r="F1001" s="13" t="str">
        <f ca="1">IF(COUNTIF($E$2:E1001,E1001)=1,"New Customer","Returning Customer")</f>
        <v>New Customer</v>
      </c>
      <c r="G1001" s="13" t="str">
        <f t="shared" ca="1" si="186"/>
        <v>Female</v>
      </c>
      <c r="H1001" s="13" t="s">
        <v>136</v>
      </c>
      <c r="I1001" s="13" t="str" cm="1">
        <f t="array" aca="1" ref="I1001" ca="1">INDEX(Courses!$B$9:$B$16,RANDBETWEEN(1,8))</f>
        <v>Adolescent Psychology</v>
      </c>
      <c r="J1001" s="13" t="str">
        <f ca="1">VLOOKUP(I1001,Courses!$B$9:$C$16,2,0)</f>
        <v>Psychology</v>
      </c>
      <c r="K1001" s="14">
        <f ca="1">VLOOKUP(I1001,Courses!$B$9:$D$16,3,0)</f>
        <v>29</v>
      </c>
      <c r="L1001" s="13" t="str">
        <f t="shared" ca="1" si="187"/>
        <v>Paid</v>
      </c>
      <c r="M1001" s="15" t="str" cm="1">
        <f t="array" aca="1" ref="M1001" ca="1">INDEX('Payment Method'!$A$8:$A$12,RANDBETWEEN(1,5))</f>
        <v>Mastercard Credit</v>
      </c>
      <c r="N1001" s="7">
        <f>IFERROR(SUMIF(Holiday!$A$8:$A$11,B1001,Holiday!$C$8:$C$11),0)</f>
        <v>0</v>
      </c>
      <c r="O1001" s="14">
        <f t="shared" ca="1" si="188"/>
        <v>29</v>
      </c>
      <c r="P1001" s="19">
        <f t="shared" ca="1" si="189"/>
        <v>27.984999999999999</v>
      </c>
      <c r="Q1001" s="14">
        <f t="shared" ca="1" si="190"/>
        <v>0</v>
      </c>
      <c r="R1001" s="15">
        <f ca="1">VLOOKUP(M1001,'Payment Method'!$A$8:$B$12,2,0)</f>
        <v>3.5000000000000003E-2</v>
      </c>
      <c r="S1001" s="16">
        <f t="shared" ca="1" si="180"/>
        <v>1.0150000000000006</v>
      </c>
      <c r="T1001" s="15">
        <v>0.01</v>
      </c>
      <c r="U1001" s="16">
        <f t="shared" ca="1" si="181"/>
        <v>0.27984999999999971</v>
      </c>
      <c r="V1001" s="14">
        <f t="shared" ca="1" si="182"/>
        <v>0</v>
      </c>
      <c r="W1001" s="14">
        <f t="shared" ca="1" si="183"/>
        <v>27.70515</v>
      </c>
      <c r="X1001" s="13" t="str">
        <f t="shared" ca="1" si="191"/>
        <v>Tiktok</v>
      </c>
      <c r="Y1001" s="79" t="str">
        <f>IF(COUNTIF($C$1:C1000,B1000)=1,10,"")</f>
        <v/>
      </c>
    </row>
  </sheetData>
  <conditionalFormatting sqref="Q2:Q1001">
    <cfRule type="cellIs" dxfId="1" priority="2" operator="greaterThan">
      <formula>0</formula>
    </cfRule>
  </conditionalFormatting>
  <conditionalFormatting sqref="V2:V1001">
    <cfRule type="cellIs" dxfId="0" priority="1" operator="greaterThan">
      <formula>0</formula>
    </cfRule>
  </conditionalFormatting>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13173-0CEA-4D46-95B4-BF03253D996B}">
  <dimension ref="A1:AX150"/>
  <sheetViews>
    <sheetView zoomScale="25" zoomScaleNormal="39" zoomScaleSheetLayoutView="35" zoomScalePageLayoutView="55" workbookViewId="0">
      <selection sqref="A1:AX10"/>
    </sheetView>
  </sheetViews>
  <sheetFormatPr defaultRowHeight="14.4" x14ac:dyDescent="0.3"/>
  <cols>
    <col min="1" max="28" width="10.5546875" customWidth="1"/>
  </cols>
  <sheetData>
    <row r="1" spans="1:50" ht="14.4" customHeight="1" x14ac:dyDescent="0.3">
      <c r="A1" s="112" t="s">
        <v>144</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row>
    <row r="2" spans="1:50" ht="14.4" customHeight="1" x14ac:dyDescent="0.3">
      <c r="A2" s="112"/>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c r="AS2" s="112"/>
      <c r="AT2" s="112"/>
      <c r="AU2" s="112"/>
      <c r="AV2" s="112"/>
      <c r="AW2" s="112"/>
      <c r="AX2" s="112"/>
    </row>
    <row r="3" spans="1:50" ht="14.4" customHeight="1" x14ac:dyDescent="0.3">
      <c r="A3" s="112"/>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2"/>
      <c r="AV3" s="112"/>
      <c r="AW3" s="112"/>
      <c r="AX3" s="112"/>
    </row>
    <row r="4" spans="1:50" ht="14.4" customHeight="1" x14ac:dyDescent="0.3">
      <c r="A4" s="112"/>
      <c r="B4" s="112"/>
      <c r="C4" s="112"/>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12"/>
      <c r="AW4" s="112"/>
      <c r="AX4" s="112"/>
    </row>
    <row r="5" spans="1:50" ht="14.4" customHeight="1" x14ac:dyDescent="0.3">
      <c r="A5" s="112"/>
      <c r="B5" s="112"/>
      <c r="C5" s="112"/>
      <c r="D5" s="112"/>
      <c r="E5" s="112"/>
      <c r="F5" s="112"/>
      <c r="G5" s="112"/>
      <c r="H5" s="112"/>
      <c r="I5" s="112"/>
      <c r="J5" s="112"/>
      <c r="K5" s="112"/>
      <c r="L5" s="112"/>
      <c r="M5" s="112"/>
      <c r="N5" s="112"/>
      <c r="O5" s="112"/>
      <c r="P5" s="112"/>
      <c r="Q5" s="112"/>
      <c r="R5" s="112"/>
      <c r="S5" s="112"/>
      <c r="T5" s="112"/>
      <c r="U5" s="112"/>
      <c r="V5" s="112"/>
      <c r="W5" s="112"/>
      <c r="X5" s="112"/>
      <c r="Y5" s="112"/>
      <c r="Z5" s="112"/>
      <c r="AA5" s="112"/>
      <c r="AB5" s="112"/>
      <c r="AC5" s="112"/>
      <c r="AD5" s="112"/>
      <c r="AE5" s="112"/>
      <c r="AF5" s="112"/>
      <c r="AG5" s="112"/>
      <c r="AH5" s="112"/>
      <c r="AI5" s="112"/>
      <c r="AJ5" s="112"/>
      <c r="AK5" s="112"/>
      <c r="AL5" s="112"/>
      <c r="AM5" s="112"/>
      <c r="AN5" s="112"/>
      <c r="AO5" s="112"/>
      <c r="AP5" s="112"/>
      <c r="AQ5" s="112"/>
      <c r="AR5" s="112"/>
      <c r="AS5" s="112"/>
      <c r="AT5" s="112"/>
      <c r="AU5" s="112"/>
      <c r="AV5" s="112"/>
      <c r="AW5" s="112"/>
      <c r="AX5" s="112"/>
    </row>
    <row r="6" spans="1:50" ht="14.4" customHeight="1" x14ac:dyDescent="0.3">
      <c r="A6" s="112"/>
      <c r="B6" s="112"/>
      <c r="C6" s="112"/>
      <c r="D6" s="112"/>
      <c r="E6" s="112"/>
      <c r="F6" s="112"/>
      <c r="G6" s="112"/>
      <c r="H6" s="112"/>
      <c r="I6" s="112"/>
      <c r="J6" s="112"/>
      <c r="K6" s="112"/>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c r="AX6" s="112"/>
    </row>
    <row r="7" spans="1:50" ht="14.4" customHeight="1" x14ac:dyDescent="0.3">
      <c r="A7" s="112"/>
      <c r="B7" s="112"/>
      <c r="C7" s="112"/>
      <c r="D7" s="112"/>
      <c r="E7" s="112"/>
      <c r="F7" s="112"/>
      <c r="G7" s="112"/>
      <c r="H7" s="112"/>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c r="AM7" s="112"/>
      <c r="AN7" s="112"/>
      <c r="AO7" s="112"/>
      <c r="AP7" s="112"/>
      <c r="AQ7" s="112"/>
      <c r="AR7" s="112"/>
      <c r="AS7" s="112"/>
      <c r="AT7" s="112"/>
      <c r="AU7" s="112"/>
      <c r="AV7" s="112"/>
      <c r="AW7" s="112"/>
      <c r="AX7" s="112"/>
    </row>
    <row r="8" spans="1:50" ht="14.4" customHeight="1" x14ac:dyDescent="0.3">
      <c r="A8" s="112"/>
      <c r="B8" s="112"/>
      <c r="C8" s="112"/>
      <c r="D8" s="112"/>
      <c r="E8" s="112"/>
      <c r="F8" s="112"/>
      <c r="G8" s="112"/>
      <c r="H8" s="112"/>
      <c r="I8" s="112"/>
      <c r="J8" s="112"/>
      <c r="K8" s="112"/>
      <c r="L8" s="112"/>
      <c r="M8" s="112"/>
      <c r="N8" s="112"/>
      <c r="O8" s="112"/>
      <c r="P8" s="112"/>
      <c r="Q8" s="112"/>
      <c r="R8" s="112"/>
      <c r="S8" s="112"/>
      <c r="T8" s="112"/>
      <c r="U8" s="112"/>
      <c r="V8" s="112"/>
      <c r="W8" s="112"/>
      <c r="X8" s="112"/>
      <c r="Y8" s="112"/>
      <c r="Z8" s="112"/>
      <c r="AA8" s="112"/>
      <c r="AB8" s="112"/>
      <c r="AC8" s="112"/>
      <c r="AD8" s="112"/>
      <c r="AE8" s="112"/>
      <c r="AF8" s="112"/>
      <c r="AG8" s="112"/>
      <c r="AH8" s="112"/>
      <c r="AI8" s="112"/>
      <c r="AJ8" s="112"/>
      <c r="AK8" s="112"/>
      <c r="AL8" s="112"/>
      <c r="AM8" s="112"/>
      <c r="AN8" s="112"/>
      <c r="AO8" s="112"/>
      <c r="AP8" s="112"/>
      <c r="AQ8" s="112"/>
      <c r="AR8" s="112"/>
      <c r="AS8" s="112"/>
      <c r="AT8" s="112"/>
      <c r="AU8" s="112"/>
      <c r="AV8" s="112"/>
      <c r="AW8" s="112"/>
      <c r="AX8" s="112"/>
    </row>
    <row r="9" spans="1:50" ht="14.4" customHeight="1" x14ac:dyDescent="0.3">
      <c r="A9" s="112"/>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row>
    <row r="10" spans="1:50" ht="14.4" customHeight="1" x14ac:dyDescent="0.3">
      <c r="A10" s="112"/>
      <c r="B10" s="112"/>
      <c r="C10" s="112"/>
      <c r="D10" s="112"/>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2"/>
      <c r="AE10" s="112"/>
      <c r="AF10" s="112"/>
      <c r="AG10" s="112"/>
      <c r="AH10" s="112"/>
      <c r="AI10" s="112"/>
      <c r="AJ10" s="112"/>
      <c r="AK10" s="112"/>
      <c r="AL10" s="112"/>
      <c r="AM10" s="112"/>
      <c r="AN10" s="112"/>
      <c r="AO10" s="112"/>
      <c r="AP10" s="112"/>
      <c r="AQ10" s="112"/>
      <c r="AR10" s="112"/>
      <c r="AS10" s="112"/>
      <c r="AT10" s="112"/>
      <c r="AU10" s="112"/>
      <c r="AV10" s="112"/>
      <c r="AW10" s="112"/>
      <c r="AX10" s="112"/>
    </row>
    <row r="11" spans="1:50" ht="14.4" customHeight="1" x14ac:dyDescent="0.3">
      <c r="A11" s="113"/>
      <c r="B11" s="114"/>
      <c r="C11" s="114"/>
      <c r="D11" s="114"/>
      <c r="E11" s="114"/>
      <c r="F11" s="114"/>
      <c r="G11" s="114"/>
      <c r="H11" s="114"/>
      <c r="I11" s="114"/>
      <c r="J11" s="114"/>
      <c r="K11" s="114"/>
      <c r="L11" s="114"/>
      <c r="M11" s="114"/>
      <c r="N11" s="114"/>
      <c r="O11" s="114"/>
      <c r="P11" s="114"/>
      <c r="Q11" s="114"/>
      <c r="R11" s="114"/>
      <c r="S11" s="114"/>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4"/>
    </row>
    <row r="12" spans="1:50" ht="14.4" customHeight="1" x14ac:dyDescent="0.3">
      <c r="A12" s="115" t="s">
        <v>164</v>
      </c>
      <c r="B12" s="115"/>
      <c r="C12" s="115"/>
      <c r="D12" s="115"/>
      <c r="E12" s="115"/>
      <c r="F12" s="115"/>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row>
    <row r="13" spans="1:50" ht="14.4" customHeight="1" x14ac:dyDescent="0.3">
      <c r="A13" s="115"/>
      <c r="B13" s="115"/>
      <c r="C13" s="115"/>
      <c r="D13" s="115"/>
      <c r="E13" s="115"/>
      <c r="F13" s="115"/>
      <c r="G13" s="115"/>
      <c r="H13" s="115"/>
      <c r="I13" s="115"/>
      <c r="J13" s="115"/>
      <c r="K13" s="115"/>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row>
    <row r="14" spans="1:50" ht="14.4" customHeight="1" x14ac:dyDescent="0.3">
      <c r="A14" s="115"/>
      <c r="B14" s="115"/>
      <c r="C14" s="115"/>
      <c r="D14" s="115"/>
      <c r="E14" s="115"/>
      <c r="F14" s="115"/>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row>
    <row r="15" spans="1:50" ht="14.4" customHeight="1" x14ac:dyDescent="0.3">
      <c r="A15" s="115"/>
      <c r="B15" s="115"/>
      <c r="C15" s="115"/>
      <c r="D15" s="115"/>
      <c r="E15" s="115"/>
      <c r="F15" s="115"/>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row>
    <row r="16" spans="1:50" ht="14.4" customHeight="1" x14ac:dyDescent="0.3">
      <c r="A16" s="115"/>
      <c r="B16" s="115"/>
      <c r="C16" s="115"/>
      <c r="D16" s="115"/>
      <c r="E16" s="115"/>
      <c r="F16" s="115"/>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row>
    <row r="17" spans="1:50" ht="14.4" customHeight="1" x14ac:dyDescent="0.3">
      <c r="A17" s="115"/>
      <c r="B17" s="115"/>
      <c r="C17" s="115"/>
      <c r="D17" s="115"/>
      <c r="E17" s="115"/>
      <c r="F17" s="115"/>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row>
    <row r="18" spans="1:50" ht="9.6" customHeight="1" x14ac:dyDescent="0.3">
      <c r="A18" s="113"/>
      <c r="B18" s="113"/>
      <c r="C18" s="11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row>
    <row r="19" spans="1:50" ht="14.4" customHeight="1" x14ac:dyDescent="0.3">
      <c r="A19" s="113"/>
      <c r="B19" s="113"/>
      <c r="C19" s="113"/>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row>
    <row r="20" spans="1:50" ht="14.4" customHeight="1" x14ac:dyDescent="0.3">
      <c r="A20" s="116" t="s">
        <v>160</v>
      </c>
      <c r="B20" s="116"/>
      <c r="C20" s="116"/>
      <c r="D20" s="116"/>
      <c r="E20" s="116"/>
      <c r="F20" s="116"/>
      <c r="G20" s="116"/>
      <c r="H20" s="116"/>
      <c r="I20" s="116"/>
      <c r="J20" s="116"/>
      <c r="K20" s="116"/>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3"/>
      <c r="AI20" s="113"/>
      <c r="AJ20" s="113"/>
      <c r="AK20" s="113"/>
      <c r="AL20" s="113"/>
      <c r="AM20" s="113"/>
      <c r="AN20" s="113"/>
      <c r="AO20" s="113"/>
      <c r="AP20" s="113"/>
      <c r="AQ20" s="113"/>
      <c r="AR20" s="113"/>
      <c r="AS20" s="113"/>
      <c r="AT20" s="113"/>
      <c r="AU20" s="113"/>
      <c r="AV20" s="113"/>
      <c r="AW20" s="113"/>
      <c r="AX20" s="113"/>
    </row>
    <row r="21" spans="1:50" ht="43.2" customHeight="1" x14ac:dyDescent="0.3">
      <c r="A21" s="116"/>
      <c r="B21" s="116"/>
      <c r="C21" s="116"/>
      <c r="D21" s="116"/>
      <c r="E21" s="116"/>
      <c r="F21" s="116"/>
      <c r="G21" s="116"/>
      <c r="H21" s="116"/>
      <c r="I21" s="116"/>
      <c r="J21" s="116"/>
      <c r="K21" s="116"/>
      <c r="L21" s="116"/>
      <c r="M21" s="116"/>
      <c r="N21" s="116"/>
      <c r="O21" s="116"/>
      <c r="P21" s="116"/>
      <c r="Q21" s="116"/>
      <c r="R21" s="116"/>
      <c r="S21" s="116"/>
      <c r="T21" s="116"/>
      <c r="U21" s="116"/>
      <c r="V21" s="116"/>
      <c r="W21" s="116"/>
      <c r="X21" s="116"/>
      <c r="Y21" s="116"/>
      <c r="Z21" s="116"/>
      <c r="AA21" s="116"/>
      <c r="AB21" s="116"/>
      <c r="AC21" s="116"/>
      <c r="AD21" s="116"/>
      <c r="AE21" s="116"/>
      <c r="AF21" s="116"/>
      <c r="AG21" s="116"/>
      <c r="AH21" s="113"/>
      <c r="AI21" s="113"/>
      <c r="AJ21" s="113"/>
      <c r="AK21" s="113"/>
      <c r="AL21" s="113"/>
      <c r="AM21" s="113"/>
      <c r="AN21" s="113"/>
      <c r="AO21" s="117"/>
      <c r="AP21" s="117"/>
      <c r="AQ21" s="117"/>
      <c r="AR21" s="117"/>
      <c r="AS21" s="117"/>
      <c r="AT21" s="117"/>
      <c r="AU21" s="117"/>
      <c r="AV21" s="117"/>
      <c r="AW21" s="117"/>
      <c r="AX21" s="113"/>
    </row>
    <row r="22" spans="1:50" ht="14.4" customHeight="1" x14ac:dyDescent="0.3">
      <c r="A22" s="116"/>
      <c r="B22" s="116"/>
      <c r="C22" s="116"/>
      <c r="D22" s="116"/>
      <c r="E22" s="116"/>
      <c r="F22" s="116"/>
      <c r="G22" s="116"/>
      <c r="H22" s="116"/>
      <c r="I22" s="116"/>
      <c r="J22" s="116"/>
      <c r="K22" s="116"/>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3"/>
      <c r="AI22" s="113"/>
      <c r="AJ22" s="113"/>
      <c r="AK22" s="113"/>
      <c r="AL22" s="113"/>
      <c r="AM22" s="113"/>
      <c r="AN22" s="113"/>
      <c r="AO22" s="117"/>
      <c r="AP22" s="117"/>
      <c r="AQ22" s="117"/>
      <c r="AR22" s="117"/>
      <c r="AS22" s="117"/>
      <c r="AT22" s="117"/>
      <c r="AU22" s="117"/>
      <c r="AV22" s="117"/>
      <c r="AW22" s="117"/>
      <c r="AX22" s="113"/>
    </row>
    <row r="23" spans="1:50" ht="14.4" customHeight="1" x14ac:dyDescent="0.3">
      <c r="A23" s="113"/>
      <c r="B23" s="113"/>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4"/>
      <c r="AC23" s="114"/>
      <c r="AD23" s="114"/>
      <c r="AE23" s="113"/>
      <c r="AF23" s="113"/>
      <c r="AG23" s="113"/>
      <c r="AH23" s="113"/>
      <c r="AI23" s="113"/>
      <c r="AJ23" s="113"/>
      <c r="AK23" s="113"/>
      <c r="AL23" s="113"/>
      <c r="AM23" s="113"/>
      <c r="AN23" s="113"/>
      <c r="AO23" s="113"/>
      <c r="AP23" s="113"/>
      <c r="AQ23" s="113"/>
      <c r="AR23" s="113"/>
      <c r="AS23" s="113"/>
      <c r="AT23" s="113"/>
      <c r="AU23" s="113"/>
      <c r="AV23" s="113"/>
      <c r="AW23" s="113"/>
      <c r="AX23" s="113"/>
    </row>
    <row r="24" spans="1:50" ht="14.4" customHeight="1" x14ac:dyDescent="0.3">
      <c r="A24" s="113"/>
      <c r="B24" s="113"/>
      <c r="C24" s="114"/>
      <c r="D24" s="114"/>
      <c r="E24" s="114"/>
      <c r="F24" s="114"/>
      <c r="G24" s="114"/>
      <c r="H24" s="114"/>
      <c r="I24" s="114"/>
      <c r="J24" s="114"/>
      <c r="K24" s="114"/>
      <c r="L24" s="114"/>
      <c r="M24" s="114"/>
      <c r="N24" s="114"/>
      <c r="O24" s="114"/>
      <c r="P24" s="114"/>
      <c r="Q24" s="114"/>
      <c r="R24" s="114"/>
      <c r="S24" s="114"/>
      <c r="T24" s="114"/>
      <c r="U24" s="114"/>
      <c r="V24" s="114"/>
      <c r="W24" s="114"/>
      <c r="X24" s="114"/>
      <c r="Y24" s="114"/>
      <c r="Z24" s="114"/>
      <c r="AA24" s="114"/>
      <c r="AB24" s="114"/>
      <c r="AC24" s="114"/>
      <c r="AD24" s="114"/>
      <c r="AE24" s="113"/>
      <c r="AF24" s="113"/>
      <c r="AG24" s="113"/>
      <c r="AH24" s="113"/>
      <c r="AI24" s="113"/>
      <c r="AJ24" s="113"/>
      <c r="AK24" s="113"/>
      <c r="AL24" s="113"/>
      <c r="AM24" s="113"/>
      <c r="AN24" s="113"/>
      <c r="AO24" s="113"/>
      <c r="AP24" s="113"/>
      <c r="AQ24" s="113"/>
      <c r="AR24" s="113"/>
      <c r="AS24" s="113"/>
      <c r="AT24" s="113"/>
      <c r="AU24" s="113"/>
      <c r="AV24" s="113"/>
      <c r="AW24" s="113"/>
      <c r="AX24" s="113"/>
    </row>
    <row r="25" spans="1:50" x14ac:dyDescent="0.3">
      <c r="A25" s="113"/>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c r="AR25" s="113"/>
      <c r="AS25" s="113"/>
      <c r="AT25" s="113"/>
      <c r="AU25" s="113"/>
      <c r="AV25" s="113"/>
      <c r="AW25" s="113"/>
      <c r="AX25" s="113"/>
    </row>
    <row r="26" spans="1:50" x14ac:dyDescent="0.3">
      <c r="A26" s="113"/>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c r="AO26" s="113"/>
      <c r="AP26" s="113"/>
      <c r="AQ26" s="113"/>
      <c r="AR26" s="113"/>
      <c r="AS26" s="113"/>
      <c r="AT26" s="113"/>
      <c r="AU26" s="113"/>
      <c r="AV26" s="113"/>
      <c r="AW26" s="113"/>
      <c r="AX26" s="113"/>
    </row>
    <row r="27" spans="1:50" x14ac:dyDescent="0.3">
      <c r="A27" s="113"/>
      <c r="B27" s="113"/>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c r="AO27" s="113"/>
      <c r="AP27" s="113"/>
      <c r="AQ27" s="113"/>
      <c r="AR27" s="113"/>
      <c r="AS27" s="113"/>
      <c r="AT27" s="113"/>
      <c r="AU27" s="113"/>
      <c r="AV27" s="113"/>
      <c r="AW27" s="113"/>
      <c r="AX27" s="113"/>
    </row>
    <row r="28" spans="1:50" x14ac:dyDescent="0.3">
      <c r="A28" s="113"/>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c r="AO28" s="113"/>
      <c r="AP28" s="113"/>
      <c r="AQ28" s="113"/>
      <c r="AR28" s="113"/>
      <c r="AS28" s="113"/>
      <c r="AT28" s="113"/>
      <c r="AU28" s="113"/>
      <c r="AV28" s="113"/>
      <c r="AW28" s="113"/>
      <c r="AX28" s="113"/>
    </row>
    <row r="29" spans="1:50" x14ac:dyDescent="0.3">
      <c r="A29" s="113"/>
      <c r="B29" s="113"/>
      <c r="C29" s="113"/>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c r="AR29" s="113"/>
      <c r="AS29" s="113"/>
      <c r="AT29" s="113"/>
      <c r="AU29" s="113"/>
      <c r="AV29" s="113"/>
      <c r="AW29" s="113"/>
      <c r="AX29" s="113"/>
    </row>
    <row r="30" spans="1:50" ht="14.4" customHeight="1" x14ac:dyDescent="0.3">
      <c r="A30" s="113"/>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6"/>
      <c r="AL30" s="116"/>
      <c r="AM30" s="116"/>
      <c r="AN30" s="116"/>
      <c r="AO30" s="116"/>
      <c r="AP30" s="116"/>
      <c r="AQ30" s="116"/>
      <c r="AR30" s="116"/>
      <c r="AS30" s="116"/>
      <c r="AT30" s="116"/>
      <c r="AU30" s="116"/>
      <c r="AV30" s="116"/>
      <c r="AW30" s="113"/>
      <c r="AX30" s="113"/>
    </row>
    <row r="31" spans="1:50" ht="14.4" customHeight="1" x14ac:dyDescent="0.3">
      <c r="A31" s="113"/>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6"/>
      <c r="AL31" s="116"/>
      <c r="AM31" s="116"/>
      <c r="AN31" s="116"/>
      <c r="AO31" s="116"/>
      <c r="AP31" s="116"/>
      <c r="AQ31" s="116"/>
      <c r="AR31" s="116"/>
      <c r="AS31" s="116"/>
      <c r="AT31" s="116"/>
      <c r="AU31" s="116"/>
      <c r="AV31" s="116"/>
      <c r="AW31" s="113"/>
      <c r="AX31" s="113"/>
    </row>
    <row r="32" spans="1:50" ht="15" thickBot="1" x14ac:dyDescent="0.35">
      <c r="A32" s="113"/>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6"/>
      <c r="AL32" s="116"/>
      <c r="AM32" s="116"/>
      <c r="AN32" s="116"/>
      <c r="AO32" s="116"/>
      <c r="AP32" s="116"/>
      <c r="AQ32" s="116"/>
      <c r="AR32" s="116"/>
      <c r="AS32" s="116"/>
      <c r="AT32" s="116"/>
      <c r="AU32" s="116"/>
      <c r="AV32" s="116"/>
      <c r="AW32" s="113"/>
      <c r="AX32" s="113"/>
    </row>
    <row r="33" spans="1:50" x14ac:dyDescent="0.3">
      <c r="A33" s="113"/>
      <c r="B33" s="118"/>
      <c r="C33" s="118"/>
      <c r="D33" s="118"/>
      <c r="E33" s="118"/>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6"/>
      <c r="AL33" s="116"/>
      <c r="AM33" s="116"/>
      <c r="AN33" s="116"/>
      <c r="AO33" s="116"/>
      <c r="AP33" s="116"/>
      <c r="AQ33" s="116"/>
      <c r="AR33" s="116"/>
      <c r="AS33" s="116"/>
      <c r="AT33" s="116"/>
      <c r="AU33" s="116"/>
      <c r="AV33" s="116"/>
      <c r="AW33" s="113"/>
      <c r="AX33" s="113"/>
    </row>
    <row r="34" spans="1:50" ht="15" customHeight="1" thickBot="1" x14ac:dyDescent="0.35">
      <c r="A34" s="119"/>
      <c r="B34" s="119"/>
      <c r="C34" s="119"/>
      <c r="D34" s="119"/>
      <c r="E34" s="119"/>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20" t="s">
        <v>159</v>
      </c>
      <c r="AL34" s="120"/>
      <c r="AM34" s="120"/>
      <c r="AN34" s="120"/>
      <c r="AO34" s="120"/>
      <c r="AP34" s="120"/>
      <c r="AQ34" s="120"/>
      <c r="AR34" s="120"/>
      <c r="AS34" s="120"/>
      <c r="AT34" s="120"/>
      <c r="AU34" s="120"/>
      <c r="AV34" s="120"/>
      <c r="AW34" s="113"/>
      <c r="AX34" s="113"/>
    </row>
    <row r="35" spans="1:50" ht="14.4" customHeight="1" x14ac:dyDescent="0.3">
      <c r="A35" s="121"/>
      <c r="B35" s="122"/>
      <c r="C35" s="122"/>
      <c r="D35" s="122"/>
      <c r="E35" s="122"/>
      <c r="F35" s="123"/>
      <c r="G35" s="113"/>
      <c r="H35" s="113"/>
      <c r="I35" s="121"/>
      <c r="J35" s="122"/>
      <c r="K35" s="122"/>
      <c r="L35" s="122"/>
      <c r="M35" s="122"/>
      <c r="N35" s="123"/>
      <c r="O35" s="113"/>
      <c r="P35" s="113"/>
      <c r="Q35" s="113"/>
      <c r="R35" s="121"/>
      <c r="S35" s="122"/>
      <c r="T35" s="122"/>
      <c r="U35" s="122"/>
      <c r="V35" s="122"/>
      <c r="W35" s="123"/>
      <c r="X35" s="113"/>
      <c r="Y35" s="113"/>
      <c r="Z35" s="121"/>
      <c r="AA35" s="122"/>
      <c r="AB35" s="122"/>
      <c r="AC35" s="122"/>
      <c r="AD35" s="122"/>
      <c r="AE35" s="122"/>
      <c r="AF35" s="123"/>
      <c r="AG35" s="113"/>
      <c r="AH35" s="113"/>
      <c r="AI35" s="113"/>
      <c r="AJ35" s="113"/>
      <c r="AK35" s="120"/>
      <c r="AL35" s="120"/>
      <c r="AM35" s="120"/>
      <c r="AN35" s="120"/>
      <c r="AO35" s="120"/>
      <c r="AP35" s="120"/>
      <c r="AQ35" s="120"/>
      <c r="AR35" s="120"/>
      <c r="AS35" s="120"/>
      <c r="AT35" s="120"/>
      <c r="AU35" s="120"/>
      <c r="AV35" s="120"/>
      <c r="AW35" s="113"/>
      <c r="AX35" s="113"/>
    </row>
    <row r="36" spans="1:50" ht="14.4" customHeight="1" x14ac:dyDescent="0.3">
      <c r="A36" s="124"/>
      <c r="B36" s="125"/>
      <c r="C36" s="125"/>
      <c r="D36" s="125"/>
      <c r="E36" s="125"/>
      <c r="F36" s="126"/>
      <c r="G36" s="113"/>
      <c r="H36" s="113"/>
      <c r="I36" s="124"/>
      <c r="J36" s="125"/>
      <c r="K36" s="125"/>
      <c r="L36" s="125"/>
      <c r="M36" s="125"/>
      <c r="N36" s="126"/>
      <c r="O36" s="113"/>
      <c r="P36" s="113"/>
      <c r="Q36" s="113"/>
      <c r="R36" s="124"/>
      <c r="S36" s="125"/>
      <c r="T36" s="125"/>
      <c r="U36" s="125"/>
      <c r="V36" s="125"/>
      <c r="W36" s="126"/>
      <c r="X36" s="113"/>
      <c r="Y36" s="113"/>
      <c r="Z36" s="124"/>
      <c r="AA36" s="125"/>
      <c r="AB36" s="125"/>
      <c r="AC36" s="125"/>
      <c r="AD36" s="125"/>
      <c r="AE36" s="125"/>
      <c r="AF36" s="126"/>
      <c r="AG36" s="113"/>
      <c r="AH36" s="113"/>
      <c r="AI36" s="113"/>
      <c r="AJ36" s="113"/>
      <c r="AK36" s="120"/>
      <c r="AL36" s="120"/>
      <c r="AM36" s="120"/>
      <c r="AN36" s="120"/>
      <c r="AO36" s="120"/>
      <c r="AP36" s="120"/>
      <c r="AQ36" s="120"/>
      <c r="AR36" s="120"/>
      <c r="AS36" s="120"/>
      <c r="AT36" s="120"/>
      <c r="AU36" s="120"/>
      <c r="AV36" s="120"/>
      <c r="AW36" s="113"/>
      <c r="AX36" s="113"/>
    </row>
    <row r="37" spans="1:50" ht="14.4" customHeight="1" x14ac:dyDescent="0.3">
      <c r="A37" s="124"/>
      <c r="B37" s="125"/>
      <c r="C37" s="125"/>
      <c r="D37" s="125"/>
      <c r="E37" s="125"/>
      <c r="F37" s="126"/>
      <c r="G37" s="113"/>
      <c r="H37" s="113"/>
      <c r="I37" s="124"/>
      <c r="J37" s="125"/>
      <c r="K37" s="125"/>
      <c r="L37" s="125"/>
      <c r="M37" s="125"/>
      <c r="N37" s="126"/>
      <c r="O37" s="113"/>
      <c r="P37" s="113"/>
      <c r="Q37" s="113"/>
      <c r="R37" s="124"/>
      <c r="S37" s="125"/>
      <c r="T37" s="125"/>
      <c r="U37" s="125"/>
      <c r="V37" s="125"/>
      <c r="W37" s="126"/>
      <c r="X37" s="113"/>
      <c r="Y37" s="113"/>
      <c r="Z37" s="124"/>
      <c r="AA37" s="125"/>
      <c r="AB37" s="125"/>
      <c r="AC37" s="125"/>
      <c r="AD37" s="125"/>
      <c r="AE37" s="125"/>
      <c r="AF37" s="126"/>
      <c r="AG37" s="113"/>
      <c r="AH37" s="113"/>
      <c r="AI37" s="113"/>
      <c r="AJ37" s="113"/>
      <c r="AK37" s="120"/>
      <c r="AL37" s="120"/>
      <c r="AM37" s="120"/>
      <c r="AN37" s="120"/>
      <c r="AO37" s="120"/>
      <c r="AP37" s="120"/>
      <c r="AQ37" s="120"/>
      <c r="AR37" s="120"/>
      <c r="AS37" s="120"/>
      <c r="AT37" s="120"/>
      <c r="AU37" s="120"/>
      <c r="AV37" s="120"/>
      <c r="AW37" s="113"/>
      <c r="AX37" s="113"/>
    </row>
    <row r="38" spans="1:50" ht="14.4" customHeight="1" x14ac:dyDescent="0.3">
      <c r="A38" s="124"/>
      <c r="B38" s="125"/>
      <c r="C38" s="125"/>
      <c r="D38" s="125"/>
      <c r="E38" s="125"/>
      <c r="F38" s="126"/>
      <c r="G38" s="113"/>
      <c r="H38" s="113"/>
      <c r="I38" s="124"/>
      <c r="J38" s="125"/>
      <c r="K38" s="125"/>
      <c r="L38" s="125"/>
      <c r="M38" s="125"/>
      <c r="N38" s="126"/>
      <c r="O38" s="113"/>
      <c r="P38" s="113"/>
      <c r="Q38" s="113"/>
      <c r="R38" s="124"/>
      <c r="S38" s="125"/>
      <c r="T38" s="125"/>
      <c r="U38" s="125"/>
      <c r="V38" s="125"/>
      <c r="W38" s="126"/>
      <c r="X38" s="113"/>
      <c r="Y38" s="113"/>
      <c r="Z38" s="124"/>
      <c r="AA38" s="125"/>
      <c r="AB38" s="125"/>
      <c r="AC38" s="125"/>
      <c r="AD38" s="125"/>
      <c r="AE38" s="125"/>
      <c r="AF38" s="126"/>
      <c r="AG38" s="113"/>
      <c r="AH38" s="113"/>
      <c r="AI38" s="113"/>
      <c r="AJ38" s="113"/>
      <c r="AK38" s="120"/>
      <c r="AL38" s="120"/>
      <c r="AM38" s="120"/>
      <c r="AN38" s="120"/>
      <c r="AO38" s="120"/>
      <c r="AP38" s="120"/>
      <c r="AQ38" s="120"/>
      <c r="AR38" s="120"/>
      <c r="AS38" s="120"/>
      <c r="AT38" s="120"/>
      <c r="AU38" s="120"/>
      <c r="AV38" s="120"/>
      <c r="AW38" s="113"/>
      <c r="AX38" s="113"/>
    </row>
    <row r="39" spans="1:50" ht="15" customHeight="1" thickBot="1" x14ac:dyDescent="0.35">
      <c r="A39" s="124"/>
      <c r="B39" s="125"/>
      <c r="C39" s="125"/>
      <c r="D39" s="125"/>
      <c r="E39" s="125"/>
      <c r="F39" s="126"/>
      <c r="G39" s="113"/>
      <c r="H39" s="113"/>
      <c r="I39" s="124"/>
      <c r="J39" s="125"/>
      <c r="K39" s="125"/>
      <c r="L39" s="125"/>
      <c r="M39" s="125"/>
      <c r="N39" s="126"/>
      <c r="O39" s="113"/>
      <c r="P39" s="113"/>
      <c r="Q39" s="113"/>
      <c r="R39" s="127"/>
      <c r="S39" s="128"/>
      <c r="T39" s="128"/>
      <c r="U39" s="128"/>
      <c r="V39" s="128"/>
      <c r="W39" s="129"/>
      <c r="X39" s="113"/>
      <c r="Y39" s="113"/>
      <c r="Z39" s="127"/>
      <c r="AA39" s="128"/>
      <c r="AB39" s="128"/>
      <c r="AC39" s="128"/>
      <c r="AD39" s="128"/>
      <c r="AE39" s="128"/>
      <c r="AF39" s="129"/>
      <c r="AG39" s="113"/>
      <c r="AH39" s="113"/>
      <c r="AI39" s="113"/>
      <c r="AJ39" s="113"/>
      <c r="AK39" s="120"/>
      <c r="AL39" s="120"/>
      <c r="AM39" s="120"/>
      <c r="AN39" s="120"/>
      <c r="AO39" s="120"/>
      <c r="AP39" s="120"/>
      <c r="AQ39" s="120"/>
      <c r="AR39" s="120"/>
      <c r="AS39" s="120"/>
      <c r="AT39" s="120"/>
      <c r="AU39" s="120"/>
      <c r="AV39" s="120"/>
      <c r="AW39" s="113"/>
      <c r="AX39" s="113"/>
    </row>
    <row r="40" spans="1:50" ht="15" customHeight="1" thickBot="1" x14ac:dyDescent="0.35">
      <c r="A40" s="127"/>
      <c r="B40" s="128"/>
      <c r="C40" s="128"/>
      <c r="D40" s="128"/>
      <c r="E40" s="128"/>
      <c r="F40" s="129"/>
      <c r="G40" s="113"/>
      <c r="H40" s="113"/>
      <c r="I40" s="127"/>
      <c r="J40" s="128"/>
      <c r="K40" s="128"/>
      <c r="L40" s="128"/>
      <c r="M40" s="128"/>
      <c r="N40" s="129"/>
      <c r="O40" s="119"/>
      <c r="P40" s="119"/>
      <c r="Q40" s="119"/>
      <c r="R40" s="119"/>
      <c r="S40" s="119"/>
      <c r="T40" s="119"/>
      <c r="U40" s="113"/>
      <c r="V40" s="119"/>
      <c r="W40" s="119"/>
      <c r="X40" s="119"/>
      <c r="Y40" s="119"/>
      <c r="Z40" s="119"/>
      <c r="AA40" s="119"/>
      <c r="AB40" s="113"/>
      <c r="AC40" s="113"/>
      <c r="AD40" s="113"/>
      <c r="AE40" s="113"/>
      <c r="AF40" s="113"/>
      <c r="AG40" s="113"/>
      <c r="AH40" s="113"/>
      <c r="AI40" s="113"/>
      <c r="AJ40" s="113"/>
      <c r="AK40" s="120"/>
      <c r="AL40" s="120"/>
      <c r="AM40" s="120"/>
      <c r="AN40" s="120"/>
      <c r="AO40" s="120"/>
      <c r="AP40" s="120"/>
      <c r="AQ40" s="120"/>
      <c r="AR40" s="120"/>
      <c r="AS40" s="120"/>
      <c r="AT40" s="120"/>
      <c r="AU40" s="120"/>
      <c r="AV40" s="120"/>
      <c r="AW40" s="113"/>
      <c r="AX40" s="113"/>
    </row>
    <row r="41" spans="1:50" ht="14.4" customHeight="1" x14ac:dyDescent="0.3">
      <c r="A41" s="113"/>
      <c r="B41" s="113"/>
      <c r="C41" s="113"/>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20"/>
      <c r="AL41" s="120"/>
      <c r="AM41" s="120"/>
      <c r="AN41" s="120"/>
      <c r="AO41" s="120"/>
      <c r="AP41" s="120"/>
      <c r="AQ41" s="120"/>
      <c r="AR41" s="120"/>
      <c r="AS41" s="120"/>
      <c r="AT41" s="120"/>
      <c r="AU41" s="120"/>
      <c r="AV41" s="120"/>
      <c r="AW41" s="113"/>
      <c r="AX41" s="113"/>
    </row>
    <row r="42" spans="1:50" ht="14.4" customHeight="1" x14ac:dyDescent="0.3">
      <c r="A42" s="113"/>
      <c r="B42" s="113"/>
      <c r="C42" s="113"/>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30"/>
      <c r="AL42" s="130"/>
      <c r="AM42" s="130"/>
      <c r="AN42" s="130"/>
      <c r="AO42" s="130"/>
      <c r="AP42" s="130"/>
      <c r="AQ42" s="130"/>
      <c r="AR42" s="130"/>
      <c r="AS42" s="130"/>
      <c r="AT42" s="130"/>
      <c r="AU42" s="130"/>
      <c r="AV42" s="130"/>
      <c r="AW42" s="113"/>
      <c r="AX42" s="113"/>
    </row>
    <row r="43" spans="1:50" ht="14.4" customHeight="1" x14ac:dyDescent="0.3">
      <c r="A43" s="113"/>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30"/>
      <c r="AL43" s="130"/>
      <c r="AM43" s="130"/>
      <c r="AN43" s="130"/>
      <c r="AO43" s="130"/>
      <c r="AP43" s="130"/>
      <c r="AQ43" s="130"/>
      <c r="AR43" s="130"/>
      <c r="AS43" s="130"/>
      <c r="AT43" s="130"/>
      <c r="AU43" s="130"/>
      <c r="AV43" s="130"/>
      <c r="AW43" s="113"/>
      <c r="AX43" s="113"/>
    </row>
    <row r="44" spans="1:50" ht="14.4" customHeight="1" x14ac:dyDescent="0.3">
      <c r="A44" s="113"/>
      <c r="B44" s="113"/>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30"/>
      <c r="AL44" s="130"/>
      <c r="AM44" s="130"/>
      <c r="AN44" s="130"/>
      <c r="AO44" s="130"/>
      <c r="AP44" s="130"/>
      <c r="AQ44" s="130"/>
      <c r="AR44" s="130"/>
      <c r="AS44" s="130"/>
      <c r="AT44" s="130"/>
      <c r="AU44" s="130"/>
      <c r="AV44" s="130"/>
      <c r="AW44" s="113"/>
      <c r="AX44" s="113"/>
    </row>
    <row r="45" spans="1:50" ht="14.4" customHeight="1" x14ac:dyDescent="0.3">
      <c r="A45" s="116" t="s">
        <v>163</v>
      </c>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3"/>
      <c r="AH45" s="113"/>
      <c r="AI45" s="113"/>
      <c r="AJ45" s="113"/>
      <c r="AK45" s="130"/>
      <c r="AL45" s="130"/>
      <c r="AM45" s="130"/>
      <c r="AN45" s="130"/>
      <c r="AO45" s="130"/>
      <c r="AP45" s="130"/>
      <c r="AQ45" s="130"/>
      <c r="AR45" s="130"/>
      <c r="AS45" s="130"/>
      <c r="AT45" s="130"/>
      <c r="AU45" s="130"/>
      <c r="AV45" s="130"/>
      <c r="AW45" s="113"/>
      <c r="AX45" s="113"/>
    </row>
    <row r="46" spans="1:50" ht="14.4" customHeight="1" x14ac:dyDescent="0.3">
      <c r="A46" s="116"/>
      <c r="B46" s="116"/>
      <c r="C46" s="116"/>
      <c r="D46" s="116"/>
      <c r="E46" s="116"/>
      <c r="F46" s="116"/>
      <c r="G46" s="116"/>
      <c r="H46" s="116"/>
      <c r="I46" s="116"/>
      <c r="J46" s="116"/>
      <c r="K46" s="116"/>
      <c r="L46" s="116"/>
      <c r="M46" s="116"/>
      <c r="N46" s="116"/>
      <c r="O46" s="116"/>
      <c r="P46" s="116"/>
      <c r="Q46" s="116"/>
      <c r="R46" s="116"/>
      <c r="S46" s="116"/>
      <c r="T46" s="116"/>
      <c r="U46" s="116"/>
      <c r="V46" s="116"/>
      <c r="W46" s="116"/>
      <c r="X46" s="116"/>
      <c r="Y46" s="116"/>
      <c r="Z46" s="116"/>
      <c r="AA46" s="116"/>
      <c r="AB46" s="116"/>
      <c r="AC46" s="116"/>
      <c r="AD46" s="116"/>
      <c r="AE46" s="116"/>
      <c r="AF46" s="116"/>
      <c r="AG46" s="113"/>
      <c r="AH46" s="113"/>
      <c r="AI46" s="113"/>
      <c r="AJ46" s="113"/>
      <c r="AK46" s="130"/>
      <c r="AL46" s="130"/>
      <c r="AM46" s="130"/>
      <c r="AN46" s="130"/>
      <c r="AO46" s="130"/>
      <c r="AP46" s="130"/>
      <c r="AQ46" s="130"/>
      <c r="AR46" s="130"/>
      <c r="AS46" s="130"/>
      <c r="AT46" s="130"/>
      <c r="AU46" s="130"/>
      <c r="AV46" s="130"/>
      <c r="AW46" s="113"/>
      <c r="AX46" s="113"/>
    </row>
    <row r="47" spans="1:50" ht="14.4" customHeight="1" x14ac:dyDescent="0.3">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3"/>
      <c r="AH47" s="113"/>
      <c r="AI47" s="113"/>
      <c r="AJ47" s="113"/>
      <c r="AK47" s="130"/>
      <c r="AL47" s="130"/>
      <c r="AM47" s="130"/>
      <c r="AN47" s="130"/>
      <c r="AO47" s="130"/>
      <c r="AP47" s="130"/>
      <c r="AQ47" s="130"/>
      <c r="AR47" s="130"/>
      <c r="AS47" s="130"/>
      <c r="AT47" s="130"/>
      <c r="AU47" s="130"/>
      <c r="AV47" s="130"/>
      <c r="AW47" s="113"/>
      <c r="AX47" s="113"/>
    </row>
    <row r="48" spans="1:50" ht="14.4" customHeight="1" x14ac:dyDescent="0.3">
      <c r="A48" s="116"/>
      <c r="B48" s="116"/>
      <c r="C48" s="116"/>
      <c r="D48" s="116"/>
      <c r="E48" s="116"/>
      <c r="F48" s="116"/>
      <c r="G48" s="116"/>
      <c r="H48" s="116"/>
      <c r="I48" s="116"/>
      <c r="J48" s="116"/>
      <c r="K48" s="116"/>
      <c r="L48" s="116"/>
      <c r="M48" s="116"/>
      <c r="N48" s="116"/>
      <c r="O48" s="116"/>
      <c r="P48" s="116"/>
      <c r="Q48" s="116"/>
      <c r="R48" s="116"/>
      <c r="S48" s="116"/>
      <c r="T48" s="116"/>
      <c r="U48" s="116"/>
      <c r="V48" s="116"/>
      <c r="W48" s="116"/>
      <c r="X48" s="116"/>
      <c r="Y48" s="116"/>
      <c r="Z48" s="116"/>
      <c r="AA48" s="116"/>
      <c r="AB48" s="116"/>
      <c r="AC48" s="116"/>
      <c r="AD48" s="116"/>
      <c r="AE48" s="116"/>
      <c r="AF48" s="116"/>
      <c r="AG48" s="113"/>
      <c r="AH48" s="113"/>
      <c r="AI48" s="113"/>
      <c r="AJ48" s="113"/>
      <c r="AK48" s="113"/>
      <c r="AL48" s="113"/>
      <c r="AM48" s="113"/>
      <c r="AN48" s="113"/>
      <c r="AO48" s="113"/>
      <c r="AP48" s="113"/>
      <c r="AQ48" s="113"/>
      <c r="AR48" s="113"/>
      <c r="AS48" s="113"/>
      <c r="AT48" s="113"/>
      <c r="AU48" s="113"/>
      <c r="AV48" s="113"/>
      <c r="AW48" s="113"/>
      <c r="AX48" s="113"/>
    </row>
    <row r="49" spans="1:50" ht="14.4" customHeight="1" x14ac:dyDescent="0.3">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3"/>
      <c r="AH49" s="113"/>
      <c r="AI49" s="113"/>
      <c r="AJ49" s="113"/>
      <c r="AK49" s="113"/>
      <c r="AL49" s="113"/>
      <c r="AM49" s="113"/>
      <c r="AN49" s="113"/>
      <c r="AO49" s="113"/>
      <c r="AP49" s="113"/>
      <c r="AQ49" s="113"/>
      <c r="AR49" s="113"/>
      <c r="AS49" s="113"/>
      <c r="AT49" s="113"/>
      <c r="AU49" s="113"/>
      <c r="AV49" s="113"/>
      <c r="AW49" s="113"/>
      <c r="AX49" s="113"/>
    </row>
    <row r="50" spans="1:50" ht="14.4" customHeight="1" x14ac:dyDescent="0.3">
      <c r="A50" s="116"/>
      <c r="B50" s="116"/>
      <c r="C50" s="116"/>
      <c r="D50" s="116"/>
      <c r="E50" s="116"/>
      <c r="F50" s="116"/>
      <c r="G50" s="116"/>
      <c r="H50" s="116"/>
      <c r="I50" s="116"/>
      <c r="J50" s="116"/>
      <c r="K50" s="116"/>
      <c r="L50" s="116"/>
      <c r="M50" s="116"/>
      <c r="N50" s="116"/>
      <c r="O50" s="116"/>
      <c r="P50" s="116"/>
      <c r="Q50" s="116"/>
      <c r="R50" s="116"/>
      <c r="S50" s="116"/>
      <c r="T50" s="116"/>
      <c r="U50" s="116"/>
      <c r="V50" s="116"/>
      <c r="W50" s="116"/>
      <c r="X50" s="116"/>
      <c r="Y50" s="116"/>
      <c r="Z50" s="116"/>
      <c r="AA50" s="116"/>
      <c r="AB50" s="116"/>
      <c r="AC50" s="116"/>
      <c r="AD50" s="116"/>
      <c r="AE50" s="116"/>
      <c r="AF50" s="116"/>
      <c r="AG50" s="113"/>
      <c r="AH50" s="113"/>
      <c r="AI50" s="113"/>
      <c r="AJ50" s="113"/>
      <c r="AK50" s="113"/>
      <c r="AL50" s="113"/>
      <c r="AM50" s="113"/>
      <c r="AN50" s="113"/>
      <c r="AO50" s="113"/>
      <c r="AP50" s="113"/>
      <c r="AQ50" s="113"/>
      <c r="AR50" s="113"/>
      <c r="AS50" s="113"/>
      <c r="AT50" s="113"/>
      <c r="AU50" s="113"/>
      <c r="AV50" s="113"/>
      <c r="AW50" s="113"/>
      <c r="AX50" s="113"/>
    </row>
    <row r="51" spans="1:50" x14ac:dyDescent="0.3">
      <c r="A51" s="113"/>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113"/>
    </row>
    <row r="52" spans="1:50" x14ac:dyDescent="0.3">
      <c r="A52" s="113"/>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c r="AT52" s="113"/>
      <c r="AU52" s="113"/>
      <c r="AV52" s="113"/>
      <c r="AW52" s="113"/>
      <c r="AX52" s="113"/>
    </row>
    <row r="53" spans="1:50" x14ac:dyDescent="0.3">
      <c r="A53" s="113"/>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c r="AO53" s="113"/>
      <c r="AP53" s="113"/>
      <c r="AQ53" s="113"/>
      <c r="AR53" s="113"/>
      <c r="AS53" s="113"/>
      <c r="AT53" s="113"/>
      <c r="AU53" s="113"/>
      <c r="AV53" s="113"/>
      <c r="AW53" s="113"/>
      <c r="AX53" s="113"/>
    </row>
    <row r="54" spans="1:50" x14ac:dyDescent="0.3">
      <c r="A54" s="113"/>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c r="AO54" s="113"/>
      <c r="AP54" s="113"/>
      <c r="AQ54" s="113"/>
      <c r="AR54" s="113"/>
      <c r="AS54" s="113"/>
      <c r="AT54" s="113"/>
      <c r="AU54" s="113"/>
      <c r="AV54" s="113"/>
      <c r="AW54" s="113"/>
      <c r="AX54" s="113"/>
    </row>
    <row r="55" spans="1:50" x14ac:dyDescent="0.3">
      <c r="A55" s="113"/>
      <c r="B55" s="113"/>
      <c r="C55" s="113"/>
      <c r="D55" s="113"/>
      <c r="E55" s="113"/>
      <c r="F55" s="113"/>
      <c r="G55" s="113"/>
      <c r="H55" s="113"/>
      <c r="I55" s="113"/>
      <c r="J55" s="113"/>
      <c r="K55" s="113"/>
      <c r="L55" s="113"/>
      <c r="M55" s="113"/>
      <c r="N55" s="113"/>
      <c r="O55" s="113"/>
      <c r="P55" s="113"/>
      <c r="Q55" s="113"/>
      <c r="R55" s="113"/>
      <c r="S55" s="113"/>
      <c r="T55" s="113"/>
      <c r="U55" s="113"/>
      <c r="V55" s="113"/>
      <c r="W55" s="113"/>
      <c r="X55" s="113" t="s">
        <v>162</v>
      </c>
      <c r="Y55" s="113"/>
      <c r="Z55" s="113"/>
      <c r="AA55" s="113"/>
      <c r="AB55" s="113"/>
      <c r="AC55" s="113"/>
      <c r="AD55" s="113"/>
      <c r="AE55" s="113"/>
      <c r="AF55" s="113"/>
      <c r="AG55" s="113"/>
      <c r="AH55" s="113"/>
      <c r="AI55" s="113"/>
      <c r="AJ55" s="113"/>
      <c r="AK55" s="113"/>
      <c r="AL55" s="113"/>
      <c r="AM55" s="113"/>
      <c r="AN55" s="113"/>
      <c r="AO55" s="113"/>
      <c r="AP55" s="113"/>
      <c r="AQ55" s="113"/>
      <c r="AR55" s="113"/>
      <c r="AS55" s="113"/>
      <c r="AT55" s="113"/>
      <c r="AU55" s="113"/>
      <c r="AV55" s="113"/>
      <c r="AW55" s="113"/>
      <c r="AX55" s="113"/>
    </row>
    <row r="56" spans="1:50" x14ac:dyDescent="0.3">
      <c r="A56" s="113"/>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c r="AO56" s="113"/>
      <c r="AP56" s="113"/>
      <c r="AQ56" s="113"/>
      <c r="AR56" s="113"/>
      <c r="AS56" s="113"/>
      <c r="AT56" s="113"/>
      <c r="AU56" s="113"/>
      <c r="AV56" s="113"/>
      <c r="AW56" s="113"/>
      <c r="AX56" s="113"/>
    </row>
    <row r="57" spans="1:50" x14ac:dyDescent="0.3">
      <c r="A57" s="113"/>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c r="AO57" s="113"/>
      <c r="AP57" s="113"/>
      <c r="AQ57" s="113"/>
      <c r="AR57" s="113"/>
      <c r="AS57" s="113"/>
      <c r="AT57" s="113"/>
      <c r="AU57" s="113"/>
      <c r="AV57" s="113"/>
      <c r="AW57" s="113"/>
      <c r="AX57" s="113"/>
    </row>
    <row r="58" spans="1:50" x14ac:dyDescent="0.3">
      <c r="A58" s="113"/>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c r="AO58" s="113"/>
      <c r="AP58" s="113"/>
      <c r="AQ58" s="113"/>
      <c r="AR58" s="113"/>
      <c r="AS58" s="113"/>
      <c r="AT58" s="113"/>
      <c r="AU58" s="113"/>
      <c r="AV58" s="113"/>
      <c r="AW58" s="113"/>
      <c r="AX58" s="113"/>
    </row>
    <row r="59" spans="1:50" x14ac:dyDescent="0.3">
      <c r="A59" s="113"/>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c r="AO59" s="113"/>
      <c r="AP59" s="113"/>
      <c r="AQ59" s="113"/>
      <c r="AR59" s="113"/>
      <c r="AS59" s="113"/>
      <c r="AT59" s="113"/>
      <c r="AU59" s="113"/>
      <c r="AV59" s="113"/>
      <c r="AW59" s="113"/>
      <c r="AX59" s="113"/>
    </row>
    <row r="60" spans="1:50" x14ac:dyDescent="0.3">
      <c r="A60" s="113"/>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c r="AU60" s="113"/>
      <c r="AV60" s="113"/>
      <c r="AW60" s="113"/>
      <c r="AX60" s="113"/>
    </row>
    <row r="61" spans="1:50" x14ac:dyDescent="0.3">
      <c r="A61" s="113"/>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c r="AO61" s="113"/>
      <c r="AP61" s="113"/>
      <c r="AQ61" s="113"/>
      <c r="AR61" s="113"/>
      <c r="AS61" s="113"/>
      <c r="AT61" s="113"/>
      <c r="AU61" s="113"/>
      <c r="AV61" s="113"/>
      <c r="AW61" s="113"/>
      <c r="AX61" s="113"/>
    </row>
    <row r="62" spans="1:50" x14ac:dyDescent="0.3">
      <c r="A62" s="113"/>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c r="AO62" s="113"/>
      <c r="AP62" s="113"/>
      <c r="AQ62" s="113"/>
      <c r="AR62" s="113"/>
      <c r="AS62" s="113"/>
      <c r="AT62" s="113"/>
      <c r="AU62" s="113"/>
      <c r="AV62" s="113"/>
      <c r="AW62" s="113"/>
      <c r="AX62" s="113"/>
    </row>
    <row r="63" spans="1:50" x14ac:dyDescent="0.3">
      <c r="A63" s="113"/>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c r="AO63" s="113"/>
      <c r="AP63" s="113"/>
      <c r="AQ63" s="113"/>
      <c r="AR63" s="113"/>
      <c r="AS63" s="113"/>
      <c r="AT63" s="113"/>
      <c r="AU63" s="113"/>
      <c r="AV63" s="113"/>
      <c r="AW63" s="113"/>
      <c r="AX63" s="113"/>
    </row>
    <row r="64" spans="1:50" x14ac:dyDescent="0.3">
      <c r="A64" s="113"/>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c r="AO64" s="113"/>
      <c r="AP64" s="113"/>
      <c r="AQ64" s="113"/>
      <c r="AR64" s="113"/>
      <c r="AS64" s="113"/>
      <c r="AT64" s="113"/>
      <c r="AU64" s="113"/>
      <c r="AV64" s="113"/>
      <c r="AW64" s="113"/>
      <c r="AX64" s="113"/>
    </row>
    <row r="65" spans="1:50" x14ac:dyDescent="0.3">
      <c r="A65" s="113"/>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c r="AO65" s="113"/>
      <c r="AP65" s="113"/>
      <c r="AQ65" s="113"/>
      <c r="AR65" s="113"/>
      <c r="AS65" s="113"/>
      <c r="AT65" s="113"/>
      <c r="AU65" s="113"/>
      <c r="AV65" s="113"/>
      <c r="AW65" s="113"/>
      <c r="AX65" s="113"/>
    </row>
    <row r="66" spans="1:50" x14ac:dyDescent="0.3">
      <c r="A66" s="113"/>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c r="AO66" s="113"/>
      <c r="AP66" s="113"/>
      <c r="AQ66" s="113"/>
      <c r="AR66" s="113"/>
      <c r="AS66" s="113"/>
      <c r="AT66" s="113"/>
      <c r="AU66" s="113"/>
      <c r="AV66" s="113"/>
      <c r="AW66" s="113"/>
      <c r="AX66" s="113"/>
    </row>
    <row r="67" spans="1:50" x14ac:dyDescent="0.3">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c r="AO67" s="113"/>
      <c r="AP67" s="113"/>
      <c r="AQ67" s="113"/>
      <c r="AR67" s="113"/>
      <c r="AS67" s="113"/>
      <c r="AT67" s="113"/>
      <c r="AU67" s="113"/>
      <c r="AV67" s="113"/>
      <c r="AW67" s="113"/>
      <c r="AX67" s="113"/>
    </row>
    <row r="68" spans="1:50" x14ac:dyDescent="0.3">
      <c r="A68" s="113"/>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c r="AO68" s="113"/>
      <c r="AP68" s="113"/>
      <c r="AQ68" s="113"/>
      <c r="AR68" s="113"/>
      <c r="AS68" s="113"/>
      <c r="AT68" s="113"/>
      <c r="AU68" s="113"/>
      <c r="AV68" s="113"/>
      <c r="AW68" s="113"/>
      <c r="AX68" s="113"/>
    </row>
    <row r="69" spans="1:50" x14ac:dyDescent="0.3">
      <c r="A69" s="113"/>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c r="AO69" s="113"/>
      <c r="AP69" s="113"/>
      <c r="AQ69" s="113"/>
      <c r="AR69" s="113"/>
      <c r="AS69" s="113"/>
      <c r="AT69" s="113"/>
      <c r="AU69" s="113"/>
      <c r="AV69" s="113"/>
      <c r="AW69" s="113"/>
      <c r="AX69" s="113"/>
    </row>
    <row r="70" spans="1:50" x14ac:dyDescent="0.3">
      <c r="A70" s="113"/>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c r="AO70" s="113"/>
      <c r="AP70" s="113"/>
      <c r="AQ70" s="113"/>
      <c r="AR70" s="113"/>
      <c r="AS70" s="113"/>
      <c r="AT70" s="113"/>
      <c r="AU70" s="113"/>
      <c r="AV70" s="113"/>
      <c r="AW70" s="113"/>
      <c r="AX70" s="113"/>
    </row>
    <row r="71" spans="1:50" x14ac:dyDescent="0.3">
      <c r="A71" s="113"/>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c r="AO71" s="113"/>
      <c r="AP71" s="113"/>
      <c r="AQ71" s="113"/>
      <c r="AR71" s="113"/>
      <c r="AS71" s="113"/>
      <c r="AT71" s="113"/>
      <c r="AU71" s="113"/>
      <c r="AV71" s="113"/>
      <c r="AW71" s="113"/>
      <c r="AX71" s="113"/>
    </row>
    <row r="72" spans="1:50" x14ac:dyDescent="0.3">
      <c r="A72" s="113"/>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c r="AO72" s="113"/>
      <c r="AP72" s="113"/>
      <c r="AQ72" s="113"/>
      <c r="AR72" s="113"/>
      <c r="AS72" s="113"/>
      <c r="AT72" s="113"/>
      <c r="AU72" s="113"/>
      <c r="AV72" s="113"/>
      <c r="AW72" s="113"/>
      <c r="AX72" s="113"/>
    </row>
    <row r="73" spans="1:50" x14ac:dyDescent="0.3">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c r="AO73" s="113"/>
      <c r="AP73" s="113"/>
      <c r="AQ73" s="113"/>
      <c r="AR73" s="113"/>
      <c r="AS73" s="113"/>
      <c r="AT73" s="113"/>
      <c r="AU73" s="113"/>
      <c r="AV73" s="113"/>
      <c r="AW73" s="113"/>
      <c r="AX73" s="113"/>
    </row>
    <row r="74" spans="1:50" x14ac:dyDescent="0.3">
      <c r="A74" s="113"/>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c r="AO74" s="113"/>
      <c r="AP74" s="113"/>
      <c r="AQ74" s="113"/>
      <c r="AR74" s="113"/>
      <c r="AS74" s="113"/>
      <c r="AT74" s="113"/>
      <c r="AU74" s="113"/>
      <c r="AV74" s="113"/>
      <c r="AW74" s="113"/>
      <c r="AX74" s="113"/>
    </row>
    <row r="75" spans="1:50" x14ac:dyDescent="0.3">
      <c r="A75" s="113"/>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c r="AO75" s="113"/>
      <c r="AP75" s="113"/>
      <c r="AQ75" s="113"/>
      <c r="AR75" s="113"/>
      <c r="AS75" s="113"/>
      <c r="AT75" s="113"/>
      <c r="AU75" s="113"/>
      <c r="AV75" s="113"/>
      <c r="AW75" s="113"/>
      <c r="AX75" s="113"/>
    </row>
    <row r="76" spans="1:50" x14ac:dyDescent="0.3">
      <c r="A76" s="113"/>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c r="AO76" s="113"/>
      <c r="AP76" s="113"/>
      <c r="AQ76" s="113"/>
      <c r="AR76" s="113"/>
      <c r="AS76" s="113"/>
      <c r="AT76" s="113"/>
      <c r="AU76" s="113"/>
      <c r="AV76" s="113"/>
      <c r="AW76" s="113"/>
      <c r="AX76" s="113"/>
    </row>
    <row r="77" spans="1:50" ht="14.4" customHeight="1" x14ac:dyDescent="0.3">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c r="AO77" s="113"/>
      <c r="AP77" s="113"/>
      <c r="AQ77" s="113"/>
      <c r="AR77" s="113"/>
      <c r="AS77" s="113"/>
      <c r="AT77" s="113"/>
      <c r="AU77" s="113"/>
      <c r="AV77" s="113"/>
      <c r="AW77" s="113"/>
      <c r="AX77" s="113"/>
    </row>
    <row r="78" spans="1:50" ht="14.4" customHeight="1" x14ac:dyDescent="0.3">
      <c r="A78" s="116" t="s">
        <v>161</v>
      </c>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16"/>
      <c r="AD78" s="116"/>
      <c r="AE78" s="116"/>
      <c r="AF78" s="116"/>
      <c r="AG78" s="113"/>
      <c r="AH78" s="113"/>
      <c r="AI78" s="113"/>
      <c r="AJ78" s="113"/>
      <c r="AK78" s="113"/>
      <c r="AL78" s="113"/>
      <c r="AM78" s="113"/>
      <c r="AN78" s="113"/>
      <c r="AO78" s="113"/>
      <c r="AP78" s="113"/>
      <c r="AQ78" s="113"/>
      <c r="AR78" s="113"/>
      <c r="AS78" s="113"/>
      <c r="AT78" s="113"/>
      <c r="AU78" s="113"/>
      <c r="AV78" s="113"/>
      <c r="AW78" s="113"/>
      <c r="AX78" s="113"/>
    </row>
    <row r="79" spans="1:50" ht="14.4" customHeight="1" x14ac:dyDescent="0.3">
      <c r="A79" s="116"/>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c r="AA79" s="116"/>
      <c r="AB79" s="116"/>
      <c r="AC79" s="116"/>
      <c r="AD79" s="116"/>
      <c r="AE79" s="116"/>
      <c r="AF79" s="116"/>
      <c r="AG79" s="113"/>
      <c r="AH79" s="113"/>
      <c r="AI79" s="113"/>
      <c r="AJ79" s="113"/>
      <c r="AK79" s="113"/>
      <c r="AL79" s="113"/>
      <c r="AM79" s="113"/>
      <c r="AN79" s="113"/>
      <c r="AO79" s="113"/>
      <c r="AP79" s="113"/>
      <c r="AQ79" s="113"/>
      <c r="AR79" s="113"/>
      <c r="AS79" s="113"/>
      <c r="AT79" s="113"/>
      <c r="AU79" s="113"/>
      <c r="AV79" s="113"/>
      <c r="AW79" s="113"/>
      <c r="AX79" s="113"/>
    </row>
    <row r="80" spans="1:50" ht="14.4" customHeight="1" x14ac:dyDescent="0.3">
      <c r="A80" s="11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c r="AB80" s="116"/>
      <c r="AC80" s="116"/>
      <c r="AD80" s="116"/>
      <c r="AE80" s="116"/>
      <c r="AF80" s="116"/>
      <c r="AG80" s="113"/>
      <c r="AH80" s="113"/>
      <c r="AI80" s="113"/>
      <c r="AJ80" s="113"/>
      <c r="AK80" s="113"/>
      <c r="AL80" s="113"/>
      <c r="AM80" s="113"/>
      <c r="AN80" s="113"/>
      <c r="AO80" s="113"/>
      <c r="AP80" s="113"/>
      <c r="AQ80" s="113"/>
      <c r="AR80" s="113"/>
      <c r="AS80" s="113"/>
      <c r="AT80" s="113"/>
      <c r="AU80" s="113"/>
      <c r="AV80" s="113"/>
      <c r="AW80" s="113"/>
      <c r="AX80" s="113"/>
    </row>
    <row r="81" spans="1:50" ht="14.4" customHeight="1" x14ac:dyDescent="0.3">
      <c r="A81" s="113"/>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c r="AO81" s="113"/>
      <c r="AP81" s="113"/>
      <c r="AQ81" s="113"/>
      <c r="AR81" s="113"/>
      <c r="AS81" s="113"/>
      <c r="AT81" s="113"/>
      <c r="AU81" s="113"/>
      <c r="AV81" s="113"/>
      <c r="AW81" s="113"/>
      <c r="AX81" s="113"/>
    </row>
    <row r="82" spans="1:50" ht="14.4" customHeight="1" x14ac:dyDescent="0.3">
      <c r="A82" s="113"/>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c r="AO82" s="113"/>
      <c r="AP82" s="113"/>
      <c r="AQ82" s="113"/>
      <c r="AR82" s="113"/>
      <c r="AS82" s="113"/>
      <c r="AT82" s="113"/>
      <c r="AU82" s="113"/>
      <c r="AV82" s="113"/>
      <c r="AW82" s="113"/>
      <c r="AX82" s="113"/>
    </row>
    <row r="83" spans="1:50" ht="14.4" customHeight="1" x14ac:dyDescent="0.3">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c r="AO83" s="113"/>
      <c r="AP83" s="113"/>
      <c r="AQ83" s="113"/>
      <c r="AR83" s="113"/>
      <c r="AS83" s="113"/>
      <c r="AT83" s="113"/>
      <c r="AU83" s="113"/>
      <c r="AV83" s="113"/>
      <c r="AW83" s="113"/>
      <c r="AX83" s="113"/>
    </row>
    <row r="84" spans="1:50" x14ac:dyDescent="0.3">
      <c r="A84" s="113"/>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c r="AO84" s="113"/>
      <c r="AP84" s="113"/>
      <c r="AQ84" s="113"/>
      <c r="AR84" s="113"/>
      <c r="AS84" s="113"/>
      <c r="AT84" s="113"/>
      <c r="AU84" s="113"/>
      <c r="AV84" s="113"/>
      <c r="AW84" s="113"/>
      <c r="AX84" s="113"/>
    </row>
    <row r="85" spans="1:50" x14ac:dyDescent="0.3">
      <c r="A85" s="113"/>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c r="AO85" s="113"/>
      <c r="AP85" s="113"/>
      <c r="AQ85" s="113"/>
      <c r="AR85" s="113"/>
      <c r="AS85" s="113"/>
      <c r="AT85" s="113"/>
      <c r="AU85" s="113"/>
      <c r="AV85" s="113"/>
      <c r="AW85" s="113"/>
      <c r="AX85" s="113"/>
    </row>
    <row r="86" spans="1:50" x14ac:dyDescent="0.3">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c r="AO86" s="113"/>
      <c r="AP86" s="113"/>
      <c r="AQ86" s="113"/>
      <c r="AR86" s="113"/>
      <c r="AS86" s="113"/>
      <c r="AT86" s="113"/>
      <c r="AU86" s="113"/>
      <c r="AV86" s="113"/>
      <c r="AW86" s="113"/>
      <c r="AX86" s="113"/>
    </row>
    <row r="87" spans="1:50" x14ac:dyDescent="0.3">
      <c r="A87" s="113"/>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c r="AO87" s="113"/>
      <c r="AP87" s="113"/>
      <c r="AQ87" s="113"/>
      <c r="AR87" s="113"/>
      <c r="AS87" s="113"/>
      <c r="AT87" s="113"/>
      <c r="AU87" s="113"/>
      <c r="AV87" s="113"/>
      <c r="AW87" s="113"/>
      <c r="AX87" s="113"/>
    </row>
    <row r="88" spans="1:50" x14ac:dyDescent="0.3">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c r="AO88" s="113"/>
      <c r="AP88" s="113"/>
      <c r="AQ88" s="113"/>
      <c r="AR88" s="113"/>
      <c r="AS88" s="113"/>
      <c r="AT88" s="113"/>
      <c r="AU88" s="113"/>
      <c r="AV88" s="113"/>
      <c r="AW88" s="113"/>
      <c r="AX88" s="113"/>
    </row>
    <row r="89" spans="1:50" x14ac:dyDescent="0.3">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c r="AO89" s="113"/>
      <c r="AP89" s="113"/>
      <c r="AQ89" s="113"/>
      <c r="AR89" s="113"/>
      <c r="AS89" s="113"/>
      <c r="AT89" s="113"/>
      <c r="AU89" s="113"/>
      <c r="AV89" s="113"/>
      <c r="AW89" s="113"/>
      <c r="AX89" s="113"/>
    </row>
    <row r="90" spans="1:50" x14ac:dyDescent="0.3">
      <c r="A90" s="113"/>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c r="AO90" s="113"/>
      <c r="AP90" s="113"/>
      <c r="AQ90" s="113"/>
      <c r="AR90" s="113"/>
      <c r="AS90" s="113"/>
      <c r="AT90" s="113"/>
      <c r="AU90" s="113"/>
      <c r="AV90" s="113"/>
      <c r="AW90" s="113"/>
      <c r="AX90" s="113"/>
    </row>
    <row r="91" spans="1:50" x14ac:dyDescent="0.3">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c r="AO91" s="113"/>
      <c r="AP91" s="113"/>
      <c r="AQ91" s="113"/>
      <c r="AR91" s="113"/>
      <c r="AS91" s="113"/>
      <c r="AT91" s="113"/>
      <c r="AU91" s="113"/>
      <c r="AV91" s="113"/>
      <c r="AW91" s="113"/>
      <c r="AX91" s="113"/>
    </row>
    <row r="92" spans="1:50" x14ac:dyDescent="0.3">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c r="AO92" s="113"/>
      <c r="AP92" s="113"/>
      <c r="AQ92" s="113"/>
      <c r="AR92" s="113"/>
      <c r="AS92" s="113"/>
      <c r="AT92" s="113"/>
      <c r="AU92" s="113"/>
      <c r="AV92" s="113"/>
      <c r="AW92" s="113"/>
      <c r="AX92" s="113"/>
    </row>
    <row r="93" spans="1:50" x14ac:dyDescent="0.3">
      <c r="A93" s="113"/>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c r="AO93" s="113"/>
      <c r="AP93" s="113"/>
      <c r="AQ93" s="113"/>
      <c r="AR93" s="113"/>
      <c r="AS93" s="113"/>
      <c r="AT93" s="113"/>
      <c r="AU93" s="113"/>
      <c r="AV93" s="113"/>
      <c r="AW93" s="113"/>
      <c r="AX93" s="113"/>
    </row>
    <row r="94" spans="1:50" x14ac:dyDescent="0.3">
      <c r="A94" s="113"/>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c r="AO94" s="113"/>
      <c r="AP94" s="113"/>
      <c r="AQ94" s="113"/>
      <c r="AR94" s="113"/>
      <c r="AS94" s="113"/>
      <c r="AT94" s="113"/>
      <c r="AU94" s="113"/>
      <c r="AV94" s="113"/>
      <c r="AW94" s="113"/>
      <c r="AX94" s="113"/>
    </row>
    <row r="95" spans="1:50" x14ac:dyDescent="0.3">
      <c r="A95" s="113"/>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c r="AO95" s="113"/>
      <c r="AP95" s="113"/>
      <c r="AQ95" s="113"/>
      <c r="AR95" s="113"/>
      <c r="AS95" s="113"/>
      <c r="AT95" s="113"/>
      <c r="AU95" s="113"/>
      <c r="AV95" s="113"/>
      <c r="AW95" s="113"/>
      <c r="AX95" s="113"/>
    </row>
    <row r="96" spans="1:50" x14ac:dyDescent="0.3">
      <c r="A96" s="113"/>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c r="AO96" s="113"/>
      <c r="AP96" s="113"/>
      <c r="AQ96" s="113"/>
      <c r="AR96" s="113"/>
      <c r="AS96" s="113"/>
      <c r="AT96" s="113"/>
      <c r="AU96" s="113"/>
      <c r="AV96" s="113"/>
      <c r="AW96" s="113"/>
      <c r="AX96" s="113"/>
    </row>
    <row r="97" spans="1:50" x14ac:dyDescent="0.3">
      <c r="A97" s="113"/>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c r="AO97" s="113"/>
      <c r="AP97" s="113"/>
      <c r="AQ97" s="113"/>
      <c r="AR97" s="113"/>
      <c r="AS97" s="113"/>
      <c r="AT97" s="113"/>
      <c r="AU97" s="113"/>
      <c r="AV97" s="113"/>
      <c r="AW97" s="113"/>
      <c r="AX97" s="113"/>
    </row>
    <row r="98" spans="1:50" x14ac:dyDescent="0.3">
      <c r="A98" s="113"/>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c r="AO98" s="113"/>
      <c r="AP98" s="113"/>
      <c r="AQ98" s="113"/>
      <c r="AR98" s="113"/>
      <c r="AS98" s="113"/>
      <c r="AT98" s="113"/>
      <c r="AU98" s="113"/>
      <c r="AV98" s="113"/>
      <c r="AW98" s="113"/>
      <c r="AX98" s="113"/>
    </row>
    <row r="99" spans="1:50" x14ac:dyDescent="0.3">
      <c r="A99" s="113"/>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c r="AO99" s="113"/>
      <c r="AP99" s="113"/>
      <c r="AQ99" s="113"/>
      <c r="AR99" s="113"/>
      <c r="AS99" s="113"/>
      <c r="AT99" s="113"/>
      <c r="AU99" s="113"/>
      <c r="AV99" s="113"/>
      <c r="AW99" s="113"/>
      <c r="AX99" s="113"/>
    </row>
    <row r="100" spans="1:50" x14ac:dyDescent="0.3">
      <c r="A100" s="113"/>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c r="AO100" s="113"/>
      <c r="AP100" s="113"/>
      <c r="AQ100" s="113"/>
      <c r="AR100" s="113"/>
      <c r="AS100" s="113"/>
      <c r="AT100" s="113"/>
      <c r="AU100" s="113"/>
      <c r="AV100" s="113"/>
      <c r="AW100" s="113"/>
      <c r="AX100" s="113"/>
    </row>
    <row r="101" spans="1:50" x14ac:dyDescent="0.3">
      <c r="A101" s="113"/>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c r="AO101" s="113"/>
      <c r="AP101" s="113"/>
      <c r="AQ101" s="113"/>
      <c r="AR101" s="113"/>
      <c r="AS101" s="113"/>
      <c r="AT101" s="113"/>
      <c r="AU101" s="113"/>
      <c r="AV101" s="113"/>
      <c r="AW101" s="113"/>
      <c r="AX101" s="113"/>
    </row>
    <row r="102" spans="1:50" x14ac:dyDescent="0.3">
      <c r="A102" s="113"/>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c r="AO102" s="113"/>
      <c r="AP102" s="113"/>
      <c r="AQ102" s="113"/>
      <c r="AR102" s="113"/>
      <c r="AS102" s="113"/>
      <c r="AT102" s="113"/>
      <c r="AU102" s="113"/>
      <c r="AV102" s="113"/>
      <c r="AW102" s="113"/>
      <c r="AX102" s="113"/>
    </row>
    <row r="103" spans="1:50" x14ac:dyDescent="0.3">
      <c r="A103" s="113"/>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c r="AO103" s="113"/>
      <c r="AP103" s="113"/>
      <c r="AQ103" s="113"/>
      <c r="AR103" s="113"/>
      <c r="AS103" s="113"/>
      <c r="AT103" s="113"/>
      <c r="AU103" s="113"/>
      <c r="AV103" s="113"/>
      <c r="AW103" s="113"/>
      <c r="AX103" s="113"/>
    </row>
    <row r="104" spans="1:50" x14ac:dyDescent="0.3">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c r="AO104" s="113"/>
      <c r="AP104" s="113"/>
      <c r="AQ104" s="113"/>
      <c r="AR104" s="113"/>
      <c r="AS104" s="113"/>
      <c r="AT104" s="113"/>
      <c r="AU104" s="113"/>
      <c r="AV104" s="113"/>
      <c r="AW104" s="113"/>
      <c r="AX104" s="113"/>
    </row>
    <row r="105" spans="1:50" x14ac:dyDescent="0.3">
      <c r="A105" s="113"/>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c r="AO105" s="113"/>
      <c r="AP105" s="113"/>
      <c r="AQ105" s="113"/>
      <c r="AR105" s="113"/>
      <c r="AS105" s="113"/>
      <c r="AT105" s="113"/>
      <c r="AU105" s="113"/>
      <c r="AV105" s="113"/>
      <c r="AW105" s="113"/>
      <c r="AX105" s="113"/>
    </row>
    <row r="106" spans="1:50" x14ac:dyDescent="0.3">
      <c r="A106" s="113"/>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c r="AO106" s="113"/>
      <c r="AP106" s="113"/>
      <c r="AQ106" s="113"/>
      <c r="AR106" s="113"/>
      <c r="AS106" s="113"/>
      <c r="AT106" s="113"/>
      <c r="AU106" s="113"/>
      <c r="AV106" s="113"/>
      <c r="AW106" s="113"/>
      <c r="AX106" s="113"/>
    </row>
    <row r="107" spans="1:50" x14ac:dyDescent="0.3">
      <c r="A107" s="113"/>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c r="AO107" s="113"/>
      <c r="AP107" s="113"/>
      <c r="AQ107" s="113"/>
      <c r="AR107" s="113"/>
      <c r="AS107" s="113"/>
      <c r="AT107" s="113"/>
      <c r="AU107" s="113"/>
      <c r="AV107" s="113"/>
      <c r="AW107" s="113"/>
      <c r="AX107" s="113"/>
    </row>
    <row r="108" spans="1:50" x14ac:dyDescent="0.3">
      <c r="A108" s="113"/>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c r="AO108" s="113"/>
      <c r="AP108" s="113"/>
      <c r="AQ108" s="113"/>
      <c r="AR108" s="113"/>
      <c r="AS108" s="113"/>
      <c r="AT108" s="113"/>
      <c r="AU108" s="113"/>
      <c r="AV108" s="113"/>
      <c r="AW108" s="113"/>
      <c r="AX108" s="113"/>
    </row>
    <row r="109" spans="1:50" x14ac:dyDescent="0.3">
      <c r="A109" s="113"/>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c r="AO109" s="113"/>
      <c r="AP109" s="113"/>
      <c r="AQ109" s="113"/>
      <c r="AR109" s="113"/>
      <c r="AS109" s="113"/>
      <c r="AT109" s="113"/>
      <c r="AU109" s="113"/>
      <c r="AV109" s="113"/>
      <c r="AW109" s="113"/>
      <c r="AX109" s="113"/>
    </row>
    <row r="110" spans="1:50" x14ac:dyDescent="0.3">
      <c r="A110" s="11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c r="AO110" s="113"/>
      <c r="AP110" s="113"/>
      <c r="AQ110" s="113"/>
      <c r="AR110" s="113"/>
      <c r="AS110" s="113"/>
      <c r="AT110" s="113"/>
      <c r="AU110" s="113"/>
      <c r="AV110" s="113"/>
      <c r="AW110" s="113"/>
      <c r="AX110" s="113"/>
    </row>
    <row r="111" spans="1:50" x14ac:dyDescent="0.3">
      <c r="A111" s="113"/>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c r="AO111" s="113"/>
      <c r="AP111" s="113"/>
      <c r="AQ111" s="113"/>
      <c r="AR111" s="113"/>
      <c r="AS111" s="113"/>
      <c r="AT111" s="113"/>
      <c r="AU111" s="113"/>
      <c r="AV111" s="113"/>
      <c r="AW111" s="113"/>
      <c r="AX111" s="113"/>
    </row>
    <row r="112" spans="1:50" x14ac:dyDescent="0.3">
      <c r="A112" s="113"/>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c r="AO112" s="113"/>
      <c r="AP112" s="113"/>
      <c r="AQ112" s="113"/>
      <c r="AR112" s="113"/>
      <c r="AS112" s="113"/>
      <c r="AT112" s="113"/>
      <c r="AU112" s="113"/>
      <c r="AV112" s="113"/>
      <c r="AW112" s="113"/>
      <c r="AX112" s="113"/>
    </row>
    <row r="113" spans="1:50" x14ac:dyDescent="0.3">
      <c r="A113" s="113"/>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c r="AO113" s="113"/>
      <c r="AP113" s="113"/>
      <c r="AQ113" s="113"/>
      <c r="AR113" s="113"/>
      <c r="AS113" s="113"/>
      <c r="AT113" s="113"/>
      <c r="AU113" s="113"/>
      <c r="AV113" s="113"/>
      <c r="AW113" s="113"/>
      <c r="AX113" s="113"/>
    </row>
    <row r="114" spans="1:50" x14ac:dyDescent="0.3">
      <c r="A114" s="113"/>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c r="AO114" s="113"/>
      <c r="AP114" s="113"/>
      <c r="AQ114" s="113"/>
      <c r="AR114" s="113"/>
      <c r="AS114" s="113"/>
      <c r="AT114" s="113"/>
      <c r="AU114" s="113"/>
      <c r="AV114" s="113"/>
      <c r="AW114" s="113"/>
      <c r="AX114" s="113"/>
    </row>
    <row r="115" spans="1:50" x14ac:dyDescent="0.3">
      <c r="A115" s="113"/>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c r="AO115" s="113"/>
      <c r="AP115" s="113"/>
      <c r="AQ115" s="113"/>
      <c r="AR115" s="113"/>
      <c r="AS115" s="113"/>
      <c r="AT115" s="113"/>
      <c r="AU115" s="113"/>
      <c r="AV115" s="113"/>
      <c r="AW115" s="113"/>
      <c r="AX115" s="113"/>
    </row>
    <row r="116" spans="1:50" x14ac:dyDescent="0.3">
      <c r="A116" s="113"/>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c r="AO116" s="113"/>
      <c r="AP116" s="113"/>
      <c r="AQ116" s="113"/>
      <c r="AR116" s="113"/>
      <c r="AS116" s="113"/>
      <c r="AT116" s="113"/>
      <c r="AU116" s="113"/>
      <c r="AV116" s="113"/>
      <c r="AW116" s="113"/>
      <c r="AX116" s="113"/>
    </row>
    <row r="117" spans="1:50" x14ac:dyDescent="0.3">
      <c r="A117" s="113"/>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c r="AO117" s="113"/>
      <c r="AP117" s="113"/>
      <c r="AQ117" s="113"/>
      <c r="AR117" s="113"/>
      <c r="AS117" s="113"/>
      <c r="AT117" s="113"/>
      <c r="AU117" s="113"/>
      <c r="AV117" s="113"/>
      <c r="AW117" s="113"/>
      <c r="AX117" s="113"/>
    </row>
    <row r="118" spans="1:50" x14ac:dyDescent="0.3">
      <c r="A118" s="113"/>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c r="AO118" s="113"/>
      <c r="AP118" s="113"/>
      <c r="AQ118" s="113"/>
      <c r="AR118" s="113"/>
      <c r="AS118" s="113"/>
      <c r="AT118" s="113"/>
      <c r="AU118" s="113"/>
      <c r="AV118" s="113"/>
      <c r="AW118" s="113"/>
      <c r="AX118" s="113"/>
    </row>
    <row r="119" spans="1:50" x14ac:dyDescent="0.3">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c r="AO119" s="113"/>
      <c r="AP119" s="113"/>
      <c r="AQ119" s="113"/>
      <c r="AR119" s="113"/>
      <c r="AS119" s="113"/>
      <c r="AT119" s="113"/>
      <c r="AU119" s="113"/>
      <c r="AV119" s="113"/>
      <c r="AW119" s="113"/>
      <c r="AX119" s="113"/>
    </row>
    <row r="120" spans="1:50" x14ac:dyDescent="0.3">
      <c r="A120" s="113"/>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c r="AO120" s="113"/>
      <c r="AP120" s="113"/>
      <c r="AQ120" s="113"/>
      <c r="AR120" s="113"/>
      <c r="AS120" s="113"/>
      <c r="AT120" s="113"/>
      <c r="AU120" s="113"/>
      <c r="AV120" s="113"/>
      <c r="AW120" s="113"/>
      <c r="AX120" s="113"/>
    </row>
    <row r="121" spans="1:50" x14ac:dyDescent="0.3">
      <c r="A121" s="113"/>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c r="AO121" s="113"/>
      <c r="AP121" s="113"/>
      <c r="AQ121" s="113"/>
      <c r="AR121" s="113"/>
      <c r="AS121" s="113"/>
      <c r="AT121" s="113"/>
      <c r="AU121" s="113"/>
      <c r="AV121" s="113"/>
      <c r="AW121" s="113"/>
      <c r="AX121" s="113"/>
    </row>
    <row r="122" spans="1:50" x14ac:dyDescent="0.3">
      <c r="A122" s="113"/>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c r="AO122" s="113"/>
      <c r="AP122" s="113"/>
      <c r="AQ122" s="113"/>
      <c r="AR122" s="113"/>
      <c r="AS122" s="113"/>
      <c r="AT122" s="113"/>
      <c r="AU122" s="113"/>
      <c r="AV122" s="113"/>
      <c r="AW122" s="113"/>
      <c r="AX122" s="113"/>
    </row>
    <row r="123" spans="1:50" x14ac:dyDescent="0.3">
      <c r="A123" s="113"/>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c r="AO123" s="113"/>
      <c r="AP123" s="113"/>
      <c r="AQ123" s="113"/>
      <c r="AR123" s="113"/>
      <c r="AS123" s="113"/>
      <c r="AT123" s="113"/>
      <c r="AU123" s="113"/>
      <c r="AV123" s="113"/>
      <c r="AW123" s="113"/>
      <c r="AX123" s="113"/>
    </row>
    <row r="124" spans="1:50" x14ac:dyDescent="0.3">
      <c r="A124" s="113"/>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c r="AO124" s="113"/>
      <c r="AP124" s="113"/>
      <c r="AQ124" s="113"/>
      <c r="AR124" s="113"/>
      <c r="AS124" s="113"/>
      <c r="AT124" s="113"/>
      <c r="AU124" s="113"/>
      <c r="AV124" s="113"/>
      <c r="AW124" s="113"/>
      <c r="AX124" s="113"/>
    </row>
    <row r="125" spans="1:50" x14ac:dyDescent="0.3">
      <c r="A125" s="113"/>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c r="AO125" s="113"/>
      <c r="AP125" s="113"/>
      <c r="AQ125" s="113"/>
      <c r="AR125" s="113"/>
      <c r="AS125" s="113"/>
      <c r="AT125" s="113"/>
      <c r="AU125" s="113"/>
      <c r="AV125" s="113"/>
      <c r="AW125" s="113"/>
      <c r="AX125" s="113"/>
    </row>
    <row r="126" spans="1:50" x14ac:dyDescent="0.3">
      <c r="A126" s="113"/>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c r="AO126" s="113"/>
      <c r="AP126" s="113"/>
      <c r="AQ126" s="113"/>
      <c r="AR126" s="113"/>
      <c r="AS126" s="113"/>
      <c r="AT126" s="113"/>
      <c r="AU126" s="113"/>
      <c r="AV126" s="113"/>
      <c r="AW126" s="113"/>
      <c r="AX126" s="113"/>
    </row>
    <row r="127" spans="1:50" x14ac:dyDescent="0.3">
      <c r="A127" s="113"/>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c r="AO127" s="113"/>
      <c r="AP127" s="113"/>
      <c r="AQ127" s="113"/>
      <c r="AR127" s="113"/>
      <c r="AS127" s="113"/>
      <c r="AT127" s="113"/>
      <c r="AU127" s="113"/>
      <c r="AV127" s="113"/>
      <c r="AW127" s="113"/>
      <c r="AX127" s="113"/>
    </row>
    <row r="128" spans="1:50" x14ac:dyDescent="0.3">
      <c r="A128" s="113"/>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c r="AO128" s="113"/>
      <c r="AP128" s="113"/>
      <c r="AQ128" s="113"/>
      <c r="AR128" s="113"/>
      <c r="AS128" s="113"/>
      <c r="AT128" s="113"/>
      <c r="AU128" s="113"/>
      <c r="AV128" s="113"/>
      <c r="AW128" s="113"/>
      <c r="AX128" s="113"/>
    </row>
    <row r="129" spans="1:50" x14ac:dyDescent="0.3">
      <c r="A129" s="11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c r="AO129" s="113"/>
      <c r="AP129" s="113"/>
      <c r="AQ129" s="113"/>
      <c r="AR129" s="113"/>
      <c r="AS129" s="113"/>
      <c r="AT129" s="113"/>
      <c r="AU129" s="113"/>
      <c r="AV129" s="113"/>
      <c r="AW129" s="113"/>
      <c r="AX129" s="113"/>
    </row>
    <row r="130" spans="1:50" x14ac:dyDescent="0.3">
      <c r="A130" s="113"/>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c r="AO130" s="113"/>
      <c r="AP130" s="113"/>
      <c r="AQ130" s="113"/>
      <c r="AR130" s="113"/>
      <c r="AS130" s="113"/>
      <c r="AT130" s="113"/>
      <c r="AU130" s="113"/>
      <c r="AV130" s="113"/>
      <c r="AW130" s="113"/>
      <c r="AX130" s="113"/>
    </row>
    <row r="131" spans="1:50" x14ac:dyDescent="0.3">
      <c r="A131" s="113"/>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c r="AO131" s="113"/>
      <c r="AP131" s="113"/>
      <c r="AQ131" s="113"/>
      <c r="AR131" s="113"/>
      <c r="AS131" s="113"/>
      <c r="AT131" s="113"/>
      <c r="AU131" s="113"/>
      <c r="AV131" s="113"/>
      <c r="AW131" s="113"/>
      <c r="AX131" s="113"/>
    </row>
    <row r="132" spans="1:50" x14ac:dyDescent="0.3">
      <c r="A132" s="113"/>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c r="AO132" s="113"/>
      <c r="AP132" s="113"/>
      <c r="AQ132" s="113"/>
      <c r="AR132" s="113"/>
      <c r="AS132" s="113"/>
      <c r="AT132" s="113"/>
      <c r="AU132" s="113"/>
      <c r="AV132" s="113"/>
      <c r="AW132" s="113"/>
      <c r="AX132" s="113"/>
    </row>
    <row r="133" spans="1:50" x14ac:dyDescent="0.3">
      <c r="A133" s="113"/>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c r="AO133" s="113"/>
      <c r="AP133" s="113"/>
      <c r="AQ133" s="113"/>
      <c r="AR133" s="113"/>
      <c r="AS133" s="113"/>
      <c r="AT133" s="113"/>
      <c r="AU133" s="113"/>
      <c r="AV133" s="113"/>
      <c r="AW133" s="113"/>
      <c r="AX133" s="113"/>
    </row>
    <row r="134" spans="1:50" x14ac:dyDescent="0.3">
      <c r="A134" s="113"/>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c r="AO134" s="113"/>
      <c r="AP134" s="113"/>
      <c r="AQ134" s="113"/>
      <c r="AR134" s="113"/>
      <c r="AS134" s="113"/>
      <c r="AT134" s="113"/>
      <c r="AU134" s="113"/>
      <c r="AV134" s="113"/>
      <c r="AW134" s="113"/>
      <c r="AX134" s="113"/>
    </row>
    <row r="135" spans="1:50" x14ac:dyDescent="0.3">
      <c r="A135" s="113"/>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c r="AO135" s="113"/>
      <c r="AP135" s="113"/>
      <c r="AQ135" s="113"/>
      <c r="AR135" s="113"/>
      <c r="AS135" s="113"/>
      <c r="AT135" s="113"/>
      <c r="AU135" s="113"/>
      <c r="AV135" s="113"/>
      <c r="AW135" s="113"/>
      <c r="AX135" s="113"/>
    </row>
    <row r="136" spans="1:50" x14ac:dyDescent="0.3">
      <c r="A136" s="113"/>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c r="AO136" s="113"/>
      <c r="AP136" s="113"/>
      <c r="AQ136" s="113"/>
      <c r="AR136" s="113"/>
      <c r="AS136" s="113"/>
      <c r="AT136" s="113"/>
      <c r="AU136" s="113"/>
      <c r="AV136" s="113"/>
      <c r="AW136" s="113"/>
      <c r="AX136" s="113"/>
    </row>
    <row r="137" spans="1:50" x14ac:dyDescent="0.3">
      <c r="A137" s="113"/>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c r="AO137" s="113"/>
      <c r="AP137" s="113"/>
      <c r="AQ137" s="113"/>
      <c r="AR137" s="113"/>
      <c r="AS137" s="113"/>
      <c r="AT137" s="113"/>
      <c r="AU137" s="113"/>
      <c r="AV137" s="113"/>
      <c r="AW137" s="113"/>
      <c r="AX137" s="113"/>
    </row>
    <row r="138" spans="1:50" x14ac:dyDescent="0.3">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c r="AX138" s="113"/>
    </row>
    <row r="139" spans="1:50" x14ac:dyDescent="0.3">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c r="AX139" s="113"/>
    </row>
    <row r="140" spans="1:50" x14ac:dyDescent="0.3">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c r="AX140" s="113"/>
    </row>
    <row r="141" spans="1:50" x14ac:dyDescent="0.3">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c r="AO141" s="113"/>
      <c r="AP141" s="113"/>
      <c r="AQ141" s="113"/>
      <c r="AR141" s="113"/>
      <c r="AS141" s="113"/>
      <c r="AT141" s="113"/>
      <c r="AU141" s="113"/>
      <c r="AV141" s="113"/>
      <c r="AW141" s="113"/>
      <c r="AX141" s="113"/>
    </row>
    <row r="142" spans="1:50" x14ac:dyDescent="0.3">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c r="AX142" s="113"/>
    </row>
    <row r="143" spans="1:50" x14ac:dyDescent="0.3">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c r="AO143" s="113"/>
      <c r="AP143" s="113"/>
      <c r="AQ143" s="113"/>
      <c r="AR143" s="113"/>
      <c r="AS143" s="113"/>
      <c r="AT143" s="113"/>
      <c r="AU143" s="113"/>
      <c r="AV143" s="113"/>
      <c r="AW143" s="113"/>
      <c r="AX143" s="113"/>
    </row>
    <row r="144" spans="1:50" x14ac:dyDescent="0.3">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c r="AX144" s="113"/>
    </row>
    <row r="145" spans="1:50" x14ac:dyDescent="0.3">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c r="AO145" s="113"/>
      <c r="AP145" s="113"/>
      <c r="AQ145" s="113"/>
      <c r="AR145" s="113"/>
      <c r="AS145" s="113"/>
      <c r="AT145" s="113"/>
      <c r="AU145" s="113"/>
      <c r="AV145" s="113"/>
      <c r="AW145" s="113"/>
      <c r="AX145" s="113"/>
    </row>
    <row r="146" spans="1:50" x14ac:dyDescent="0.3">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c r="AO146" s="113"/>
      <c r="AP146" s="113"/>
      <c r="AQ146" s="113"/>
      <c r="AR146" s="113"/>
      <c r="AS146" s="113"/>
      <c r="AT146" s="113"/>
      <c r="AU146" s="113"/>
      <c r="AV146" s="113"/>
      <c r="AW146" s="113"/>
      <c r="AX146" s="113"/>
    </row>
    <row r="147" spans="1:50" x14ac:dyDescent="0.3">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c r="AO147" s="113"/>
      <c r="AP147" s="113"/>
      <c r="AQ147" s="113"/>
      <c r="AR147" s="113"/>
      <c r="AS147" s="113"/>
      <c r="AT147" s="113"/>
      <c r="AU147" s="113"/>
      <c r="AV147" s="113"/>
      <c r="AW147" s="113"/>
      <c r="AX147" s="113"/>
    </row>
    <row r="148" spans="1:50" x14ac:dyDescent="0.3">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c r="AO148" s="113"/>
      <c r="AP148" s="113"/>
      <c r="AQ148" s="113"/>
      <c r="AR148" s="113"/>
      <c r="AS148" s="113"/>
      <c r="AT148" s="113"/>
      <c r="AU148" s="113"/>
      <c r="AV148" s="113"/>
      <c r="AW148" s="113"/>
      <c r="AX148" s="113"/>
    </row>
    <row r="149" spans="1:50" x14ac:dyDescent="0.3">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c r="AX149" s="113"/>
    </row>
    <row r="150" spans="1:50" x14ac:dyDescent="0.3">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c r="AX150" s="113"/>
    </row>
  </sheetData>
  <mergeCells count="12">
    <mergeCell ref="A1:AX10"/>
    <mergeCell ref="A12:AX17"/>
    <mergeCell ref="A45:AF50"/>
    <mergeCell ref="A78:AF80"/>
    <mergeCell ref="R35:W39"/>
    <mergeCell ref="AK30:AV33"/>
    <mergeCell ref="AK34:AV41"/>
    <mergeCell ref="A20:AG22"/>
    <mergeCell ref="A35:F40"/>
    <mergeCell ref="I35:N40"/>
    <mergeCell ref="Z35:AF39"/>
    <mergeCell ref="AO21:AW22"/>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displayEmptyCellsAs="gap" negative="1" xr2:uid="{9965F0F8-A19F-48E1-853C-4AF0D8EB1A08}">
          <x14:colorSeries theme="4" tint="-0.499984740745262"/>
          <x14:colorNegative rgb="FF00B050"/>
          <x14:colorAxis rgb="FF000000"/>
          <x14:colorMarkers rgb="FFD00000"/>
          <x14:colorFirst rgb="FFD00000"/>
          <x14:colorLast rgb="FFD00000"/>
          <x14:colorHigh rgb="FFD00000"/>
          <x14:colorLow rgb="FFD00000"/>
          <x14:sparklines>
            <x14:sparkline>
              <xm:f>Pivots!B19:B25</xm:f>
              <xm:sqref>A35</xm:sqref>
            </x14:sparkline>
          </x14:sparklines>
        </x14:sparklineGroup>
        <x14:sparklineGroup displayEmptyCellsAs="gap" xr2:uid="{9981DE35-0160-46D0-BEE1-6C5080D70474}">
          <x14:colorSeries rgb="FF376092"/>
          <x14:colorNegative rgb="FFD00000"/>
          <x14:colorAxis rgb="FF000000"/>
          <x14:colorMarkers rgb="FFD00000"/>
          <x14:colorFirst rgb="FFD00000"/>
          <x14:colorLast rgb="FFD00000"/>
          <x14:colorHigh rgb="FFD00000"/>
          <x14:colorLow rgb="FFD00000"/>
          <x14:sparklines>
            <x14:sparkline>
              <xm:f>Pivots!B30:B36</xm:f>
              <xm:sqref>R35</xm:sqref>
            </x14:sparkline>
          </x14:sparklines>
        </x14:sparklineGroup>
        <x14:sparklineGroup displayEmptyCellsAs="gap" xr2:uid="{972D32DC-FCAB-4E3C-AC36-D9F638B57E86}">
          <x14:colorSeries rgb="FF376092"/>
          <x14:colorNegative rgb="FFD00000"/>
          <x14:colorAxis rgb="FF000000"/>
          <x14:colorMarkers rgb="FFD00000"/>
          <x14:colorFirst rgb="FFD00000"/>
          <x14:colorLast rgb="FFD00000"/>
          <x14:colorHigh rgb="FFD00000"/>
          <x14:colorLow rgb="FFD00000"/>
          <x14:sparklines>
            <x14:sparkline>
              <xm:f>Pivots!E30:E36</xm:f>
              <xm:sqref>Z35</xm:sqref>
            </x14:sparkline>
          </x14:sparklines>
        </x14:sparklineGroup>
        <x14:sparklineGroup displayEmptyCellsAs="gap" xr2:uid="{BA165285-5989-436B-8285-479CBDDA0138}">
          <x14:colorSeries rgb="FF376092"/>
          <x14:colorNegative rgb="FFD00000"/>
          <x14:colorAxis rgb="FF000000"/>
          <x14:colorMarkers rgb="FFD00000"/>
          <x14:colorFirst rgb="FFD00000"/>
          <x14:colorLast rgb="FFD00000"/>
          <x14:colorHigh rgb="FFD00000"/>
          <x14:colorLow rgb="FFD00000"/>
          <x14:sparklines>
            <x14:sparkline>
              <xm:f>Pivots!B19:B25</xm:f>
              <xm:sqref>I35</xm:sqref>
            </x14:sparkline>
          </x14:sparklines>
        </x14:sparklineGroup>
      </x14:sparklineGroup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3F4ED-A9A5-4904-903C-B1C004783CFD}">
  <dimension ref="A1:Q23"/>
  <sheetViews>
    <sheetView zoomScale="68" workbookViewId="0">
      <selection activeCell="F28" sqref="F28"/>
    </sheetView>
  </sheetViews>
  <sheetFormatPr defaultRowHeight="14.4" x14ac:dyDescent="0.3"/>
  <cols>
    <col min="1" max="1" width="18.5546875" bestFit="1" customWidth="1"/>
    <col min="2" max="2" width="14.6640625" bestFit="1" customWidth="1"/>
    <col min="3" max="3" width="15" customWidth="1"/>
    <col min="4" max="4" width="13.6640625" customWidth="1"/>
    <col min="5" max="5" width="18.33203125" customWidth="1"/>
    <col min="6" max="7" width="14.6640625" bestFit="1" customWidth="1"/>
    <col min="8" max="8" width="15" customWidth="1"/>
    <col min="9" max="9" width="20" bestFit="1" customWidth="1"/>
    <col min="10" max="10" width="11" bestFit="1" customWidth="1"/>
    <col min="11" max="11" width="14.6640625" bestFit="1" customWidth="1"/>
    <col min="12" max="12" width="13.5546875" bestFit="1" customWidth="1"/>
    <col min="13" max="13" width="11.77734375" bestFit="1" customWidth="1"/>
    <col min="14" max="14" width="15" customWidth="1"/>
    <col min="15" max="15" width="18.6640625" bestFit="1" customWidth="1"/>
    <col min="16" max="16" width="13.109375" customWidth="1"/>
    <col min="17" max="17" width="15.109375" bestFit="1" customWidth="1"/>
  </cols>
  <sheetData>
    <row r="1" spans="1:17" x14ac:dyDescent="0.3">
      <c r="A1" s="94" t="s">
        <v>114</v>
      </c>
      <c r="B1" s="94"/>
      <c r="D1" s="95" t="s">
        <v>115</v>
      </c>
      <c r="E1" s="96"/>
      <c r="F1" s="96"/>
      <c r="G1" s="97"/>
      <c r="I1" s="103" t="s">
        <v>117</v>
      </c>
      <c r="J1" s="104"/>
      <c r="K1" s="104"/>
      <c r="L1" s="104"/>
      <c r="M1" s="105"/>
      <c r="O1" s="59" t="s">
        <v>119</v>
      </c>
      <c r="P1" s="60"/>
      <c r="Q1" s="61"/>
    </row>
    <row r="2" spans="1:17" ht="31.2" x14ac:dyDescent="0.3">
      <c r="A2" s="53" t="s">
        <v>47</v>
      </c>
      <c r="B2" s="53" t="s">
        <v>48</v>
      </c>
      <c r="D2" s="57" t="s">
        <v>101</v>
      </c>
      <c r="E2" s="53" t="s">
        <v>102</v>
      </c>
      <c r="F2" s="53" t="s">
        <v>134</v>
      </c>
      <c r="G2" s="58" t="s">
        <v>67</v>
      </c>
      <c r="I2" s="57" t="s">
        <v>68</v>
      </c>
      <c r="J2" s="53" t="s">
        <v>107</v>
      </c>
      <c r="K2" s="53" t="s">
        <v>134</v>
      </c>
      <c r="L2" s="53" t="s">
        <v>69</v>
      </c>
      <c r="M2" s="58" t="s">
        <v>108</v>
      </c>
      <c r="O2" s="57" t="s">
        <v>57</v>
      </c>
      <c r="P2" s="53" t="s">
        <v>112</v>
      </c>
      <c r="Q2" s="58" t="s">
        <v>49</v>
      </c>
    </row>
    <row r="3" spans="1:17" x14ac:dyDescent="0.3">
      <c r="A3" s="22" t="s">
        <v>49</v>
      </c>
      <c r="B3" s="56">
        <f ca="1">SUM(totalsales)</f>
        <v>39502.974999999919</v>
      </c>
      <c r="D3" s="30" t="s">
        <v>103</v>
      </c>
      <c r="E3" s="22">
        <f>COUNTIF(PAYMENTm,"JANUARY")</f>
        <v>152</v>
      </c>
      <c r="F3" s="56">
        <f t="shared" ref="F3:F9" ca="1" si="0">SUMIF(PAYMENTm,D3,totalsales)</f>
        <v>2974.4800000000014</v>
      </c>
      <c r="G3" s="72">
        <f t="shared" ref="G3:G9" ca="1" si="1">SUMIF(PAYMENTm,D3,netrevenue)</f>
        <v>3240.6659999999974</v>
      </c>
      <c r="I3" s="30" t="s">
        <v>131</v>
      </c>
      <c r="J3" s="101">
        <f ca="1">COUNTA(Course)</f>
        <v>1000</v>
      </c>
      <c r="K3" s="106">
        <f ca="1">SUM(totalsales)</f>
        <v>39502.974999999919</v>
      </c>
      <c r="L3" s="106">
        <f>SUM(adspend)</f>
        <v>2100</v>
      </c>
      <c r="M3" s="109">
        <f ca="1">K3/L3</f>
        <v>18.810940476190439</v>
      </c>
      <c r="O3" s="70" t="s">
        <v>121</v>
      </c>
      <c r="P3" s="5">
        <f ca="1">COUNTIF(customertype,O3)</f>
        <v>635</v>
      </c>
      <c r="Q3" s="10">
        <f ca="1">SUMIF(customertype,O3,totalsales)</f>
        <v>24695.184999999979</v>
      </c>
    </row>
    <row r="4" spans="1:17" x14ac:dyDescent="0.3">
      <c r="A4" s="22" t="s">
        <v>46</v>
      </c>
      <c r="B4" s="56">
        <f ca="1">SUM(expectedrevenue)</f>
        <v>10155.68329999997</v>
      </c>
      <c r="D4" s="30" t="s">
        <v>104</v>
      </c>
      <c r="E4" s="22">
        <f>COUNTIF(PAYMENTm,"FEBRUARY")</f>
        <v>128</v>
      </c>
      <c r="F4" s="56">
        <f t="shared" ca="1" si="0"/>
        <v>6639.9049999999988</v>
      </c>
      <c r="G4" s="72">
        <f t="shared" ca="1" si="1"/>
        <v>3741.4871999999978</v>
      </c>
      <c r="I4" s="30" t="s">
        <v>132</v>
      </c>
      <c r="J4" s="101"/>
      <c r="K4" s="107"/>
      <c r="L4" s="107"/>
      <c r="M4" s="110"/>
      <c r="O4" s="70" t="s">
        <v>122</v>
      </c>
      <c r="P4" s="5">
        <f ca="1">COUNTIF('Sales Data'!$F$2:$F$1001,"Returning Customer")</f>
        <v>365</v>
      </c>
      <c r="Q4" s="10">
        <f ca="1">SUMIF(customertype,O4,totalsales)</f>
        <v>14807.790000000008</v>
      </c>
    </row>
    <row r="5" spans="1:17" ht="15" thickBot="1" x14ac:dyDescent="0.35">
      <c r="A5" s="22" t="s">
        <v>67</v>
      </c>
      <c r="B5" s="56">
        <f ca="1">SUM(netrevenue)</f>
        <v>24671.077199999971</v>
      </c>
      <c r="D5" s="30" t="s">
        <v>105</v>
      </c>
      <c r="E5" s="22">
        <f>COUNTIF(PAYMENTm,"MARCH")</f>
        <v>145</v>
      </c>
      <c r="F5" s="56">
        <f t="shared" ca="1" si="0"/>
        <v>1981.9149999999995</v>
      </c>
      <c r="G5" s="72">
        <f t="shared" ca="1" si="1"/>
        <v>779.19930000000045</v>
      </c>
      <c r="I5" s="11" t="s">
        <v>133</v>
      </c>
      <c r="J5" s="102"/>
      <c r="K5" s="108"/>
      <c r="L5" s="108"/>
      <c r="M5" s="111"/>
      <c r="O5" s="62" t="s">
        <v>130</v>
      </c>
      <c r="P5" s="63">
        <f ca="1">SUM(P3:P4)</f>
        <v>1000</v>
      </c>
      <c r="Q5" s="71">
        <f ca="1">SUM(Q3:Q4)</f>
        <v>39502.974999999991</v>
      </c>
    </row>
    <row r="6" spans="1:17" ht="29.4" thickBot="1" x14ac:dyDescent="0.35">
      <c r="A6" s="22" t="s">
        <v>124</v>
      </c>
      <c r="B6" s="56">
        <f ca="1">COUNTIF(customertype,"new customer")</f>
        <v>635</v>
      </c>
      <c r="D6" s="30" t="s">
        <v>126</v>
      </c>
      <c r="E6" s="22">
        <f>COUNTIF(PAYMENTm,"APRIL")</f>
        <v>141</v>
      </c>
      <c r="F6" s="56">
        <f t="shared" ca="1" si="0"/>
        <v>6871.8100000000013</v>
      </c>
      <c r="G6" s="72">
        <f t="shared" ca="1" si="1"/>
        <v>3705.0700499999994</v>
      </c>
    </row>
    <row r="7" spans="1:17" x14ac:dyDescent="0.3">
      <c r="A7" s="22" t="s">
        <v>51</v>
      </c>
      <c r="B7" s="56">
        <f>SUM(discountamount)</f>
        <v>280</v>
      </c>
      <c r="D7" s="30" t="s">
        <v>127</v>
      </c>
      <c r="E7" s="22">
        <f>COUNTIF(PAYMENTm,"MAY")</f>
        <v>146</v>
      </c>
      <c r="F7" s="56">
        <f t="shared" ca="1" si="0"/>
        <v>7079.4450000000052</v>
      </c>
      <c r="G7" s="72">
        <f t="shared" ca="1" si="1"/>
        <v>4822.5176999999949</v>
      </c>
      <c r="I7" s="67" t="s">
        <v>118</v>
      </c>
      <c r="J7" s="68"/>
      <c r="K7" s="69"/>
      <c r="O7" s="54" t="s">
        <v>120</v>
      </c>
      <c r="P7" s="54"/>
      <c r="Q7" s="54"/>
    </row>
    <row r="8" spans="1:17" ht="31.2" x14ac:dyDescent="0.3">
      <c r="A8" s="22" t="s">
        <v>52</v>
      </c>
      <c r="B8" s="56">
        <f ca="1">SUM(bankcommisionamount)</f>
        <v>927.02499999999861</v>
      </c>
      <c r="D8" s="30" t="s">
        <v>128</v>
      </c>
      <c r="E8" s="22">
        <f>COUNTIF(PAYMENTm,"JUNE")</f>
        <v>132</v>
      </c>
      <c r="F8" s="56">
        <f t="shared" ca="1" si="0"/>
        <v>6715.6100000000006</v>
      </c>
      <c r="G8" s="72">
        <f t="shared" ca="1" si="1"/>
        <v>4277.750399999999</v>
      </c>
      <c r="I8" s="57" t="s">
        <v>43</v>
      </c>
      <c r="J8" s="53" t="s">
        <v>109</v>
      </c>
      <c r="K8" s="58" t="s">
        <v>110</v>
      </c>
      <c r="O8" s="53" t="s">
        <v>4</v>
      </c>
      <c r="P8" s="53" t="s">
        <v>113</v>
      </c>
      <c r="Q8" s="53" t="s">
        <v>49</v>
      </c>
    </row>
    <row r="9" spans="1:17" x14ac:dyDescent="0.3">
      <c r="A9" s="22" t="s">
        <v>97</v>
      </c>
      <c r="B9" s="56">
        <f ca="1">SUM(incometaxamount)</f>
        <v>395.0297500000006</v>
      </c>
      <c r="D9" s="30" t="s">
        <v>129</v>
      </c>
      <c r="E9" s="22">
        <f>COUNTIF(PAYMENTm,"JULY")</f>
        <v>156</v>
      </c>
      <c r="F9" s="56">
        <f t="shared" ca="1" si="0"/>
        <v>7239.8099999999977</v>
      </c>
      <c r="G9" s="72">
        <f t="shared" ca="1" si="1"/>
        <v>4104.3865499999984</v>
      </c>
      <c r="I9" s="30" t="s">
        <v>111</v>
      </c>
      <c r="J9" s="22">
        <f ca="1">COUNTIF(paymentstatus,I9)</f>
        <v>633</v>
      </c>
      <c r="K9" s="72">
        <f ca="1">SUMIF(paymentstatus,I9,totalsales)</f>
        <v>24920.279999999966</v>
      </c>
      <c r="O9" s="18" t="s">
        <v>135</v>
      </c>
      <c r="P9" s="22">
        <f t="shared" ref="P9:P16" si="2">COUNTIF(City,O9)</f>
        <v>155</v>
      </c>
      <c r="Q9" s="56">
        <f t="shared" ref="Q9:Q16" ca="1" si="3">SUMIF(City,O9,totalsales)</f>
        <v>5460.2600000000011</v>
      </c>
    </row>
    <row r="10" spans="1:17" ht="15" thickBot="1" x14ac:dyDescent="0.35">
      <c r="A10" s="22" t="s">
        <v>98</v>
      </c>
      <c r="B10" s="56">
        <f>SUM(adspend)</f>
        <v>2100</v>
      </c>
      <c r="D10" s="62" t="s">
        <v>130</v>
      </c>
      <c r="E10" s="63">
        <f>SUM(E3:E9)</f>
        <v>1000</v>
      </c>
      <c r="F10" s="73">
        <f ca="1">SUM(F3:F9)</f>
        <v>39502.975000000006</v>
      </c>
      <c r="G10" s="71">
        <f ca="1">SUM(G3:G9)</f>
        <v>24671.077199999989</v>
      </c>
      <c r="I10" s="30" t="s">
        <v>44</v>
      </c>
      <c r="J10" s="22">
        <f ca="1">COUNTIF(paymentstatus,I10)</f>
        <v>278</v>
      </c>
      <c r="K10" s="72">
        <f ca="1">SUMIF(paymentstatus,I10,totalsales)</f>
        <v>10257.67</v>
      </c>
      <c r="O10" s="5" t="s">
        <v>136</v>
      </c>
      <c r="P10" s="22">
        <f t="shared" si="2"/>
        <v>111</v>
      </c>
      <c r="Q10" s="56">
        <f t="shared" ca="1" si="3"/>
        <v>5098.625</v>
      </c>
    </row>
    <row r="11" spans="1:17" ht="15" thickBot="1" x14ac:dyDescent="0.35">
      <c r="A11" s="22" t="s">
        <v>123</v>
      </c>
      <c r="B11" s="56">
        <v>80</v>
      </c>
      <c r="I11" s="30" t="s">
        <v>45</v>
      </c>
      <c r="J11" s="22">
        <f ca="1">COUNTIF(paymentstatus,I11)</f>
        <v>89</v>
      </c>
      <c r="K11" s="72">
        <f ca="1">SUMIF(paymentstatus,I11,totalsales)</f>
        <v>4325.0250000000015</v>
      </c>
      <c r="O11" s="5" t="s">
        <v>137</v>
      </c>
      <c r="P11" s="22">
        <f t="shared" si="2"/>
        <v>135</v>
      </c>
      <c r="Q11" s="56">
        <f t="shared" ca="1" si="3"/>
        <v>5166.375</v>
      </c>
    </row>
    <row r="12" spans="1:17" ht="15" thickBot="1" x14ac:dyDescent="0.35">
      <c r="A12" s="22" t="s">
        <v>99</v>
      </c>
      <c r="B12" s="56">
        <f ca="1">B5-B10-B11</f>
        <v>22491.077199999971</v>
      </c>
      <c r="D12" s="98" t="s">
        <v>116</v>
      </c>
      <c r="E12" s="99"/>
      <c r="F12" s="99"/>
      <c r="G12" s="100"/>
      <c r="I12" s="62" t="s">
        <v>130</v>
      </c>
      <c r="J12" s="63">
        <f ca="1">SUM(J9:J11)</f>
        <v>1000</v>
      </c>
      <c r="K12" s="71">
        <f ca="1">SUM(K9:K11)</f>
        <v>39502.974999999969</v>
      </c>
      <c r="O12" s="5" t="s">
        <v>138</v>
      </c>
      <c r="P12" s="22">
        <f t="shared" si="2"/>
        <v>123</v>
      </c>
      <c r="Q12" s="56">
        <f t="shared" ca="1" si="3"/>
        <v>4291.2800000000016</v>
      </c>
    </row>
    <row r="13" spans="1:17" ht="31.2" x14ac:dyDescent="0.3">
      <c r="A13" s="22" t="s">
        <v>100</v>
      </c>
      <c r="B13" s="56">
        <f ca="1">B12/B5*100</f>
        <v>91.163742132832354</v>
      </c>
      <c r="D13" s="57" t="s">
        <v>2</v>
      </c>
      <c r="E13" s="53" t="s">
        <v>106</v>
      </c>
      <c r="F13" s="53" t="s">
        <v>134</v>
      </c>
      <c r="G13" s="58" t="s">
        <v>67</v>
      </c>
      <c r="K13" s="1"/>
      <c r="O13" s="5" t="s">
        <v>139</v>
      </c>
      <c r="P13" s="22">
        <f t="shared" si="2"/>
        <v>116</v>
      </c>
      <c r="Q13" s="56">
        <f t="shared" ca="1" si="3"/>
        <v>4241.7300000000014</v>
      </c>
    </row>
    <row r="14" spans="1:17" ht="28.8" x14ac:dyDescent="0.3">
      <c r="A14" s="22" t="s">
        <v>125</v>
      </c>
      <c r="B14" s="56">
        <f ca="1">B3/B6</f>
        <v>62.209409448818768</v>
      </c>
      <c r="D14" s="64" t="s">
        <v>15</v>
      </c>
      <c r="E14" s="22">
        <f t="shared" ref="E14:E21" ca="1" si="4">COUNTIF(Course,D14)</f>
        <v>124</v>
      </c>
      <c r="F14" s="56">
        <f t="shared" ref="F14:F21" ca="1" si="5">SUMIF(Course,D14,totalsales)</f>
        <v>6000.0050000000001</v>
      </c>
      <c r="G14" s="72">
        <f t="shared" ref="G14:G21" ca="1" si="6">SUMIF(Course,D14,netrevenue)</f>
        <v>2940.304949999997</v>
      </c>
      <c r="O14" s="5" t="s">
        <v>140</v>
      </c>
      <c r="P14" s="22">
        <f t="shared" si="2"/>
        <v>114</v>
      </c>
      <c r="Q14" s="56">
        <f t="shared" ca="1" si="3"/>
        <v>4258.4250000000029</v>
      </c>
    </row>
    <row r="15" spans="1:17" x14ac:dyDescent="0.3">
      <c r="D15" s="64" t="s">
        <v>16</v>
      </c>
      <c r="E15" s="22">
        <f t="shared" ca="1" si="4"/>
        <v>115</v>
      </c>
      <c r="F15" s="56">
        <f t="shared" ca="1" si="5"/>
        <v>1544.9749999999999</v>
      </c>
      <c r="G15" s="72">
        <f t="shared" ca="1" si="6"/>
        <v>2267.4960000000005</v>
      </c>
      <c r="O15" s="5" t="s">
        <v>141</v>
      </c>
      <c r="P15" s="22">
        <f t="shared" si="2"/>
        <v>115</v>
      </c>
      <c r="Q15" s="56">
        <f t="shared" ca="1" si="3"/>
        <v>5209.8549999999996</v>
      </c>
    </row>
    <row r="16" spans="1:17" ht="28.8" x14ac:dyDescent="0.3">
      <c r="D16" s="65" t="s">
        <v>17</v>
      </c>
      <c r="E16" s="22">
        <f t="shared" ca="1" si="4"/>
        <v>124</v>
      </c>
      <c r="F16" s="56">
        <f t="shared" ca="1" si="5"/>
        <v>6009.1500000000024</v>
      </c>
      <c r="G16" s="72">
        <f t="shared" ca="1" si="6"/>
        <v>4042.2343499999993</v>
      </c>
      <c r="O16" s="5" t="s">
        <v>142</v>
      </c>
      <c r="P16" s="22">
        <f t="shared" si="2"/>
        <v>131</v>
      </c>
      <c r="Q16" s="56">
        <f t="shared" ca="1" si="3"/>
        <v>5776.4249999999984</v>
      </c>
    </row>
    <row r="17" spans="4:17" ht="15" thickBot="1" x14ac:dyDescent="0.35">
      <c r="D17" s="65" t="s">
        <v>11</v>
      </c>
      <c r="E17" s="22">
        <f t="shared" ca="1" si="4"/>
        <v>137</v>
      </c>
      <c r="F17" s="56">
        <f t="shared" ca="1" si="5"/>
        <v>6747.8300000000017</v>
      </c>
      <c r="G17" s="72">
        <f t="shared" ca="1" si="6"/>
        <v>3303.9319499999997</v>
      </c>
      <c r="O17" s="62" t="s">
        <v>130</v>
      </c>
      <c r="P17" s="63">
        <f>SUM(P15:P16)</f>
        <v>246</v>
      </c>
      <c r="Q17" s="71">
        <f ca="1">SUM(Q15:Q16)</f>
        <v>10986.279999999999</v>
      </c>
    </row>
    <row r="18" spans="4:17" x14ac:dyDescent="0.3">
      <c r="D18" s="64" t="s">
        <v>19</v>
      </c>
      <c r="E18" s="22">
        <f t="shared" ca="1" si="4"/>
        <v>140</v>
      </c>
      <c r="F18" s="56">
        <f t="shared" ca="1" si="5"/>
        <v>13572.40500000001</v>
      </c>
      <c r="G18" s="72">
        <f t="shared" ca="1" si="6"/>
        <v>4351.0153499999969</v>
      </c>
    </row>
    <row r="19" spans="4:17" ht="28.8" x14ac:dyDescent="0.3">
      <c r="D19" s="64" t="s">
        <v>21</v>
      </c>
      <c r="E19" s="22">
        <f t="shared" ca="1" si="4"/>
        <v>129</v>
      </c>
      <c r="F19" s="56">
        <f t="shared" ca="1" si="5"/>
        <v>3654.870000000004</v>
      </c>
      <c r="G19" s="72">
        <f t="shared" ca="1" si="6"/>
        <v>2912.6690999999992</v>
      </c>
    </row>
    <row r="20" spans="4:17" x14ac:dyDescent="0.3">
      <c r="D20" s="64" t="s">
        <v>27</v>
      </c>
      <c r="E20" s="22">
        <f t="shared" ca="1" si="4"/>
        <v>112</v>
      </c>
      <c r="F20" s="56">
        <f t="shared" ca="1" si="5"/>
        <v>1436.2250000000001</v>
      </c>
      <c r="G20" s="72">
        <f t="shared" ca="1" si="6"/>
        <v>2616.104699999999</v>
      </c>
    </row>
    <row r="21" spans="4:17" ht="29.4" thickBot="1" x14ac:dyDescent="0.35">
      <c r="D21" s="66" t="s">
        <v>24</v>
      </c>
      <c r="E21" s="22">
        <f t="shared" ca="1" si="4"/>
        <v>119</v>
      </c>
      <c r="F21" s="56">
        <f t="shared" ca="1" si="5"/>
        <v>537.51499999999976</v>
      </c>
      <c r="G21" s="72">
        <f t="shared" ca="1" si="6"/>
        <v>2237.3208</v>
      </c>
    </row>
    <row r="22" spans="4:17" ht="15" thickBot="1" x14ac:dyDescent="0.35">
      <c r="D22" s="62" t="s">
        <v>130</v>
      </c>
      <c r="E22" s="63">
        <f ca="1">SUM(E14:E21)</f>
        <v>1000</v>
      </c>
      <c r="F22" s="73">
        <f ca="1">SUM(F14:F21)</f>
        <v>39502.975000000013</v>
      </c>
      <c r="G22" s="73">
        <f ca="1">SUM(G14:G21)</f>
        <v>24671.077199999992</v>
      </c>
    </row>
    <row r="23" spans="4:17" x14ac:dyDescent="0.3">
      <c r="F23" s="1"/>
      <c r="G23" s="1"/>
    </row>
  </sheetData>
  <mergeCells count="8">
    <mergeCell ref="A1:B1"/>
    <mergeCell ref="D1:G1"/>
    <mergeCell ref="D12:G12"/>
    <mergeCell ref="J3:J5"/>
    <mergeCell ref="I1:M1"/>
    <mergeCell ref="K3:K5"/>
    <mergeCell ref="L3:L5"/>
    <mergeCell ref="M3:M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C149B-FEFB-4A38-A9AE-30ED39D44C1F}">
  <dimension ref="A7:G18"/>
  <sheetViews>
    <sheetView workbookViewId="0">
      <selection activeCell="J22" sqref="J22"/>
    </sheetView>
  </sheetViews>
  <sheetFormatPr defaultRowHeight="14.4" x14ac:dyDescent="0.3"/>
  <cols>
    <col min="1" max="1" width="13.88671875" bestFit="1" customWidth="1"/>
    <col min="2" max="2" width="13.5546875" bestFit="1" customWidth="1"/>
  </cols>
  <sheetData>
    <row r="7" spans="1:7" ht="15" thickBot="1" x14ac:dyDescent="0.35"/>
    <row r="8" spans="1:7" ht="15" thickBot="1" x14ac:dyDescent="0.35">
      <c r="A8" s="27" t="s">
        <v>47</v>
      </c>
      <c r="B8" s="28" t="s">
        <v>48</v>
      </c>
    </row>
    <row r="9" spans="1:7" x14ac:dyDescent="0.3">
      <c r="A9" s="29" t="s">
        <v>49</v>
      </c>
      <c r="B9" s="32">
        <f ca="1">SUM(totalsales)</f>
        <v>39502.974999999919</v>
      </c>
    </row>
    <row r="10" spans="1:7" ht="28.8" x14ac:dyDescent="0.3">
      <c r="A10" s="30" t="s">
        <v>46</v>
      </c>
      <c r="B10" s="33">
        <f ca="1">SUM(expectedrevenue)</f>
        <v>10155.68329999997</v>
      </c>
    </row>
    <row r="11" spans="1:7" x14ac:dyDescent="0.3">
      <c r="A11" s="30" t="s">
        <v>50</v>
      </c>
      <c r="B11" s="33">
        <f ca="1">SUM(refundamount)</f>
        <v>4281.7747499999969</v>
      </c>
    </row>
    <row r="12" spans="1:7" ht="28.8" x14ac:dyDescent="0.3">
      <c r="A12" s="30" t="s">
        <v>124</v>
      </c>
      <c r="B12" s="74">
        <f ca="1">COUNTIF(customertype,"New Customer")</f>
        <v>635</v>
      </c>
    </row>
    <row r="13" spans="1:7" ht="28.8" x14ac:dyDescent="0.3">
      <c r="A13" s="30" t="s">
        <v>143</v>
      </c>
      <c r="B13" s="74">
        <f ca="1">COUNTA(Course)</f>
        <v>1000</v>
      </c>
    </row>
    <row r="14" spans="1:7" x14ac:dyDescent="0.3">
      <c r="A14" s="30" t="s">
        <v>51</v>
      </c>
      <c r="B14" s="33">
        <f>SUM(discountamount)</f>
        <v>280</v>
      </c>
    </row>
    <row r="15" spans="1:7" x14ac:dyDescent="0.3">
      <c r="A15" s="30" t="s">
        <v>52</v>
      </c>
      <c r="B15" s="33">
        <f ca="1">SUM(bankcommisionamount)</f>
        <v>927.02499999999861</v>
      </c>
    </row>
    <row r="16" spans="1:7" x14ac:dyDescent="0.3">
      <c r="A16" s="30" t="s">
        <v>54</v>
      </c>
      <c r="B16" s="33">
        <f ca="1">SUM(incometaxamount)</f>
        <v>395.0297500000006</v>
      </c>
      <c r="G16" s="2"/>
    </row>
    <row r="17" spans="1:7" ht="15" thickBot="1" x14ac:dyDescent="0.35">
      <c r="A17" s="31" t="s">
        <v>53</v>
      </c>
      <c r="B17" s="34">
        <f>SUM(adspend)</f>
        <v>2100</v>
      </c>
      <c r="G17" s="52"/>
    </row>
    <row r="18" spans="1:7" x14ac:dyDescent="0.3">
      <c r="B18" s="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5D70B-4C99-479A-9F59-68670CE59662}">
  <dimension ref="A6:B12"/>
  <sheetViews>
    <sheetView workbookViewId="0">
      <selection activeCell="C15" sqref="C15"/>
    </sheetView>
  </sheetViews>
  <sheetFormatPr defaultRowHeight="14.4" x14ac:dyDescent="0.3"/>
  <cols>
    <col min="1" max="1" width="16.44140625" bestFit="1" customWidth="1"/>
    <col min="2" max="2" width="14.44140625" customWidth="1"/>
  </cols>
  <sheetData>
    <row r="6" spans="1:2" ht="15" thickBot="1" x14ac:dyDescent="0.35"/>
    <row r="7" spans="1:2" ht="14.4" customHeight="1" thickBot="1" x14ac:dyDescent="0.35">
      <c r="A7" s="27" t="s">
        <v>37</v>
      </c>
      <c r="B7" s="28" t="s">
        <v>36</v>
      </c>
    </row>
    <row r="8" spans="1:2" x14ac:dyDescent="0.3">
      <c r="A8" s="25" t="s">
        <v>38</v>
      </c>
      <c r="B8" s="26">
        <v>0.02</v>
      </c>
    </row>
    <row r="9" spans="1:2" ht="14.4" customHeight="1" x14ac:dyDescent="0.3">
      <c r="A9" s="22" t="s">
        <v>39</v>
      </c>
      <c r="B9" s="23">
        <v>0.02</v>
      </c>
    </row>
    <row r="10" spans="1:2" x14ac:dyDescent="0.3">
      <c r="A10" s="22" t="s">
        <v>40</v>
      </c>
      <c r="B10" s="24">
        <v>3.5000000000000003E-2</v>
      </c>
    </row>
    <row r="11" spans="1:2" ht="14.4" customHeight="1" x14ac:dyDescent="0.3">
      <c r="A11" s="22" t="s">
        <v>41</v>
      </c>
      <c r="B11" s="24">
        <v>3.5000000000000003E-2</v>
      </c>
    </row>
    <row r="12" spans="1:2" x14ac:dyDescent="0.3">
      <c r="A12" s="22" t="s">
        <v>42</v>
      </c>
      <c r="B12" s="23">
        <v>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8896-66E2-4055-9455-2BC7A7361C2A}">
  <dimension ref="A6:C11"/>
  <sheetViews>
    <sheetView workbookViewId="0">
      <selection activeCell="C12" sqref="C12"/>
    </sheetView>
  </sheetViews>
  <sheetFormatPr defaultRowHeight="14.4" x14ac:dyDescent="0.3"/>
  <cols>
    <col min="1" max="1" width="10.5546875" bestFit="1" customWidth="1"/>
    <col min="2" max="2" width="17.77734375" customWidth="1"/>
    <col min="3" max="3" width="8.33203125" bestFit="1" customWidth="1"/>
    <col min="4" max="4" width="26.77734375" customWidth="1"/>
  </cols>
  <sheetData>
    <row r="6" spans="1:3" ht="15" thickBot="1" x14ac:dyDescent="0.35"/>
    <row r="7" spans="1:3" ht="15" thickBot="1" x14ac:dyDescent="0.35">
      <c r="A7" s="35" t="s">
        <v>1</v>
      </c>
      <c r="B7" s="36" t="s">
        <v>29</v>
      </c>
      <c r="C7" s="35" t="s">
        <v>6</v>
      </c>
    </row>
    <row r="8" spans="1:3" x14ac:dyDescent="0.3">
      <c r="A8" s="55">
        <v>46023</v>
      </c>
      <c r="B8" s="38" t="s">
        <v>30</v>
      </c>
      <c r="C8" s="39">
        <v>20</v>
      </c>
    </row>
    <row r="9" spans="1:3" x14ac:dyDescent="0.3">
      <c r="A9" s="55">
        <v>46084</v>
      </c>
      <c r="B9" s="42" t="s">
        <v>31</v>
      </c>
      <c r="C9" s="43">
        <v>20</v>
      </c>
    </row>
    <row r="10" spans="1:3" x14ac:dyDescent="0.3">
      <c r="A10" s="55">
        <v>46360</v>
      </c>
      <c r="B10" s="45" t="s">
        <v>32</v>
      </c>
      <c r="C10" s="43">
        <v>10</v>
      </c>
    </row>
    <row r="11" spans="1:3" x14ac:dyDescent="0.3">
      <c r="A11" s="41" t="s">
        <v>33</v>
      </c>
      <c r="B11" s="45" t="s">
        <v>34</v>
      </c>
      <c r="C11" s="43">
        <v>20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0E68-2851-4DBA-B23F-A135298FD513}">
  <dimension ref="A7:D17"/>
  <sheetViews>
    <sheetView workbookViewId="0">
      <selection activeCell="H20" sqref="H20"/>
    </sheetView>
  </sheetViews>
  <sheetFormatPr defaultRowHeight="14.4" x14ac:dyDescent="0.3"/>
  <cols>
    <col min="1" max="1" width="9.5546875" style="50" bestFit="1" customWidth="1"/>
    <col min="2" max="2" width="14.109375" style="50" bestFit="1" customWidth="1"/>
    <col min="3" max="3" width="16.6640625" style="50" bestFit="1" customWidth="1"/>
    <col min="4" max="4" width="10" style="50" bestFit="1" customWidth="1"/>
  </cols>
  <sheetData>
    <row r="7" spans="1:4" ht="15" thickBot="1" x14ac:dyDescent="0.35"/>
    <row r="8" spans="1:4" ht="15" thickBot="1" x14ac:dyDescent="0.35">
      <c r="A8" s="35" t="s">
        <v>7</v>
      </c>
      <c r="B8" s="36" t="s">
        <v>8</v>
      </c>
      <c r="C8" s="35" t="s">
        <v>3</v>
      </c>
      <c r="D8" s="36" t="s">
        <v>5</v>
      </c>
    </row>
    <row r="9" spans="1:4" x14ac:dyDescent="0.3">
      <c r="A9" s="37" t="s">
        <v>9</v>
      </c>
      <c r="B9" s="38" t="s">
        <v>15</v>
      </c>
      <c r="C9" s="39" t="s">
        <v>25</v>
      </c>
      <c r="D9" s="40">
        <v>59</v>
      </c>
    </row>
    <row r="10" spans="1:4" x14ac:dyDescent="0.3">
      <c r="A10" s="41" t="s">
        <v>10</v>
      </c>
      <c r="B10" s="42" t="s">
        <v>16</v>
      </c>
      <c r="C10" s="43" t="s">
        <v>26</v>
      </c>
      <c r="D10" s="44">
        <v>29</v>
      </c>
    </row>
    <row r="11" spans="1:4" ht="28.8" x14ac:dyDescent="0.3">
      <c r="A11" s="41" t="s">
        <v>13</v>
      </c>
      <c r="B11" s="45" t="s">
        <v>17</v>
      </c>
      <c r="C11" s="43" t="s">
        <v>26</v>
      </c>
      <c r="D11" s="44">
        <v>59</v>
      </c>
    </row>
    <row r="12" spans="1:4" x14ac:dyDescent="0.3">
      <c r="A12" s="41" t="s">
        <v>14</v>
      </c>
      <c r="B12" s="45" t="s">
        <v>11</v>
      </c>
      <c r="C12" s="43" t="s">
        <v>12</v>
      </c>
      <c r="D12" s="44">
        <v>59</v>
      </c>
    </row>
    <row r="13" spans="1:4" x14ac:dyDescent="0.3">
      <c r="A13" s="41" t="s">
        <v>18</v>
      </c>
      <c r="B13" s="42" t="s">
        <v>19</v>
      </c>
      <c r="C13" s="43" t="s">
        <v>12</v>
      </c>
      <c r="D13" s="44">
        <v>99</v>
      </c>
    </row>
    <row r="14" spans="1:4" x14ac:dyDescent="0.3">
      <c r="A14" s="37" t="s">
        <v>20</v>
      </c>
      <c r="B14" s="38" t="s">
        <v>21</v>
      </c>
      <c r="C14" s="39" t="s">
        <v>26</v>
      </c>
      <c r="D14" s="40">
        <v>29</v>
      </c>
    </row>
    <row r="15" spans="1:4" x14ac:dyDescent="0.3">
      <c r="A15" s="41" t="s">
        <v>22</v>
      </c>
      <c r="B15" s="42" t="s">
        <v>27</v>
      </c>
      <c r="C15" s="43" t="s">
        <v>26</v>
      </c>
      <c r="D15" s="44">
        <v>29</v>
      </c>
    </row>
    <row r="16" spans="1:4" ht="29.4" thickBot="1" x14ac:dyDescent="0.35">
      <c r="A16" s="46" t="s">
        <v>23</v>
      </c>
      <c r="B16" s="47" t="s">
        <v>24</v>
      </c>
      <c r="C16" s="48" t="s">
        <v>28</v>
      </c>
      <c r="D16" s="49">
        <v>29</v>
      </c>
    </row>
    <row r="17" spans="4:4" x14ac:dyDescent="0.3">
      <c r="D17" s="5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25</vt:i4>
      </vt:variant>
    </vt:vector>
  </HeadingPairs>
  <TitlesOfParts>
    <vt:vector size="34" baseType="lpstr">
      <vt:lpstr>Data Dictionary</vt:lpstr>
      <vt:lpstr>Pivots</vt:lpstr>
      <vt:lpstr>Sales Data</vt:lpstr>
      <vt:lpstr>Dashboard</vt:lpstr>
      <vt:lpstr>Analysis</vt:lpstr>
      <vt:lpstr>KPI Summary</vt:lpstr>
      <vt:lpstr>Payment Method</vt:lpstr>
      <vt:lpstr>Holiday</vt:lpstr>
      <vt:lpstr>Courses</vt:lpstr>
      <vt:lpstr>adspend</vt:lpstr>
      <vt:lpstr>bankcomission</vt:lpstr>
      <vt:lpstr>bankcommisionamount</vt:lpstr>
      <vt:lpstr>category</vt:lpstr>
      <vt:lpstr>City</vt:lpstr>
      <vt:lpstr>Course</vt:lpstr>
      <vt:lpstr>Customerid</vt:lpstr>
      <vt:lpstr>customertype</vt:lpstr>
      <vt:lpstr>discountamount</vt:lpstr>
      <vt:lpstr>expected</vt:lpstr>
      <vt:lpstr>expectedrevenue</vt:lpstr>
      <vt:lpstr>finalpaidamount</vt:lpstr>
      <vt:lpstr>gender</vt:lpstr>
      <vt:lpstr>incometax</vt:lpstr>
      <vt:lpstr>incometaxamount</vt:lpstr>
      <vt:lpstr>marketingchannel</vt:lpstr>
      <vt:lpstr>netrevenue</vt:lpstr>
      <vt:lpstr>orderdate</vt:lpstr>
      <vt:lpstr>originalprice</vt:lpstr>
      <vt:lpstr>paymentdate</vt:lpstr>
      <vt:lpstr>PAYMENTm</vt:lpstr>
      <vt:lpstr>paymentmethod</vt:lpstr>
      <vt:lpstr>paymentstatus</vt:lpstr>
      <vt:lpstr>refundamount</vt:lpstr>
      <vt:lpstr>totalsales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Nino Makharadze</cp:lastModifiedBy>
  <dcterms:created xsi:type="dcterms:W3CDTF">2015-06-05T18:17:20Z</dcterms:created>
  <dcterms:modified xsi:type="dcterms:W3CDTF">2026-07-09T22:21:37Z</dcterms:modified>
</cp:coreProperties>
</file>